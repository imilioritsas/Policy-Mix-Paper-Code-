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olicy mix notes\5. Results\3 Robustness Checks\"/>
    </mc:Choice>
  </mc:AlternateContent>
  <xr:revisionPtr revIDLastSave="0" documentId="13_ncr:1_{2CBA84F1-C06F-4CCF-AA28-D77FC6E9DB88}" xr6:coauthVersionLast="47" xr6:coauthVersionMax="47" xr10:uidLastSave="{00000000-0000-0000-0000-000000000000}"/>
  <bookViews>
    <workbookView xWindow="-110" yWindow="-110" windowWidth="19420" windowHeight="11500" activeTab="1" xr2:uid="{421F19FB-03A7-4531-A1C7-1C9DA0E0EC6A}"/>
  </bookViews>
  <sheets>
    <sheet name="effect_quant_by_period" sheetId="5" r:id="rId1"/>
    <sheet name="cumulative_effects" sheetId="6" r:id="rId2"/>
    <sheet name="policy_contributions_cum" sheetId="1" r:id="rId3"/>
    <sheet name="wind_cump_cap" sheetId="2" r:id="rId4"/>
    <sheet name="estimated_capacity" sheetId="3" r:id="rId5"/>
    <sheet name="policy_name_clustering" sheetId="4" r:id="rId6"/>
  </sheets>
  <definedNames>
    <definedName name="_xlnm._FilterDatabase" localSheetId="0" hidden="1">effect_quant_by_period!$A$1:$K$589</definedName>
    <definedName name="_xlnm._FilterDatabase" localSheetId="5" hidden="1">policy_name_clustering!$A$1:$C$16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6" l="1"/>
  <c r="B17" i="6"/>
  <c r="B28" i="6" s="1"/>
  <c r="B26" i="6"/>
  <c r="B25" i="6"/>
  <c r="B24" i="6"/>
  <c r="B23" i="6"/>
  <c r="B22" i="6"/>
  <c r="H309" i="5"/>
  <c r="G309" i="5"/>
  <c r="F309" i="5"/>
  <c r="J309" i="5" a="1"/>
  <c r="J309" i="5" s="1"/>
  <c r="J252" i="5" l="1" a="1"/>
  <c r="J252" i="5" s="1"/>
  <c r="J251" i="5" a="1"/>
  <c r="J251" i="5" s="1"/>
  <c r="J101" i="5" a="1"/>
  <c r="J101" i="5" s="1"/>
  <c r="J233" i="5" a="1"/>
  <c r="J233" i="5" s="1"/>
  <c r="J172" i="5" a="1"/>
  <c r="J172" i="5" s="1"/>
  <c r="J570" i="5" l="1" a="1"/>
  <c r="J570" i="5" s="1"/>
  <c r="E559" i="5" a="1"/>
  <c r="E559" i="5" s="1"/>
  <c r="E570" i="5" a="1"/>
  <c r="E570" i="5" s="1"/>
  <c r="H570" i="5"/>
  <c r="G570" i="5"/>
  <c r="F570" i="5"/>
  <c r="H299" i="5"/>
  <c r="H300" i="5"/>
  <c r="G299" i="5"/>
  <c r="G300" i="5"/>
  <c r="F299" i="5"/>
  <c r="F300" i="5"/>
  <c r="H251" i="5"/>
  <c r="K251" i="5" s="1" a="1"/>
  <c r="K251" i="5" s="1"/>
  <c r="G251" i="5"/>
  <c r="F251" i="5"/>
  <c r="E251" i="5" a="1"/>
  <c r="E251" i="5" s="1"/>
  <c r="K559" i="5" l="1" a="1"/>
  <c r="K559" i="5" s="1"/>
  <c r="K570" i="5" a="1"/>
  <c r="K570" i="5" s="1"/>
  <c r="J300" i="5" a="1"/>
  <c r="J300" i="5" s="1"/>
  <c r="J299" i="5" a="1"/>
  <c r="J299" i="5" s="1"/>
  <c r="G2" i="3" l="1"/>
  <c r="E3" i="5" l="1" a="1"/>
  <c r="E3" i="5" s="1"/>
  <c r="E4" i="5" a="1"/>
  <c r="E4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 s="1"/>
  <c r="E24" i="5" a="1"/>
  <c r="E24" i="5" s="1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6" i="5" a="1"/>
  <c r="E46" i="5" s="1"/>
  <c r="E47" i="5" a="1"/>
  <c r="E47" i="5" s="1"/>
  <c r="E48" i="5" a="1"/>
  <c r="E48" i="5" s="1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 s="1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 s="1"/>
  <c r="E63" i="5" a="1"/>
  <c r="E63" i="5" s="1"/>
  <c r="E64" i="5" a="1"/>
  <c r="E64" i="5" s="1"/>
  <c r="E65" i="5" a="1"/>
  <c r="E65" i="5" s="1"/>
  <c r="E66" i="5" a="1"/>
  <c r="E66" i="5" s="1"/>
  <c r="E67" i="5" a="1"/>
  <c r="E67" i="5" s="1"/>
  <c r="E68" i="5" a="1"/>
  <c r="E68" i="5" s="1"/>
  <c r="E69" i="5" a="1"/>
  <c r="E69" i="5" s="1"/>
  <c r="E70" i="5" a="1"/>
  <c r="E70" i="5" s="1"/>
  <c r="E71" i="5" a="1"/>
  <c r="E71" i="5" s="1"/>
  <c r="E72" i="5" a="1"/>
  <c r="E72" i="5" s="1"/>
  <c r="E73" i="5" a="1"/>
  <c r="E73" i="5" s="1"/>
  <c r="E74" i="5" a="1"/>
  <c r="E74" i="5" s="1"/>
  <c r="E75" i="5" a="1"/>
  <c r="E75" i="5" s="1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82" i="5" a="1"/>
  <c r="E82" i="5" s="1"/>
  <c r="E83" i="5" a="1"/>
  <c r="E83" i="5" s="1"/>
  <c r="E84" i="5" a="1"/>
  <c r="E84" i="5" s="1"/>
  <c r="E85" i="5" a="1"/>
  <c r="E85" i="5" s="1"/>
  <c r="E86" i="5" a="1"/>
  <c r="E86" i="5" s="1"/>
  <c r="E87" i="5" a="1"/>
  <c r="E87" i="5" s="1"/>
  <c r="E88" i="5" a="1"/>
  <c r="E88" i="5" s="1"/>
  <c r="E89" i="5" a="1"/>
  <c r="E89" i="5" s="1"/>
  <c r="E90" i="5" a="1"/>
  <c r="E90" i="5" s="1"/>
  <c r="E91" i="5" a="1"/>
  <c r="E91" i="5" s="1"/>
  <c r="E92" i="5" a="1"/>
  <c r="E92" i="5" s="1"/>
  <c r="E93" i="5" a="1"/>
  <c r="E93" i="5" s="1"/>
  <c r="E94" i="5" a="1"/>
  <c r="E94" i="5" s="1"/>
  <c r="E95" i="5" a="1"/>
  <c r="E95" i="5" s="1"/>
  <c r="E96" i="5" a="1"/>
  <c r="E96" i="5" s="1"/>
  <c r="E97" i="5" a="1"/>
  <c r="E97" i="5" s="1"/>
  <c r="E98" i="5" a="1"/>
  <c r="E98" i="5" s="1"/>
  <c r="E99" i="5" a="1"/>
  <c r="E99" i="5" s="1"/>
  <c r="E100" i="5" a="1"/>
  <c r="E100" i="5" s="1"/>
  <c r="E101" i="5" a="1"/>
  <c r="E101" i="5" s="1"/>
  <c r="E102" i="5" a="1"/>
  <c r="E102" i="5" s="1"/>
  <c r="E103" i="5" a="1"/>
  <c r="E103" i="5" s="1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 s="1"/>
  <c r="E111" i="5" a="1"/>
  <c r="E111" i="5" s="1"/>
  <c r="E112" i="5" a="1"/>
  <c r="E112" i="5" s="1"/>
  <c r="E113" i="5" a="1"/>
  <c r="E113" i="5" s="1"/>
  <c r="E114" i="5" a="1"/>
  <c r="E114" i="5" s="1"/>
  <c r="E115" i="5" a="1"/>
  <c r="E115" i="5" s="1"/>
  <c r="E116" i="5" a="1"/>
  <c r="E116" i="5" s="1"/>
  <c r="E117" i="5" a="1"/>
  <c r="E117" i="5" s="1"/>
  <c r="E118" i="5" a="1"/>
  <c r="E118" i="5" s="1"/>
  <c r="E119" i="5" a="1"/>
  <c r="E119" i="5" s="1"/>
  <c r="E120" i="5" a="1"/>
  <c r="E120" i="5" s="1"/>
  <c r="E121" i="5" a="1"/>
  <c r="E121" i="5" s="1"/>
  <c r="E122" i="5" a="1"/>
  <c r="E122" i="5" s="1"/>
  <c r="E123" i="5" a="1"/>
  <c r="E123" i="5" s="1"/>
  <c r="E124" i="5" a="1"/>
  <c r="E124" i="5" s="1"/>
  <c r="E125" i="5" a="1"/>
  <c r="E125" i="5" s="1"/>
  <c r="E126" i="5" a="1"/>
  <c r="E126" i="5" s="1"/>
  <c r="E127" i="5" a="1"/>
  <c r="E127" i="5" s="1"/>
  <c r="E128" i="5" a="1"/>
  <c r="E128" i="5" s="1"/>
  <c r="E129" i="5" a="1"/>
  <c r="E129" i="5" s="1"/>
  <c r="E130" i="5" a="1"/>
  <c r="E130" i="5" s="1"/>
  <c r="E131" i="5" a="1"/>
  <c r="E131" i="5" s="1"/>
  <c r="E132" i="5" a="1"/>
  <c r="E132" i="5" s="1"/>
  <c r="E133" i="5" a="1"/>
  <c r="E133" i="5" s="1"/>
  <c r="E134" i="5" a="1"/>
  <c r="E134" i="5" s="1"/>
  <c r="E135" i="5" a="1"/>
  <c r="E135" i="5" s="1"/>
  <c r="E136" i="5" a="1"/>
  <c r="E136" i="5" s="1"/>
  <c r="E137" i="5" a="1"/>
  <c r="E137" i="5" s="1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 s="1"/>
  <c r="E144" i="5" a="1"/>
  <c r="E144" i="5" s="1"/>
  <c r="E145" i="5" a="1"/>
  <c r="E145" i="5" s="1"/>
  <c r="E146" i="5" a="1"/>
  <c r="E146" i="5" s="1"/>
  <c r="E147" i="5" a="1"/>
  <c r="E147" i="5" s="1"/>
  <c r="E148" i="5" a="1"/>
  <c r="E148" i="5" s="1"/>
  <c r="E149" i="5" a="1"/>
  <c r="E149" i="5" s="1"/>
  <c r="E150" i="5" a="1"/>
  <c r="E150" i="5" s="1"/>
  <c r="E151" i="5" a="1"/>
  <c r="E151" i="5" s="1"/>
  <c r="E152" i="5" a="1"/>
  <c r="E152" i="5" s="1"/>
  <c r="E153" i="5" a="1"/>
  <c r="E153" i="5" s="1"/>
  <c r="E154" i="5" a="1"/>
  <c r="E154" i="5" s="1"/>
  <c r="E155" i="5" a="1"/>
  <c r="E155" i="5" s="1"/>
  <c r="E156" i="5" a="1"/>
  <c r="E156" i="5" s="1"/>
  <c r="E157" i="5" a="1"/>
  <c r="E157" i="5" s="1"/>
  <c r="E158" i="5" a="1"/>
  <c r="E158" i="5" s="1"/>
  <c r="E159" i="5" a="1"/>
  <c r="E159" i="5" s="1"/>
  <c r="E160" i="5" a="1"/>
  <c r="E160" i="5" s="1"/>
  <c r="E161" i="5" a="1"/>
  <c r="E161" i="5" s="1"/>
  <c r="E162" i="5" a="1"/>
  <c r="E162" i="5" s="1"/>
  <c r="E163" i="5" a="1"/>
  <c r="E163" i="5" s="1"/>
  <c r="E164" i="5" a="1"/>
  <c r="E164" i="5" s="1"/>
  <c r="E165" i="5" a="1"/>
  <c r="E165" i="5" s="1"/>
  <c r="E166" i="5" a="1"/>
  <c r="E166" i="5" s="1"/>
  <c r="E167" i="5" a="1"/>
  <c r="E167" i="5" s="1"/>
  <c r="E168" i="5" a="1"/>
  <c r="E168" i="5" s="1"/>
  <c r="E169" i="5" a="1"/>
  <c r="E169" i="5" s="1"/>
  <c r="E170" i="5" a="1"/>
  <c r="E170" i="5" s="1"/>
  <c r="E171" i="5" a="1"/>
  <c r="E171" i="5" s="1"/>
  <c r="E172" i="5" a="1"/>
  <c r="E172" i="5" s="1"/>
  <c r="E173" i="5" a="1"/>
  <c r="E173" i="5" s="1"/>
  <c r="E174" i="5" a="1"/>
  <c r="E174" i="5" s="1"/>
  <c r="E175" i="5" a="1"/>
  <c r="E175" i="5" s="1"/>
  <c r="E176" i="5" a="1"/>
  <c r="E176" i="5" s="1"/>
  <c r="E177" i="5" a="1"/>
  <c r="E177" i="5" s="1"/>
  <c r="E178" i="5" a="1"/>
  <c r="E178" i="5" s="1"/>
  <c r="E179" i="5" a="1"/>
  <c r="E179" i="5" s="1"/>
  <c r="E180" i="5" a="1"/>
  <c r="E180" i="5" s="1"/>
  <c r="E181" i="5" a="1"/>
  <c r="E181" i="5" s="1"/>
  <c r="E182" i="5" a="1"/>
  <c r="E182" i="5" s="1"/>
  <c r="E183" i="5" a="1"/>
  <c r="E183" i="5" s="1"/>
  <c r="E184" i="5" a="1"/>
  <c r="E184" i="5" s="1"/>
  <c r="E185" i="5" a="1"/>
  <c r="E185" i="5" s="1"/>
  <c r="E186" i="5" a="1"/>
  <c r="E186" i="5" s="1"/>
  <c r="E187" i="5" a="1"/>
  <c r="E187" i="5" s="1"/>
  <c r="E188" i="5" a="1"/>
  <c r="E188" i="5" s="1"/>
  <c r="E189" i="5" a="1"/>
  <c r="E189" i="5" s="1"/>
  <c r="E190" i="5" a="1"/>
  <c r="E190" i="5" s="1"/>
  <c r="E191" i="5" a="1"/>
  <c r="E191" i="5" s="1"/>
  <c r="E192" i="5" a="1"/>
  <c r="E192" i="5" s="1"/>
  <c r="E193" i="5" a="1"/>
  <c r="E193" i="5" s="1"/>
  <c r="E194" i="5" a="1"/>
  <c r="E194" i="5" s="1"/>
  <c r="E195" i="5" a="1"/>
  <c r="E195" i="5" s="1"/>
  <c r="E196" i="5" a="1"/>
  <c r="E196" i="5" s="1"/>
  <c r="E197" i="5" a="1"/>
  <c r="E197" i="5" s="1"/>
  <c r="E198" i="5" a="1"/>
  <c r="E198" i="5" s="1"/>
  <c r="E199" i="5" a="1"/>
  <c r="E199" i="5" s="1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 s="1"/>
  <c r="E207" i="5" a="1"/>
  <c r="E207" i="5" s="1"/>
  <c r="E208" i="5" a="1"/>
  <c r="E208" i="5" s="1"/>
  <c r="E209" i="5" a="1"/>
  <c r="E209" i="5" s="1"/>
  <c r="E210" i="5" a="1"/>
  <c r="E210" i="5" s="1"/>
  <c r="E211" i="5" a="1"/>
  <c r="E211" i="5" s="1"/>
  <c r="E212" i="5" a="1"/>
  <c r="E212" i="5" s="1"/>
  <c r="E213" i="5" a="1"/>
  <c r="E213" i="5" s="1"/>
  <c r="E214" i="5" a="1"/>
  <c r="E214" i="5" s="1"/>
  <c r="E215" i="5" a="1"/>
  <c r="E215" i="5" s="1"/>
  <c r="E216" i="5" a="1"/>
  <c r="E216" i="5" s="1"/>
  <c r="E217" i="5" a="1"/>
  <c r="E217" i="5" s="1"/>
  <c r="E218" i="5" a="1"/>
  <c r="E218" i="5" s="1"/>
  <c r="E219" i="5" a="1"/>
  <c r="E219" i="5" s="1"/>
  <c r="E220" i="5" a="1"/>
  <c r="E220" i="5" s="1"/>
  <c r="E221" i="5" a="1"/>
  <c r="E221" i="5" s="1"/>
  <c r="E222" i="5" a="1"/>
  <c r="E222" i="5" s="1"/>
  <c r="E223" i="5" a="1"/>
  <c r="E223" i="5" s="1"/>
  <c r="E224" i="5" a="1"/>
  <c r="E224" i="5" s="1"/>
  <c r="E225" i="5" a="1"/>
  <c r="E225" i="5" s="1"/>
  <c r="E226" i="5" a="1"/>
  <c r="E226" i="5" s="1"/>
  <c r="E227" i="5" a="1"/>
  <c r="E227" i="5" s="1"/>
  <c r="E228" i="5" a="1"/>
  <c r="E228" i="5" s="1"/>
  <c r="E229" i="5" a="1"/>
  <c r="E229" i="5" s="1"/>
  <c r="E230" i="5" a="1"/>
  <c r="E230" i="5" s="1"/>
  <c r="E231" i="5" a="1"/>
  <c r="E231" i="5" s="1"/>
  <c r="E232" i="5" a="1"/>
  <c r="E232" i="5" s="1"/>
  <c r="E233" i="5" a="1"/>
  <c r="E233" i="5" s="1"/>
  <c r="E234" i="5" a="1"/>
  <c r="E234" i="5" s="1"/>
  <c r="E235" i="5" a="1"/>
  <c r="E235" i="5" s="1"/>
  <c r="E236" i="5" a="1"/>
  <c r="E236" i="5" s="1"/>
  <c r="E237" i="5" a="1"/>
  <c r="E237" i="5" s="1"/>
  <c r="E238" i="5" a="1"/>
  <c r="E238" i="5" s="1"/>
  <c r="E239" i="5" a="1"/>
  <c r="E239" i="5" s="1"/>
  <c r="E240" i="5" a="1"/>
  <c r="E240" i="5" s="1"/>
  <c r="E241" i="5" a="1"/>
  <c r="E241" i="5" s="1"/>
  <c r="E242" i="5" a="1"/>
  <c r="E242" i="5" s="1"/>
  <c r="E243" i="5" a="1"/>
  <c r="E243" i="5" s="1"/>
  <c r="E244" i="5" a="1"/>
  <c r="E244" i="5" s="1"/>
  <c r="E245" i="5" a="1"/>
  <c r="E245" i="5" s="1"/>
  <c r="E246" i="5" a="1"/>
  <c r="E246" i="5" s="1"/>
  <c r="E247" i="5" a="1"/>
  <c r="E247" i="5" s="1"/>
  <c r="E248" i="5" a="1"/>
  <c r="E248" i="5" s="1"/>
  <c r="E249" i="5" a="1"/>
  <c r="E249" i="5" s="1"/>
  <c r="E250" i="5" a="1"/>
  <c r="E250" i="5" s="1"/>
  <c r="E252" i="5" a="1"/>
  <c r="E252" i="5" s="1"/>
  <c r="E253" i="5" a="1"/>
  <c r="E253" i="5" s="1"/>
  <c r="E254" i="5" a="1"/>
  <c r="E254" i="5" s="1"/>
  <c r="E255" i="5" a="1"/>
  <c r="E255" i="5" s="1"/>
  <c r="E256" i="5" a="1"/>
  <c r="E256" i="5" s="1"/>
  <c r="E257" i="5" a="1"/>
  <c r="E257" i="5" s="1"/>
  <c r="E258" i="5" a="1"/>
  <c r="E258" i="5" s="1"/>
  <c r="E259" i="5" a="1"/>
  <c r="E259" i="5" s="1"/>
  <c r="E260" i="5" a="1"/>
  <c r="E260" i="5" s="1"/>
  <c r="E261" i="5" a="1"/>
  <c r="E261" i="5" s="1"/>
  <c r="E262" i="5" a="1"/>
  <c r="E262" i="5" s="1"/>
  <c r="E263" i="5" a="1"/>
  <c r="E263" i="5" s="1"/>
  <c r="E264" i="5" a="1"/>
  <c r="E264" i="5" s="1"/>
  <c r="E265" i="5" a="1"/>
  <c r="E265" i="5" s="1"/>
  <c r="E266" i="5" a="1"/>
  <c r="E266" i="5" s="1"/>
  <c r="E267" i="5" a="1"/>
  <c r="E267" i="5" s="1"/>
  <c r="E268" i="5" a="1"/>
  <c r="E268" i="5" s="1"/>
  <c r="E269" i="5" a="1"/>
  <c r="E269" i="5" s="1"/>
  <c r="E270" i="5" a="1"/>
  <c r="E270" i="5" s="1"/>
  <c r="E271" i="5" a="1"/>
  <c r="E271" i="5" s="1"/>
  <c r="E272" i="5" a="1"/>
  <c r="E272" i="5" s="1"/>
  <c r="E273" i="5" a="1"/>
  <c r="E273" i="5" s="1"/>
  <c r="E274" i="5" a="1"/>
  <c r="E274" i="5" s="1"/>
  <c r="E275" i="5" a="1"/>
  <c r="E275" i="5" s="1"/>
  <c r="E276" i="5" a="1"/>
  <c r="E276" i="5" s="1"/>
  <c r="E277" i="5" a="1"/>
  <c r="E277" i="5" s="1"/>
  <c r="E278" i="5" a="1"/>
  <c r="E278" i="5" s="1"/>
  <c r="E279" i="5" a="1"/>
  <c r="E279" i="5" s="1"/>
  <c r="E280" i="5" a="1"/>
  <c r="E280" i="5" s="1"/>
  <c r="E281" i="5" a="1"/>
  <c r="E281" i="5" s="1"/>
  <c r="E282" i="5" a="1"/>
  <c r="E282" i="5" s="1"/>
  <c r="E283" i="5" a="1"/>
  <c r="E283" i="5" s="1"/>
  <c r="E284" i="5" a="1"/>
  <c r="E284" i="5" s="1"/>
  <c r="E285" i="5" a="1"/>
  <c r="E285" i="5" s="1"/>
  <c r="E286" i="5" a="1"/>
  <c r="E286" i="5" s="1"/>
  <c r="E287" i="5" a="1"/>
  <c r="E287" i="5" s="1"/>
  <c r="E288" i="5" a="1"/>
  <c r="E288" i="5" s="1"/>
  <c r="E289" i="5" a="1"/>
  <c r="E289" i="5" s="1"/>
  <c r="E290" i="5" a="1"/>
  <c r="E290" i="5" s="1"/>
  <c r="E291" i="5" a="1"/>
  <c r="E291" i="5" s="1"/>
  <c r="E292" i="5" a="1"/>
  <c r="E292" i="5" s="1"/>
  <c r="E293" i="5" a="1"/>
  <c r="E293" i="5" s="1"/>
  <c r="E294" i="5" a="1"/>
  <c r="E294" i="5" s="1"/>
  <c r="E295" i="5" a="1"/>
  <c r="E295" i="5" s="1"/>
  <c r="E296" i="5" a="1"/>
  <c r="E296" i="5" s="1"/>
  <c r="E297" i="5" a="1"/>
  <c r="E297" i="5" s="1"/>
  <c r="E298" i="5" a="1"/>
  <c r="E298" i="5" s="1"/>
  <c r="E299" i="5" a="1"/>
  <c r="E299" i="5" s="1"/>
  <c r="E300" i="5" a="1"/>
  <c r="E300" i="5" s="1"/>
  <c r="E301" i="5" a="1"/>
  <c r="E301" i="5" s="1"/>
  <c r="E302" i="5" a="1"/>
  <c r="E302" i="5" s="1"/>
  <c r="E303" i="5" a="1"/>
  <c r="E303" i="5" s="1"/>
  <c r="E304" i="5" a="1"/>
  <c r="E304" i="5" s="1"/>
  <c r="E305" i="5" a="1"/>
  <c r="E305" i="5" s="1"/>
  <c r="E306" i="5" a="1"/>
  <c r="E306" i="5" s="1"/>
  <c r="E307" i="5" a="1"/>
  <c r="E307" i="5" s="1"/>
  <c r="E308" i="5" a="1"/>
  <c r="E308" i="5" s="1"/>
  <c r="E309" i="5" a="1"/>
  <c r="E309" i="5" s="1"/>
  <c r="E310" i="5" a="1"/>
  <c r="E310" i="5" s="1"/>
  <c r="E311" i="5" a="1"/>
  <c r="E311" i="5" s="1"/>
  <c r="E312" i="5" a="1"/>
  <c r="E312" i="5" s="1"/>
  <c r="E313" i="5" a="1"/>
  <c r="E313" i="5" s="1"/>
  <c r="E314" i="5" a="1"/>
  <c r="E314" i="5" s="1"/>
  <c r="E315" i="5" a="1"/>
  <c r="E315" i="5" s="1"/>
  <c r="E316" i="5" a="1"/>
  <c r="E316" i="5" s="1"/>
  <c r="E317" i="5" a="1"/>
  <c r="E317" i="5" s="1"/>
  <c r="E318" i="5" a="1"/>
  <c r="E318" i="5" s="1"/>
  <c r="E319" i="5" a="1"/>
  <c r="E319" i="5" s="1"/>
  <c r="E320" i="5" a="1"/>
  <c r="E320" i="5" s="1"/>
  <c r="E321" i="5" a="1"/>
  <c r="E321" i="5" s="1"/>
  <c r="E322" i="5" a="1"/>
  <c r="E322" i="5" s="1"/>
  <c r="E323" i="5" a="1"/>
  <c r="E323" i="5" s="1"/>
  <c r="E324" i="5" a="1"/>
  <c r="E324" i="5" s="1"/>
  <c r="E325" i="5" a="1"/>
  <c r="E325" i="5" s="1"/>
  <c r="E326" i="5" a="1"/>
  <c r="E326" i="5" s="1"/>
  <c r="E327" i="5" a="1"/>
  <c r="E327" i="5" s="1"/>
  <c r="E328" i="5" a="1"/>
  <c r="E328" i="5" s="1"/>
  <c r="E329" i="5" a="1"/>
  <c r="E329" i="5" s="1"/>
  <c r="E330" i="5" a="1"/>
  <c r="E330" i="5" s="1"/>
  <c r="E331" i="5" a="1"/>
  <c r="E331" i="5" s="1"/>
  <c r="E332" i="5" a="1"/>
  <c r="E332" i="5" s="1"/>
  <c r="E333" i="5" a="1"/>
  <c r="E333" i="5" s="1"/>
  <c r="E334" i="5" a="1"/>
  <c r="E334" i="5" s="1"/>
  <c r="E335" i="5" a="1"/>
  <c r="E335" i="5" s="1"/>
  <c r="E336" i="5" a="1"/>
  <c r="E336" i="5" s="1"/>
  <c r="E337" i="5" a="1"/>
  <c r="E337" i="5" s="1"/>
  <c r="E338" i="5" a="1"/>
  <c r="E338" i="5" s="1"/>
  <c r="E339" i="5" a="1"/>
  <c r="E339" i="5" s="1"/>
  <c r="E340" i="5" a="1"/>
  <c r="E340" i="5" s="1"/>
  <c r="E341" i="5" a="1"/>
  <c r="E341" i="5" s="1"/>
  <c r="E342" i="5" a="1"/>
  <c r="E342" i="5" s="1"/>
  <c r="E343" i="5" a="1"/>
  <c r="E343" i="5" s="1"/>
  <c r="E344" i="5" a="1"/>
  <c r="E344" i="5" s="1"/>
  <c r="E345" i="5" a="1"/>
  <c r="E345" i="5" s="1"/>
  <c r="E346" i="5" a="1"/>
  <c r="E346" i="5" s="1"/>
  <c r="E347" i="5" a="1"/>
  <c r="E347" i="5" s="1"/>
  <c r="E348" i="5" a="1"/>
  <c r="E348" i="5" s="1"/>
  <c r="E349" i="5" a="1"/>
  <c r="E349" i="5" s="1"/>
  <c r="E350" i="5" a="1"/>
  <c r="E350" i="5" s="1"/>
  <c r="E351" i="5" a="1"/>
  <c r="E351" i="5" s="1"/>
  <c r="E352" i="5" a="1"/>
  <c r="E352" i="5" s="1"/>
  <c r="E353" i="5" a="1"/>
  <c r="E353" i="5" s="1"/>
  <c r="E354" i="5" a="1"/>
  <c r="E354" i="5" s="1"/>
  <c r="E355" i="5" a="1"/>
  <c r="E355" i="5" s="1"/>
  <c r="E356" i="5" a="1"/>
  <c r="E356" i="5" s="1"/>
  <c r="E357" i="5" a="1"/>
  <c r="E357" i="5" s="1"/>
  <c r="E358" i="5" a="1"/>
  <c r="E358" i="5" s="1"/>
  <c r="E359" i="5" a="1"/>
  <c r="E359" i="5" s="1"/>
  <c r="E360" i="5" a="1"/>
  <c r="E360" i="5" s="1"/>
  <c r="E361" i="5" a="1"/>
  <c r="E361" i="5" s="1"/>
  <c r="E362" i="5" a="1"/>
  <c r="E362" i="5" s="1"/>
  <c r="E363" i="5" a="1"/>
  <c r="E363" i="5" s="1"/>
  <c r="E364" i="5" a="1"/>
  <c r="E364" i="5" s="1"/>
  <c r="E365" i="5" a="1"/>
  <c r="E365" i="5" s="1"/>
  <c r="E366" i="5" a="1"/>
  <c r="E366" i="5" s="1"/>
  <c r="E367" i="5" a="1"/>
  <c r="E367" i="5" s="1"/>
  <c r="E368" i="5" a="1"/>
  <c r="E368" i="5" s="1"/>
  <c r="E369" i="5" a="1"/>
  <c r="E369" i="5" s="1"/>
  <c r="E370" i="5" a="1"/>
  <c r="E370" i="5" s="1"/>
  <c r="E371" i="5" a="1"/>
  <c r="E371" i="5" s="1"/>
  <c r="E372" i="5" a="1"/>
  <c r="E372" i="5" s="1"/>
  <c r="E373" i="5" a="1"/>
  <c r="E373" i="5" s="1"/>
  <c r="E374" i="5" a="1"/>
  <c r="E374" i="5" s="1"/>
  <c r="E375" i="5" a="1"/>
  <c r="E375" i="5" s="1"/>
  <c r="E376" i="5" a="1"/>
  <c r="E376" i="5" s="1"/>
  <c r="E377" i="5" a="1"/>
  <c r="E377" i="5" s="1"/>
  <c r="E378" i="5" a="1"/>
  <c r="E378" i="5" s="1"/>
  <c r="E379" i="5" a="1"/>
  <c r="E379" i="5" s="1"/>
  <c r="E380" i="5" a="1"/>
  <c r="E380" i="5" s="1"/>
  <c r="E381" i="5" a="1"/>
  <c r="E381" i="5" s="1"/>
  <c r="E382" i="5" a="1"/>
  <c r="E382" i="5" s="1"/>
  <c r="E383" i="5" a="1"/>
  <c r="E383" i="5" s="1"/>
  <c r="E384" i="5" a="1"/>
  <c r="E384" i="5" s="1"/>
  <c r="E385" i="5" a="1"/>
  <c r="E385" i="5" s="1"/>
  <c r="E386" i="5" a="1"/>
  <c r="E386" i="5" s="1"/>
  <c r="E387" i="5" a="1"/>
  <c r="E387" i="5" s="1"/>
  <c r="E388" i="5" a="1"/>
  <c r="E388" i="5" s="1"/>
  <c r="E389" i="5" a="1"/>
  <c r="E389" i="5" s="1"/>
  <c r="E390" i="5" a="1"/>
  <c r="E390" i="5" s="1"/>
  <c r="E391" i="5" a="1"/>
  <c r="E391" i="5" s="1"/>
  <c r="E392" i="5" a="1"/>
  <c r="E392" i="5" s="1"/>
  <c r="E393" i="5" a="1"/>
  <c r="E393" i="5" s="1"/>
  <c r="E394" i="5" a="1"/>
  <c r="E394" i="5" s="1"/>
  <c r="E395" i="5" a="1"/>
  <c r="E395" i="5" s="1"/>
  <c r="E396" i="5" a="1"/>
  <c r="E396" i="5" s="1"/>
  <c r="E397" i="5" a="1"/>
  <c r="E397" i="5" s="1"/>
  <c r="E398" i="5" a="1"/>
  <c r="E398" i="5" s="1"/>
  <c r="E399" i="5" a="1"/>
  <c r="E399" i="5" s="1"/>
  <c r="E400" i="5" a="1"/>
  <c r="E400" i="5" s="1"/>
  <c r="E401" i="5" a="1"/>
  <c r="E401" i="5" s="1"/>
  <c r="E402" i="5" a="1"/>
  <c r="E402" i="5" s="1"/>
  <c r="E403" i="5" a="1"/>
  <c r="E403" i="5" s="1"/>
  <c r="E404" i="5" a="1"/>
  <c r="E404" i="5" s="1"/>
  <c r="E405" i="5" a="1"/>
  <c r="E405" i="5" s="1"/>
  <c r="E406" i="5" a="1"/>
  <c r="E406" i="5" s="1"/>
  <c r="E407" i="5" a="1"/>
  <c r="E407" i="5" s="1"/>
  <c r="E408" i="5" a="1"/>
  <c r="E408" i="5" s="1"/>
  <c r="E409" i="5" a="1"/>
  <c r="E409" i="5" s="1"/>
  <c r="E410" i="5" a="1"/>
  <c r="E410" i="5" s="1"/>
  <c r="E411" i="5" a="1"/>
  <c r="E411" i="5" s="1"/>
  <c r="E412" i="5" a="1"/>
  <c r="E412" i="5" s="1"/>
  <c r="E413" i="5" a="1"/>
  <c r="E413" i="5" s="1"/>
  <c r="E414" i="5" a="1"/>
  <c r="E414" i="5" s="1"/>
  <c r="E415" i="5" a="1"/>
  <c r="E415" i="5" s="1"/>
  <c r="E416" i="5" a="1"/>
  <c r="E416" i="5" s="1"/>
  <c r="E417" i="5" a="1"/>
  <c r="E417" i="5" s="1"/>
  <c r="E418" i="5" a="1"/>
  <c r="E418" i="5" s="1"/>
  <c r="E419" i="5" a="1"/>
  <c r="E419" i="5" s="1"/>
  <c r="E420" i="5" a="1"/>
  <c r="E420" i="5" s="1"/>
  <c r="E421" i="5" a="1"/>
  <c r="E421" i="5" s="1"/>
  <c r="E422" i="5" a="1"/>
  <c r="E422" i="5" s="1"/>
  <c r="E423" i="5" a="1"/>
  <c r="E423" i="5" s="1"/>
  <c r="E424" i="5" a="1"/>
  <c r="E424" i="5" s="1"/>
  <c r="E425" i="5" a="1"/>
  <c r="E425" i="5" s="1"/>
  <c r="E426" i="5" a="1"/>
  <c r="E426" i="5" s="1"/>
  <c r="E427" i="5" a="1"/>
  <c r="E427" i="5" s="1"/>
  <c r="E428" i="5" a="1"/>
  <c r="E428" i="5" s="1"/>
  <c r="E429" i="5" a="1"/>
  <c r="E429" i="5" s="1"/>
  <c r="E430" i="5" a="1"/>
  <c r="E430" i="5" s="1"/>
  <c r="E431" i="5" a="1"/>
  <c r="E431" i="5" s="1"/>
  <c r="E432" i="5" a="1"/>
  <c r="E432" i="5" s="1"/>
  <c r="E433" i="5" a="1"/>
  <c r="E433" i="5" s="1"/>
  <c r="E434" i="5" a="1"/>
  <c r="E434" i="5" s="1"/>
  <c r="E435" i="5" a="1"/>
  <c r="E435" i="5" s="1"/>
  <c r="E436" i="5" a="1"/>
  <c r="E436" i="5" s="1"/>
  <c r="E437" i="5" a="1"/>
  <c r="E437" i="5" s="1"/>
  <c r="E438" i="5" a="1"/>
  <c r="E438" i="5" s="1"/>
  <c r="E439" i="5" a="1"/>
  <c r="E439" i="5" s="1"/>
  <c r="E440" i="5" a="1"/>
  <c r="E440" i="5" s="1"/>
  <c r="E441" i="5" a="1"/>
  <c r="E441" i="5" s="1"/>
  <c r="E442" i="5" a="1"/>
  <c r="E442" i="5" s="1"/>
  <c r="E443" i="5" a="1"/>
  <c r="E443" i="5" s="1"/>
  <c r="E444" i="5" a="1"/>
  <c r="E444" i="5" s="1"/>
  <c r="E445" i="5" a="1"/>
  <c r="E445" i="5" s="1"/>
  <c r="E446" i="5" a="1"/>
  <c r="E446" i="5" s="1"/>
  <c r="E447" i="5" a="1"/>
  <c r="E447" i="5" s="1"/>
  <c r="E448" i="5" a="1"/>
  <c r="E448" i="5" s="1"/>
  <c r="E449" i="5" a="1"/>
  <c r="E449" i="5" s="1"/>
  <c r="E450" i="5" a="1"/>
  <c r="E450" i="5" s="1"/>
  <c r="E451" i="5" a="1"/>
  <c r="E451" i="5" s="1"/>
  <c r="E452" i="5" a="1"/>
  <c r="E452" i="5" s="1"/>
  <c r="E453" i="5" a="1"/>
  <c r="E453" i="5" s="1"/>
  <c r="E454" i="5" a="1"/>
  <c r="E454" i="5" s="1"/>
  <c r="E455" i="5" a="1"/>
  <c r="E455" i="5" s="1"/>
  <c r="E456" i="5" a="1"/>
  <c r="E456" i="5" s="1"/>
  <c r="E457" i="5" a="1"/>
  <c r="E457" i="5" s="1"/>
  <c r="E458" i="5" a="1"/>
  <c r="E458" i="5" s="1"/>
  <c r="E459" i="5" a="1"/>
  <c r="E459" i="5" s="1"/>
  <c r="E460" i="5" a="1"/>
  <c r="E460" i="5" s="1"/>
  <c r="E461" i="5" a="1"/>
  <c r="E461" i="5" s="1"/>
  <c r="E462" i="5" a="1"/>
  <c r="E462" i="5" s="1"/>
  <c r="E463" i="5" a="1"/>
  <c r="E463" i="5" s="1"/>
  <c r="E464" i="5" a="1"/>
  <c r="E464" i="5" s="1"/>
  <c r="E465" i="5" a="1"/>
  <c r="E465" i="5" s="1"/>
  <c r="E466" i="5" a="1"/>
  <c r="E466" i="5" s="1"/>
  <c r="E467" i="5" a="1"/>
  <c r="E467" i="5" s="1"/>
  <c r="E468" i="5" a="1"/>
  <c r="E468" i="5" s="1"/>
  <c r="E469" i="5" a="1"/>
  <c r="E469" i="5" s="1"/>
  <c r="E470" i="5" a="1"/>
  <c r="E470" i="5" s="1"/>
  <c r="E471" i="5" a="1"/>
  <c r="E471" i="5" s="1"/>
  <c r="E472" i="5" a="1"/>
  <c r="E472" i="5" s="1"/>
  <c r="E473" i="5" a="1"/>
  <c r="E473" i="5" s="1"/>
  <c r="E474" i="5" a="1"/>
  <c r="E474" i="5" s="1"/>
  <c r="E475" i="5" a="1"/>
  <c r="E475" i="5" s="1"/>
  <c r="E476" i="5" a="1"/>
  <c r="E476" i="5" s="1"/>
  <c r="E477" i="5" a="1"/>
  <c r="E477" i="5" s="1"/>
  <c r="E478" i="5" a="1"/>
  <c r="E478" i="5" s="1"/>
  <c r="E479" i="5" a="1"/>
  <c r="E479" i="5" s="1"/>
  <c r="E480" i="5" a="1"/>
  <c r="E480" i="5" s="1"/>
  <c r="E481" i="5" a="1"/>
  <c r="E481" i="5" s="1"/>
  <c r="E482" i="5" a="1"/>
  <c r="E482" i="5" s="1"/>
  <c r="E483" i="5" a="1"/>
  <c r="E483" i="5" s="1"/>
  <c r="E484" i="5" a="1"/>
  <c r="E484" i="5" s="1"/>
  <c r="E485" i="5" a="1"/>
  <c r="E485" i="5" s="1"/>
  <c r="E486" i="5" a="1"/>
  <c r="E486" i="5" s="1"/>
  <c r="E487" i="5" a="1"/>
  <c r="E487" i="5" s="1"/>
  <c r="E488" i="5" a="1"/>
  <c r="E488" i="5" s="1"/>
  <c r="E489" i="5" a="1"/>
  <c r="E489" i="5" s="1"/>
  <c r="E490" i="5" a="1"/>
  <c r="E490" i="5" s="1"/>
  <c r="E491" i="5" a="1"/>
  <c r="E491" i="5" s="1"/>
  <c r="E492" i="5" a="1"/>
  <c r="E492" i="5" s="1"/>
  <c r="E493" i="5" a="1"/>
  <c r="E493" i="5" s="1"/>
  <c r="E494" i="5" a="1"/>
  <c r="E494" i="5" s="1"/>
  <c r="E495" i="5" a="1"/>
  <c r="E495" i="5" s="1"/>
  <c r="E496" i="5" a="1"/>
  <c r="E496" i="5" s="1"/>
  <c r="E497" i="5" a="1"/>
  <c r="E497" i="5" s="1"/>
  <c r="E498" i="5" a="1"/>
  <c r="E498" i="5" s="1"/>
  <c r="E499" i="5" a="1"/>
  <c r="E499" i="5" s="1"/>
  <c r="E500" i="5" a="1"/>
  <c r="E500" i="5" s="1"/>
  <c r="E501" i="5" a="1"/>
  <c r="E501" i="5" s="1"/>
  <c r="E502" i="5" a="1"/>
  <c r="E502" i="5" s="1"/>
  <c r="E503" i="5" a="1"/>
  <c r="E503" i="5" s="1"/>
  <c r="E504" i="5" a="1"/>
  <c r="E504" i="5" s="1"/>
  <c r="E505" i="5" a="1"/>
  <c r="E505" i="5" s="1"/>
  <c r="E506" i="5" a="1"/>
  <c r="E506" i="5" s="1"/>
  <c r="E507" i="5" a="1"/>
  <c r="E507" i="5" s="1"/>
  <c r="E508" i="5" a="1"/>
  <c r="E508" i="5" s="1"/>
  <c r="E509" i="5" a="1"/>
  <c r="E509" i="5" s="1"/>
  <c r="E510" i="5" a="1"/>
  <c r="E510" i="5" s="1"/>
  <c r="E511" i="5" a="1"/>
  <c r="E511" i="5" s="1"/>
  <c r="E512" i="5" a="1"/>
  <c r="E512" i="5" s="1"/>
  <c r="E513" i="5" a="1"/>
  <c r="E513" i="5" s="1"/>
  <c r="E514" i="5" a="1"/>
  <c r="E514" i="5" s="1"/>
  <c r="E515" i="5" a="1"/>
  <c r="E515" i="5" s="1"/>
  <c r="E516" i="5" a="1"/>
  <c r="E516" i="5" s="1"/>
  <c r="E517" i="5" a="1"/>
  <c r="E517" i="5" s="1"/>
  <c r="E518" i="5" a="1"/>
  <c r="E518" i="5" s="1"/>
  <c r="E519" i="5" a="1"/>
  <c r="E519" i="5" s="1"/>
  <c r="E520" i="5" a="1"/>
  <c r="E520" i="5" s="1"/>
  <c r="E521" i="5" a="1"/>
  <c r="E521" i="5" s="1"/>
  <c r="E522" i="5" a="1"/>
  <c r="E522" i="5" s="1"/>
  <c r="E523" i="5" a="1"/>
  <c r="E523" i="5" s="1"/>
  <c r="E524" i="5" a="1"/>
  <c r="E524" i="5" s="1"/>
  <c r="E525" i="5" a="1"/>
  <c r="E525" i="5" s="1"/>
  <c r="E526" i="5" a="1"/>
  <c r="E526" i="5" s="1"/>
  <c r="E527" i="5" a="1"/>
  <c r="E527" i="5" s="1"/>
  <c r="E528" i="5" a="1"/>
  <c r="E528" i="5" s="1"/>
  <c r="E529" i="5" a="1"/>
  <c r="E529" i="5" s="1"/>
  <c r="E530" i="5" a="1"/>
  <c r="E530" i="5" s="1"/>
  <c r="E531" i="5" a="1"/>
  <c r="E531" i="5" s="1"/>
  <c r="E532" i="5" a="1"/>
  <c r="E532" i="5" s="1"/>
  <c r="E533" i="5" a="1"/>
  <c r="E533" i="5" s="1"/>
  <c r="E534" i="5" a="1"/>
  <c r="E534" i="5" s="1"/>
  <c r="E535" i="5" a="1"/>
  <c r="E535" i="5" s="1"/>
  <c r="E536" i="5" a="1"/>
  <c r="E536" i="5" s="1"/>
  <c r="E537" i="5" a="1"/>
  <c r="E537" i="5" s="1"/>
  <c r="E538" i="5" a="1"/>
  <c r="E538" i="5" s="1"/>
  <c r="E539" i="5" a="1"/>
  <c r="E539" i="5" s="1"/>
  <c r="E540" i="5" a="1"/>
  <c r="E540" i="5" s="1"/>
  <c r="E541" i="5" a="1"/>
  <c r="E541" i="5" s="1"/>
  <c r="E542" i="5" a="1"/>
  <c r="E542" i="5" s="1"/>
  <c r="E543" i="5" a="1"/>
  <c r="E543" i="5" s="1"/>
  <c r="E544" i="5" a="1"/>
  <c r="E544" i="5" s="1"/>
  <c r="E545" i="5" a="1"/>
  <c r="E545" i="5" s="1"/>
  <c r="E546" i="5" a="1"/>
  <c r="E546" i="5" s="1"/>
  <c r="E547" i="5" a="1"/>
  <c r="E547" i="5" s="1"/>
  <c r="E548" i="5" a="1"/>
  <c r="E548" i="5" s="1"/>
  <c r="E549" i="5" a="1"/>
  <c r="E549" i="5" s="1"/>
  <c r="E550" i="5" a="1"/>
  <c r="E550" i="5" s="1"/>
  <c r="E551" i="5" a="1"/>
  <c r="E551" i="5" s="1"/>
  <c r="E552" i="5" a="1"/>
  <c r="E552" i="5" s="1"/>
  <c r="E553" i="5" a="1"/>
  <c r="E553" i="5" s="1"/>
  <c r="E554" i="5" a="1"/>
  <c r="E554" i="5" s="1"/>
  <c r="E555" i="5" a="1"/>
  <c r="E555" i="5" s="1"/>
  <c r="E556" i="5" a="1"/>
  <c r="E556" i="5" s="1"/>
  <c r="E557" i="5" a="1"/>
  <c r="E557" i="5" s="1"/>
  <c r="E558" i="5" a="1"/>
  <c r="E558" i="5" s="1"/>
  <c r="E560" i="5" a="1"/>
  <c r="E560" i="5" s="1"/>
  <c r="E561" i="5" a="1"/>
  <c r="E561" i="5" s="1"/>
  <c r="E562" i="5" a="1"/>
  <c r="E562" i="5" s="1"/>
  <c r="E563" i="5" a="1"/>
  <c r="E563" i="5" s="1"/>
  <c r="E564" i="5" a="1"/>
  <c r="E564" i="5" s="1"/>
  <c r="E565" i="5" a="1"/>
  <c r="E565" i="5" s="1"/>
  <c r="E566" i="5" a="1"/>
  <c r="E566" i="5" s="1"/>
  <c r="E567" i="5" a="1"/>
  <c r="E567" i="5" s="1"/>
  <c r="E568" i="5" a="1"/>
  <c r="E568" i="5" s="1"/>
  <c r="E569" i="5" a="1"/>
  <c r="E569" i="5" s="1"/>
  <c r="E571" i="5" a="1"/>
  <c r="E571" i="5" s="1"/>
  <c r="E572" i="5" a="1"/>
  <c r="E572" i="5" s="1"/>
  <c r="E573" i="5" a="1"/>
  <c r="E573" i="5" s="1"/>
  <c r="E574" i="5" a="1"/>
  <c r="E574" i="5" s="1"/>
  <c r="E575" i="5" a="1"/>
  <c r="E575" i="5" s="1"/>
  <c r="E576" i="5" a="1"/>
  <c r="E576" i="5" s="1"/>
  <c r="E577" i="5" a="1"/>
  <c r="E577" i="5" s="1"/>
  <c r="E578" i="5" a="1"/>
  <c r="E578" i="5" s="1"/>
  <c r="E579" i="5" a="1"/>
  <c r="E579" i="5" s="1"/>
  <c r="E580" i="5" a="1"/>
  <c r="E580" i="5" s="1"/>
  <c r="E581" i="5" a="1"/>
  <c r="E581" i="5" s="1"/>
  <c r="E582" i="5" a="1"/>
  <c r="E582" i="5" s="1"/>
  <c r="E583" i="5" a="1"/>
  <c r="E583" i="5" s="1"/>
  <c r="E584" i="5" a="1"/>
  <c r="E584" i="5" s="1"/>
  <c r="E585" i="5" a="1"/>
  <c r="E585" i="5" s="1"/>
  <c r="E586" i="5" a="1"/>
  <c r="E586" i="5" s="1"/>
  <c r="E587" i="5" a="1"/>
  <c r="E587" i="5" s="1"/>
  <c r="E588" i="5" a="1"/>
  <c r="E588" i="5" s="1"/>
  <c r="E589" i="5" a="1"/>
  <c r="E589" i="5" s="1"/>
  <c r="E2" i="5" a="1"/>
  <c r="E2" i="5" s="1"/>
  <c r="K164" i="5" l="1" a="1"/>
  <c r="K164" i="5" s="1"/>
  <c r="K165" i="5" a="1"/>
  <c r="K165" i="5" s="1"/>
  <c r="K166" i="5" a="1"/>
  <c r="K166" i="5" s="1"/>
  <c r="K167" i="5" a="1"/>
  <c r="K167" i="5" s="1"/>
  <c r="K168" i="5" a="1"/>
  <c r="K168" i="5" s="1"/>
  <c r="K169" i="5" a="1"/>
  <c r="K169" i="5" s="1"/>
  <c r="K170" i="5" a="1"/>
  <c r="K170" i="5" s="1"/>
  <c r="K171" i="5" a="1"/>
  <c r="K171" i="5" s="1"/>
  <c r="K96" i="5" a="1"/>
  <c r="K96" i="5" s="1"/>
  <c r="K97" i="5" a="1"/>
  <c r="K97" i="5" s="1"/>
  <c r="K98" i="5" a="1"/>
  <c r="K98" i="5" s="1"/>
  <c r="K99" i="5" a="1"/>
  <c r="K99" i="5" s="1"/>
  <c r="K100" i="5" a="1"/>
  <c r="K100" i="5" s="1"/>
  <c r="K175" i="5" a="1"/>
  <c r="K175" i="5" s="1"/>
  <c r="K176" i="5" a="1"/>
  <c r="K176" i="5" s="1"/>
  <c r="K177" i="5" a="1"/>
  <c r="K177" i="5" s="1"/>
  <c r="K178" i="5" a="1"/>
  <c r="K178" i="5" s="1"/>
  <c r="K179" i="5" a="1"/>
  <c r="K179" i="5" s="1"/>
  <c r="K247" i="5" a="1"/>
  <c r="K247" i="5" s="1"/>
  <c r="K248" i="5" a="1"/>
  <c r="K248" i="5" s="1"/>
  <c r="K249" i="5" a="1"/>
  <c r="K249" i="5" s="1"/>
  <c r="K250" i="5" a="1"/>
  <c r="K250" i="5" s="1"/>
  <c r="K271" i="5" a="1"/>
  <c r="K271" i="5" s="1"/>
  <c r="K272" i="5" a="1"/>
  <c r="K272" i="5" s="1"/>
  <c r="K273" i="5" a="1"/>
  <c r="K273" i="5" s="1"/>
  <c r="K274" i="5" a="1"/>
  <c r="K274" i="5" s="1"/>
  <c r="K275" i="5" a="1"/>
  <c r="K275" i="5" s="1"/>
  <c r="K276" i="5" a="1"/>
  <c r="K276" i="5" s="1"/>
  <c r="K277" i="5" a="1"/>
  <c r="K277" i="5" s="1"/>
  <c r="K278" i="5" a="1"/>
  <c r="K278" i="5" s="1"/>
  <c r="K279" i="5" a="1"/>
  <c r="K279" i="5" s="1"/>
  <c r="K280" i="5" a="1"/>
  <c r="K280" i="5" s="1"/>
  <c r="K281" i="5" a="1"/>
  <c r="K281" i="5" s="1"/>
  <c r="K282" i="5" a="1"/>
  <c r="K282" i="5" s="1"/>
  <c r="K283" i="5" a="1"/>
  <c r="K283" i="5" s="1"/>
  <c r="K284" i="5" a="1"/>
  <c r="K284" i="5" s="1"/>
  <c r="K285" i="5" a="1"/>
  <c r="K285" i="5" s="1"/>
  <c r="K286" i="5" a="1"/>
  <c r="K286" i="5" s="1"/>
  <c r="K287" i="5" a="1"/>
  <c r="K287" i="5" s="1"/>
  <c r="K288" i="5" a="1"/>
  <c r="K288" i="5" s="1"/>
  <c r="K299" i="5" a="1"/>
  <c r="K299" i="5" s="1"/>
  <c r="K300" i="5" a="1"/>
  <c r="K300" i="5" s="1"/>
  <c r="K301" i="5" a="1"/>
  <c r="K301" i="5" s="1"/>
  <c r="K302" i="5" a="1"/>
  <c r="K302" i="5" s="1"/>
  <c r="K303" i="5" a="1"/>
  <c r="K303" i="5" s="1"/>
  <c r="K304" i="5" a="1"/>
  <c r="K304" i="5" s="1"/>
  <c r="K305" i="5" a="1"/>
  <c r="K305" i="5" s="1"/>
  <c r="K306" i="5" a="1"/>
  <c r="K306" i="5" s="1"/>
  <c r="K309" i="5" a="1"/>
  <c r="K309" i="5" s="1"/>
  <c r="K310" i="5" a="1"/>
  <c r="K310" i="5" s="1"/>
  <c r="K311" i="5" a="1"/>
  <c r="K311" i="5" s="1"/>
  <c r="K312" i="5" a="1"/>
  <c r="K312" i="5" s="1"/>
  <c r="K405" i="5" a="1"/>
  <c r="K405" i="5" s="1"/>
  <c r="K406" i="5" a="1"/>
  <c r="K406" i="5" s="1"/>
  <c r="K407" i="5" a="1"/>
  <c r="K407" i="5" s="1"/>
  <c r="K408" i="5" a="1"/>
  <c r="K408" i="5" s="1"/>
  <c r="K409" i="5" a="1"/>
  <c r="K409" i="5" s="1"/>
  <c r="K410" i="5" a="1"/>
  <c r="K410" i="5" s="1"/>
  <c r="K411" i="5" a="1"/>
  <c r="K411" i="5" s="1"/>
  <c r="K412" i="5" a="1"/>
  <c r="K412" i="5" s="1"/>
  <c r="K496" i="5" a="1"/>
  <c r="K496" i="5" s="1"/>
  <c r="K497" i="5" a="1"/>
  <c r="K497" i="5" s="1"/>
  <c r="K498" i="5" a="1"/>
  <c r="K498" i="5" s="1"/>
  <c r="K499" i="5" a="1"/>
  <c r="K499" i="5" s="1"/>
  <c r="K560" i="5" a="1"/>
  <c r="K560" i="5" s="1"/>
  <c r="K561" i="5" a="1"/>
  <c r="K561" i="5" s="1"/>
  <c r="K562" i="5" a="1"/>
  <c r="K562" i="5" s="1"/>
  <c r="K563" i="5" a="1"/>
  <c r="K563" i="5" s="1"/>
  <c r="K564" i="5" a="1"/>
  <c r="K564" i="5" s="1"/>
  <c r="K565" i="5" a="1"/>
  <c r="K565" i="5" s="1"/>
  <c r="K566" i="5" a="1"/>
  <c r="K566" i="5" s="1"/>
  <c r="K567" i="5" a="1"/>
  <c r="K567" i="5" s="1"/>
  <c r="K568" i="5" a="1"/>
  <c r="K568" i="5" s="1"/>
  <c r="K569" i="5" a="1"/>
  <c r="K569" i="5" s="1"/>
  <c r="K572" i="5" a="1"/>
  <c r="K572" i="5" s="1"/>
  <c r="K573" i="5" a="1"/>
  <c r="K573" i="5" s="1"/>
  <c r="K574" i="5" a="1"/>
  <c r="K574" i="5" s="1"/>
  <c r="K575" i="5" a="1"/>
  <c r="K575" i="5" s="1"/>
  <c r="K576" i="5" a="1"/>
  <c r="K576" i="5" s="1"/>
  <c r="K577" i="5" a="1"/>
  <c r="K577" i="5" s="1"/>
  <c r="K578" i="5" a="1"/>
  <c r="K578" i="5" s="1"/>
  <c r="K579" i="5" a="1"/>
  <c r="K579" i="5" s="1"/>
  <c r="K580" i="5" a="1"/>
  <c r="K580" i="5" s="1"/>
  <c r="H582" i="5" l="1"/>
  <c r="H583" i="5"/>
  <c r="H584" i="5"/>
  <c r="H585" i="5"/>
  <c r="H586" i="5"/>
  <c r="H587" i="5"/>
  <c r="H588" i="5"/>
  <c r="H589" i="5"/>
  <c r="H581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71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01" i="5"/>
  <c r="H502" i="5"/>
  <c r="H503" i="5"/>
  <c r="H500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76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14" i="5"/>
  <c r="H415" i="5"/>
  <c r="H416" i="5"/>
  <c r="H417" i="5"/>
  <c r="H418" i="5"/>
  <c r="H419" i="5"/>
  <c r="H420" i="5"/>
  <c r="H413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380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16" i="5"/>
  <c r="H307" i="5"/>
  <c r="H308" i="5"/>
  <c r="H313" i="5"/>
  <c r="H314" i="5"/>
  <c r="H315" i="5"/>
  <c r="H290" i="5"/>
  <c r="H291" i="5"/>
  <c r="H292" i="5"/>
  <c r="H293" i="5"/>
  <c r="H294" i="5"/>
  <c r="H295" i="5"/>
  <c r="H296" i="5"/>
  <c r="H297" i="5"/>
  <c r="H298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89" i="5"/>
  <c r="H253" i="5"/>
  <c r="H254" i="5"/>
  <c r="H255" i="5"/>
  <c r="H25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18" i="5"/>
  <c r="H219" i="5"/>
  <c r="H220" i="5"/>
  <c r="H221" i="5"/>
  <c r="H222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181" i="5"/>
  <c r="H182" i="5"/>
  <c r="H183" i="5"/>
  <c r="H184" i="5"/>
  <c r="H180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72" i="5"/>
  <c r="H173" i="5"/>
  <c r="H174" i="5"/>
  <c r="H139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01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2" i="5"/>
  <c r="G582" i="5"/>
  <c r="G583" i="5"/>
  <c r="G584" i="5"/>
  <c r="G585" i="5"/>
  <c r="G586" i="5"/>
  <c r="G587" i="5"/>
  <c r="G588" i="5"/>
  <c r="G589" i="5"/>
  <c r="G581" i="5"/>
  <c r="G571" i="5"/>
  <c r="G538" i="5"/>
  <c r="I538" i="5" s="1" a="1"/>
  <c r="I538" i="5" s="1"/>
  <c r="G539" i="5"/>
  <c r="G540" i="5"/>
  <c r="G541" i="5"/>
  <c r="G542" i="5"/>
  <c r="I542" i="5" s="1" a="1"/>
  <c r="I542" i="5" s="1"/>
  <c r="G543" i="5"/>
  <c r="I543" i="5" s="1" a="1"/>
  <c r="I543" i="5" s="1"/>
  <c r="G544" i="5"/>
  <c r="I544" i="5" s="1" a="1"/>
  <c r="I544" i="5" s="1"/>
  <c r="G545" i="5"/>
  <c r="I545" i="5" s="1" a="1"/>
  <c r="I545" i="5" s="1"/>
  <c r="G546" i="5"/>
  <c r="I546" i="5" s="1" a="1"/>
  <c r="I546" i="5" s="1"/>
  <c r="G547" i="5"/>
  <c r="G548" i="5"/>
  <c r="G549" i="5"/>
  <c r="I549" i="5" s="1" a="1"/>
  <c r="I549" i="5" s="1"/>
  <c r="G550" i="5"/>
  <c r="I550" i="5" s="1" a="1"/>
  <c r="I550" i="5" s="1"/>
  <c r="G551" i="5"/>
  <c r="G552" i="5"/>
  <c r="G553" i="5"/>
  <c r="I553" i="5" s="1" a="1"/>
  <c r="I553" i="5" s="1"/>
  <c r="G554" i="5"/>
  <c r="G555" i="5"/>
  <c r="G556" i="5"/>
  <c r="G557" i="5"/>
  <c r="G558" i="5"/>
  <c r="G537" i="5"/>
  <c r="I537" i="5" s="1" a="1"/>
  <c r="I537" i="5" s="1"/>
  <c r="G505" i="5"/>
  <c r="I505" i="5" s="1" a="1"/>
  <c r="I505" i="5" s="1"/>
  <c r="G506" i="5"/>
  <c r="G507" i="5"/>
  <c r="G508" i="5"/>
  <c r="I508" i="5" s="1" a="1"/>
  <c r="I508" i="5" s="1"/>
  <c r="G509" i="5"/>
  <c r="I509" i="5" s="1" a="1"/>
  <c r="I509" i="5" s="1"/>
  <c r="G510" i="5"/>
  <c r="I510" i="5" s="1" a="1"/>
  <c r="I510" i="5" s="1"/>
  <c r="G511" i="5"/>
  <c r="I511" i="5" s="1" a="1"/>
  <c r="I511" i="5" s="1"/>
  <c r="G512" i="5"/>
  <c r="I512" i="5" s="1" a="1"/>
  <c r="I512" i="5" s="1"/>
  <c r="G513" i="5"/>
  <c r="G514" i="5"/>
  <c r="G515" i="5"/>
  <c r="G516" i="5"/>
  <c r="I516" i="5" s="1" a="1"/>
  <c r="I516" i="5" s="1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04" i="5"/>
  <c r="I504" i="5" s="1" a="1"/>
  <c r="I504" i="5" s="1"/>
  <c r="G477" i="5"/>
  <c r="I477" i="5" s="1" a="1"/>
  <c r="I477" i="5" s="1"/>
  <c r="G478" i="5"/>
  <c r="G479" i="5"/>
  <c r="G480" i="5"/>
  <c r="I480" i="5" s="1" a="1"/>
  <c r="I480" i="5" s="1"/>
  <c r="G481" i="5"/>
  <c r="I481" i="5" s="1" a="1"/>
  <c r="I481" i="5" s="1"/>
  <c r="G482" i="5"/>
  <c r="I482" i="5" s="1" a="1"/>
  <c r="I482" i="5" s="1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500" i="5"/>
  <c r="G501" i="5"/>
  <c r="G502" i="5"/>
  <c r="G503" i="5"/>
  <c r="G476" i="5"/>
  <c r="I476" i="5" s="1" a="1"/>
  <c r="I476" i="5" s="1"/>
  <c r="G444" i="5"/>
  <c r="I444" i="5" s="1" a="1"/>
  <c r="I444" i="5" s="1"/>
  <c r="G445" i="5"/>
  <c r="G446" i="5"/>
  <c r="G447" i="5"/>
  <c r="I447" i="5" s="1" a="1"/>
  <c r="I447" i="5" s="1"/>
  <c r="G448" i="5"/>
  <c r="I448" i="5" s="1" a="1"/>
  <c r="I448" i="5" s="1"/>
  <c r="G449" i="5"/>
  <c r="G450" i="5"/>
  <c r="G451" i="5"/>
  <c r="I451" i="5" s="1" a="1"/>
  <c r="I451" i="5" s="1"/>
  <c r="G452" i="5"/>
  <c r="I452" i="5" s="1" a="1"/>
  <c r="I452" i="5" s="1"/>
  <c r="G453" i="5"/>
  <c r="I453" i="5" s="1" a="1"/>
  <c r="I453" i="5" s="1"/>
  <c r="G454" i="5"/>
  <c r="I454" i="5" s="1" a="1"/>
  <c r="I454" i="5" s="1"/>
  <c r="G455" i="5"/>
  <c r="I455" i="5" s="1" a="1"/>
  <c r="I455" i="5" s="1"/>
  <c r="G456" i="5"/>
  <c r="I456" i="5" s="1" a="1"/>
  <c r="I456" i="5" s="1"/>
  <c r="G457" i="5"/>
  <c r="G458" i="5"/>
  <c r="G459" i="5"/>
  <c r="I459" i="5" s="1" a="1"/>
  <c r="I459" i="5" s="1"/>
  <c r="G460" i="5"/>
  <c r="I460" i="5" s="1" a="1"/>
  <c r="I460" i="5" s="1"/>
  <c r="G461" i="5"/>
  <c r="G462" i="5"/>
  <c r="G463" i="5"/>
  <c r="I463" i="5" s="1" a="1"/>
  <c r="I463" i="5" s="1"/>
  <c r="G464" i="5"/>
  <c r="I464" i="5" s="1" a="1"/>
  <c r="I464" i="5" s="1"/>
  <c r="G465" i="5"/>
  <c r="I465" i="5" s="1" a="1"/>
  <c r="I465" i="5" s="1"/>
  <c r="G466" i="5"/>
  <c r="I466" i="5" s="1" a="1"/>
  <c r="I466" i="5" s="1"/>
  <c r="G467" i="5"/>
  <c r="I467" i="5" s="1" a="1"/>
  <c r="I467" i="5" s="1"/>
  <c r="G468" i="5"/>
  <c r="I468" i="5" s="1" a="1"/>
  <c r="I468" i="5" s="1"/>
  <c r="G469" i="5"/>
  <c r="G470" i="5"/>
  <c r="G471" i="5"/>
  <c r="I471" i="5" s="1" a="1"/>
  <c r="I471" i="5" s="1"/>
  <c r="G472" i="5"/>
  <c r="G473" i="5"/>
  <c r="G474" i="5"/>
  <c r="G475" i="5"/>
  <c r="G443" i="5"/>
  <c r="G422" i="5"/>
  <c r="I422" i="5" s="1" a="1"/>
  <c r="I422" i="5" s="1"/>
  <c r="G423" i="5"/>
  <c r="I423" i="5" s="1" a="1"/>
  <c r="I423" i="5" s="1"/>
  <c r="G424" i="5"/>
  <c r="I424" i="5" s="1" a="1"/>
  <c r="I424" i="5" s="1"/>
  <c r="G425" i="5"/>
  <c r="I425" i="5" s="1" a="1"/>
  <c r="I425" i="5" s="1"/>
  <c r="G426" i="5"/>
  <c r="G427" i="5"/>
  <c r="G428" i="5"/>
  <c r="I428" i="5" s="1" a="1"/>
  <c r="I428" i="5" s="1"/>
  <c r="G429" i="5"/>
  <c r="I429" i="5" s="1" a="1"/>
  <c r="I429" i="5" s="1"/>
  <c r="G430" i="5"/>
  <c r="G431" i="5"/>
  <c r="G432" i="5"/>
  <c r="I432" i="5" s="1" a="1"/>
  <c r="I432" i="5" s="1"/>
  <c r="G433" i="5"/>
  <c r="I433" i="5" s="1" a="1"/>
  <c r="I433" i="5" s="1"/>
  <c r="G434" i="5"/>
  <c r="I434" i="5" s="1" a="1"/>
  <c r="I434" i="5" s="1"/>
  <c r="G435" i="5"/>
  <c r="I435" i="5" s="1" a="1"/>
  <c r="I435" i="5" s="1"/>
  <c r="G436" i="5"/>
  <c r="I436" i="5" s="1" a="1"/>
  <c r="I436" i="5" s="1"/>
  <c r="G437" i="5"/>
  <c r="I437" i="5" s="1" a="1"/>
  <c r="I437" i="5" s="1"/>
  <c r="G438" i="5"/>
  <c r="G439" i="5"/>
  <c r="G440" i="5"/>
  <c r="I440" i="5" s="1" a="1"/>
  <c r="I440" i="5" s="1"/>
  <c r="G441" i="5"/>
  <c r="I441" i="5" s="1" a="1"/>
  <c r="I441" i="5" s="1"/>
  <c r="G442" i="5"/>
  <c r="G421" i="5"/>
  <c r="I421" i="5" s="1" a="1"/>
  <c r="I421" i="5" s="1"/>
  <c r="G414" i="5"/>
  <c r="G415" i="5"/>
  <c r="G416" i="5"/>
  <c r="G417" i="5"/>
  <c r="G418" i="5"/>
  <c r="G419" i="5"/>
  <c r="G420" i="5"/>
  <c r="G413" i="5"/>
  <c r="G381" i="5"/>
  <c r="I381" i="5" s="1" a="1"/>
  <c r="I381" i="5" s="1"/>
  <c r="G382" i="5"/>
  <c r="I382" i="5" s="1" a="1"/>
  <c r="I382" i="5" s="1"/>
  <c r="G383" i="5"/>
  <c r="G384" i="5"/>
  <c r="G385" i="5"/>
  <c r="I385" i="5" s="1" a="1"/>
  <c r="I385" i="5" s="1"/>
  <c r="G386" i="5"/>
  <c r="I386" i="5" s="1" a="1"/>
  <c r="I386" i="5" s="1"/>
  <c r="G387" i="5"/>
  <c r="I387" i="5" s="1" a="1"/>
  <c r="I387" i="5" s="1"/>
  <c r="G388" i="5"/>
  <c r="I388" i="5" s="1" a="1"/>
  <c r="I388" i="5" s="1"/>
  <c r="G389" i="5"/>
  <c r="I389" i="5" s="1" a="1"/>
  <c r="I389" i="5" s="1"/>
  <c r="G390" i="5"/>
  <c r="I390" i="5" s="1" a="1"/>
  <c r="I390" i="5" s="1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380" i="5"/>
  <c r="I380" i="5" s="1" a="1"/>
  <c r="I380" i="5" s="1"/>
  <c r="G348" i="5"/>
  <c r="G349" i="5"/>
  <c r="G350" i="5"/>
  <c r="I350" i="5" s="1" a="1"/>
  <c r="I350" i="5" s="1"/>
  <c r="G351" i="5"/>
  <c r="I351" i="5" s="1" a="1"/>
  <c r="I351" i="5" s="1"/>
  <c r="G352" i="5"/>
  <c r="I352" i="5" s="1" a="1"/>
  <c r="I352" i="5" s="1"/>
  <c r="G353" i="5"/>
  <c r="I353" i="5" s="1" a="1"/>
  <c r="I353" i="5" s="1"/>
  <c r="G354" i="5"/>
  <c r="I354" i="5" s="1" a="1"/>
  <c r="I354" i="5" s="1"/>
  <c r="G355" i="5"/>
  <c r="I355" i="5" s="1" a="1"/>
  <c r="I355" i="5" s="1"/>
  <c r="G356" i="5"/>
  <c r="I356" i="5" s="1" a="1"/>
  <c r="I356" i="5" s="1"/>
  <c r="G357" i="5"/>
  <c r="G358" i="5"/>
  <c r="I358" i="5" s="1" a="1"/>
  <c r="I358" i="5" s="1"/>
  <c r="G359" i="5"/>
  <c r="I359" i="5" s="1" a="1"/>
  <c r="I359" i="5" s="1"/>
  <c r="G360" i="5"/>
  <c r="G361" i="5"/>
  <c r="G362" i="5"/>
  <c r="I362" i="5" s="1" a="1"/>
  <c r="I362" i="5" s="1"/>
  <c r="G363" i="5"/>
  <c r="I363" i="5" s="1" a="1"/>
  <c r="I363" i="5" s="1"/>
  <c r="G364" i="5"/>
  <c r="I364" i="5" s="1" a="1"/>
  <c r="I364" i="5" s="1"/>
  <c r="G365" i="5"/>
  <c r="I365" i="5" s="1" a="1"/>
  <c r="I365" i="5" s="1"/>
  <c r="G366" i="5"/>
  <c r="I366" i="5" s="1" a="1"/>
  <c r="I366" i="5" s="1"/>
  <c r="G367" i="5"/>
  <c r="I367" i="5" s="1" a="1"/>
  <c r="I367" i="5" s="1"/>
  <c r="G368" i="5"/>
  <c r="I368" i="5" s="1" a="1"/>
  <c r="I368" i="5" s="1"/>
  <c r="G369" i="5"/>
  <c r="G370" i="5"/>
  <c r="I370" i="5" s="1" a="1"/>
  <c r="I370" i="5" s="1"/>
  <c r="G371" i="5"/>
  <c r="I371" i="5" s="1" a="1"/>
  <c r="I371" i="5" s="1"/>
  <c r="G372" i="5"/>
  <c r="G373" i="5"/>
  <c r="G374" i="5"/>
  <c r="I374" i="5" s="1" a="1"/>
  <c r="I374" i="5" s="1"/>
  <c r="G375" i="5"/>
  <c r="I375" i="5" s="1" a="1"/>
  <c r="I375" i="5" s="1"/>
  <c r="G376" i="5"/>
  <c r="I376" i="5" s="1" a="1"/>
  <c r="I376" i="5" s="1"/>
  <c r="G377" i="5"/>
  <c r="I377" i="5" s="1" a="1"/>
  <c r="I377" i="5" s="1"/>
  <c r="G378" i="5"/>
  <c r="I378" i="5" s="1" a="1"/>
  <c r="I378" i="5" s="1"/>
  <c r="G379" i="5"/>
  <c r="I379" i="5" s="1" a="1"/>
  <c r="I379" i="5" s="1"/>
  <c r="G347" i="5"/>
  <c r="I347" i="5" s="1" a="1"/>
  <c r="I347" i="5" s="1"/>
  <c r="G317" i="5"/>
  <c r="G318" i="5"/>
  <c r="G319" i="5"/>
  <c r="I319" i="5" s="1" a="1"/>
  <c r="I319" i="5" s="1"/>
  <c r="G320" i="5"/>
  <c r="I320" i="5" s="1" a="1"/>
  <c r="I320" i="5" s="1"/>
  <c r="G321" i="5"/>
  <c r="G322" i="5"/>
  <c r="G323" i="5"/>
  <c r="I323" i="5" s="1" a="1"/>
  <c r="I323" i="5" s="1"/>
  <c r="G324" i="5"/>
  <c r="I324" i="5" s="1" a="1"/>
  <c r="I324" i="5" s="1"/>
  <c r="G325" i="5"/>
  <c r="I325" i="5" s="1" a="1"/>
  <c r="I325" i="5" s="1"/>
  <c r="G326" i="5"/>
  <c r="I326" i="5" s="1" a="1"/>
  <c r="I326" i="5" s="1"/>
  <c r="G327" i="5"/>
  <c r="I327" i="5" s="1" a="1"/>
  <c r="I327" i="5" s="1"/>
  <c r="G328" i="5"/>
  <c r="I328" i="5" s="1" a="1"/>
  <c r="I328" i="5" s="1"/>
  <c r="G329" i="5"/>
  <c r="G330" i="5"/>
  <c r="G331" i="5"/>
  <c r="I331" i="5" s="1" a="1"/>
  <c r="I331" i="5" s="1"/>
  <c r="G332" i="5"/>
  <c r="I332" i="5" s="1" a="1"/>
  <c r="I332" i="5" s="1"/>
  <c r="G333" i="5"/>
  <c r="G334" i="5"/>
  <c r="G335" i="5"/>
  <c r="I335" i="5" s="1" a="1"/>
  <c r="I335" i="5" s="1"/>
  <c r="G336" i="5"/>
  <c r="I336" i="5" s="1" a="1"/>
  <c r="I336" i="5" s="1"/>
  <c r="G337" i="5"/>
  <c r="I337" i="5" s="1" a="1"/>
  <c r="I337" i="5" s="1"/>
  <c r="G338" i="5"/>
  <c r="I338" i="5" s="1" a="1"/>
  <c r="I338" i="5" s="1"/>
  <c r="G339" i="5"/>
  <c r="I339" i="5" s="1" a="1"/>
  <c r="I339" i="5" s="1"/>
  <c r="G340" i="5"/>
  <c r="I340" i="5" s="1" a="1"/>
  <c r="I340" i="5" s="1"/>
  <c r="G341" i="5"/>
  <c r="G342" i="5"/>
  <c r="G343" i="5"/>
  <c r="I343" i="5" s="1" a="1"/>
  <c r="I343" i="5" s="1"/>
  <c r="G344" i="5"/>
  <c r="I344" i="5" s="1" a="1"/>
  <c r="I344" i="5" s="1"/>
  <c r="G345" i="5"/>
  <c r="G346" i="5"/>
  <c r="G316" i="5"/>
  <c r="I316" i="5" s="1" a="1"/>
  <c r="I316" i="5" s="1"/>
  <c r="G289" i="5"/>
  <c r="G290" i="5"/>
  <c r="G291" i="5"/>
  <c r="G292" i="5"/>
  <c r="G293" i="5"/>
  <c r="G294" i="5"/>
  <c r="G295" i="5"/>
  <c r="G296" i="5"/>
  <c r="G297" i="5"/>
  <c r="G298" i="5"/>
  <c r="G307" i="5"/>
  <c r="G308" i="5"/>
  <c r="G313" i="5"/>
  <c r="G314" i="5"/>
  <c r="G315" i="5"/>
  <c r="G257" i="5"/>
  <c r="G258" i="5"/>
  <c r="I258" i="5" s="1" a="1"/>
  <c r="I258" i="5" s="1"/>
  <c r="G259" i="5"/>
  <c r="I259" i="5" s="1" a="1"/>
  <c r="I259" i="5" s="1"/>
  <c r="G260" i="5"/>
  <c r="G261" i="5"/>
  <c r="G262" i="5"/>
  <c r="I262" i="5" s="1" a="1"/>
  <c r="I262" i="5" s="1"/>
  <c r="G263" i="5"/>
  <c r="I263" i="5" s="1" a="1"/>
  <c r="I263" i="5" s="1"/>
  <c r="G264" i="5"/>
  <c r="I264" i="5" s="1" a="1"/>
  <c r="I264" i="5" s="1"/>
  <c r="G265" i="5"/>
  <c r="I265" i="5" s="1" a="1"/>
  <c r="I265" i="5" s="1"/>
  <c r="G266" i="5"/>
  <c r="I266" i="5" s="1" a="1"/>
  <c r="I266" i="5" s="1"/>
  <c r="G267" i="5"/>
  <c r="I267" i="5" s="1" a="1"/>
  <c r="I267" i="5" s="1"/>
  <c r="G268" i="5"/>
  <c r="G269" i="5"/>
  <c r="G270" i="5"/>
  <c r="G256" i="5"/>
  <c r="I256" i="5" s="1" a="1"/>
  <c r="I256" i="5" s="1"/>
  <c r="G219" i="5"/>
  <c r="I219" i="5" s="1" a="1"/>
  <c r="I219" i="5" s="1"/>
  <c r="G220" i="5"/>
  <c r="I220" i="5" s="1" a="1"/>
  <c r="I220" i="5" s="1"/>
  <c r="G221" i="5"/>
  <c r="I221" i="5" s="1" a="1"/>
  <c r="I221" i="5" s="1"/>
  <c r="G222" i="5"/>
  <c r="G223" i="5"/>
  <c r="I223" i="5" s="1" a="1"/>
  <c r="I223" i="5" s="1"/>
  <c r="G224" i="5"/>
  <c r="I224" i="5" s="1" a="1"/>
  <c r="I224" i="5" s="1"/>
  <c r="G225" i="5"/>
  <c r="I225" i="5" s="1" a="1"/>
  <c r="I225" i="5" s="1"/>
  <c r="G226" i="5"/>
  <c r="I226" i="5" s="1" a="1"/>
  <c r="I226" i="5" s="1"/>
  <c r="G227" i="5"/>
  <c r="G228" i="5"/>
  <c r="G229" i="5"/>
  <c r="I229" i="5" s="1" a="1"/>
  <c r="I229" i="5" s="1"/>
  <c r="G230" i="5"/>
  <c r="I230" i="5" s="1" a="1"/>
  <c r="I230" i="5" s="1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52" i="5"/>
  <c r="G253" i="5"/>
  <c r="G254" i="5"/>
  <c r="G255" i="5"/>
  <c r="G218" i="5"/>
  <c r="I218" i="5" s="1" a="1"/>
  <c r="I218" i="5" s="1"/>
  <c r="G186" i="5"/>
  <c r="I186" i="5" s="1" a="1"/>
  <c r="I186" i="5" s="1"/>
  <c r="G187" i="5"/>
  <c r="I187" i="5" s="1" a="1"/>
  <c r="I187" i="5" s="1"/>
  <c r="G188" i="5"/>
  <c r="G189" i="5"/>
  <c r="G190" i="5"/>
  <c r="I190" i="5" s="1" a="1"/>
  <c r="I190" i="5" s="1"/>
  <c r="G191" i="5"/>
  <c r="I191" i="5" s="1" a="1"/>
  <c r="I191" i="5" s="1"/>
  <c r="G192" i="5"/>
  <c r="I192" i="5" s="1" a="1"/>
  <c r="I192" i="5" s="1"/>
  <c r="G193" i="5"/>
  <c r="I193" i="5" s="1" a="1"/>
  <c r="I193" i="5" s="1"/>
  <c r="G194" i="5"/>
  <c r="I194" i="5" s="1" a="1"/>
  <c r="I194" i="5" s="1"/>
  <c r="G195" i="5"/>
  <c r="I195" i="5" s="1" a="1"/>
  <c r="I195" i="5" s="1"/>
  <c r="G196" i="5"/>
  <c r="I196" i="5" s="1" a="1"/>
  <c r="I196" i="5" s="1"/>
  <c r="G197" i="5"/>
  <c r="G198" i="5"/>
  <c r="I198" i="5" s="1" a="1"/>
  <c r="I198" i="5" s="1"/>
  <c r="G199" i="5"/>
  <c r="I199" i="5" s="1" a="1"/>
  <c r="I199" i="5" s="1"/>
  <c r="G200" i="5"/>
  <c r="G201" i="5"/>
  <c r="G202" i="5"/>
  <c r="I202" i="5" s="1" a="1"/>
  <c r="I202" i="5" s="1"/>
  <c r="G203" i="5"/>
  <c r="I203" i="5" s="1" a="1"/>
  <c r="I203" i="5" s="1"/>
  <c r="G204" i="5"/>
  <c r="I204" i="5" s="1" a="1"/>
  <c r="I204" i="5" s="1"/>
  <c r="G205" i="5"/>
  <c r="I205" i="5" s="1" a="1"/>
  <c r="I205" i="5" s="1"/>
  <c r="G206" i="5"/>
  <c r="I206" i="5" s="1" a="1"/>
  <c r="I206" i="5" s="1"/>
  <c r="G207" i="5"/>
  <c r="I207" i="5" s="1" a="1"/>
  <c r="I207" i="5" s="1"/>
  <c r="G208" i="5"/>
  <c r="I208" i="5" s="1" a="1"/>
  <c r="I208" i="5" s="1"/>
  <c r="G209" i="5"/>
  <c r="G210" i="5"/>
  <c r="I210" i="5" s="1" a="1"/>
  <c r="I210" i="5" s="1"/>
  <c r="G211" i="5"/>
  <c r="I211" i="5" s="1" a="1"/>
  <c r="I211" i="5" s="1"/>
  <c r="G212" i="5"/>
  <c r="G213" i="5"/>
  <c r="G214" i="5"/>
  <c r="G215" i="5"/>
  <c r="G216" i="5"/>
  <c r="G217" i="5"/>
  <c r="G185" i="5"/>
  <c r="G181" i="5"/>
  <c r="G182" i="5"/>
  <c r="G183" i="5"/>
  <c r="G184" i="5"/>
  <c r="G180" i="5"/>
  <c r="G140" i="5"/>
  <c r="I140" i="5" s="1" a="1"/>
  <c r="I140" i="5" s="1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72" i="5"/>
  <c r="G173" i="5"/>
  <c r="G174" i="5"/>
  <c r="G139" i="5"/>
  <c r="I139" i="5" s="1" a="1"/>
  <c r="I139" i="5" s="1"/>
  <c r="G107" i="5"/>
  <c r="G108" i="5"/>
  <c r="G109" i="5"/>
  <c r="I109" i="5" s="1" a="1"/>
  <c r="I109" i="5" s="1"/>
  <c r="G110" i="5"/>
  <c r="I110" i="5" s="1" a="1"/>
  <c r="I110" i="5" s="1"/>
  <c r="G111" i="5"/>
  <c r="G112" i="5"/>
  <c r="G113" i="5"/>
  <c r="I113" i="5" s="1" a="1"/>
  <c r="I113" i="5" s="1"/>
  <c r="G114" i="5"/>
  <c r="I114" i="5" s="1" a="1"/>
  <c r="I114" i="5" s="1"/>
  <c r="G115" i="5"/>
  <c r="I115" i="5" s="1" a="1"/>
  <c r="I115" i="5" s="1"/>
  <c r="G116" i="5"/>
  <c r="I116" i="5" s="1" a="1"/>
  <c r="I116" i="5" s="1"/>
  <c r="G117" i="5"/>
  <c r="I117" i="5" s="1" a="1"/>
  <c r="I117" i="5" s="1"/>
  <c r="G118" i="5"/>
  <c r="I118" i="5" s="1" a="1"/>
  <c r="I118" i="5" s="1"/>
  <c r="G119" i="5"/>
  <c r="G120" i="5"/>
  <c r="G121" i="5"/>
  <c r="I121" i="5" s="1" a="1"/>
  <c r="I121" i="5" s="1"/>
  <c r="G122" i="5"/>
  <c r="I122" i="5" s="1" a="1"/>
  <c r="I122" i="5" s="1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06" i="5"/>
  <c r="I106" i="5" s="1" a="1"/>
  <c r="I106" i="5" s="1"/>
  <c r="G102" i="5"/>
  <c r="G103" i="5"/>
  <c r="G104" i="5"/>
  <c r="G105" i="5"/>
  <c r="G101" i="5"/>
  <c r="G69" i="5"/>
  <c r="I69" i="5" s="1" a="1"/>
  <c r="I69" i="5" s="1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68" i="5"/>
  <c r="I68" i="5" s="1" a="1"/>
  <c r="I68" i="5" s="1"/>
  <c r="G36" i="5"/>
  <c r="I36" i="5" s="1" a="1"/>
  <c r="I36" i="5" s="1"/>
  <c r="G37" i="5"/>
  <c r="I37" i="5" s="1" a="1"/>
  <c r="I37" i="5" s="1"/>
  <c r="G38" i="5"/>
  <c r="I38" i="5" s="1" a="1"/>
  <c r="I38" i="5" s="1"/>
  <c r="G39" i="5"/>
  <c r="I39" i="5" s="1" a="1"/>
  <c r="I39" i="5" s="1"/>
  <c r="G40" i="5"/>
  <c r="I40" i="5" s="1" a="1"/>
  <c r="I40" i="5" s="1"/>
  <c r="G41" i="5"/>
  <c r="I41" i="5" s="1" a="1"/>
  <c r="I41" i="5" s="1"/>
  <c r="G42" i="5"/>
  <c r="G43" i="5"/>
  <c r="G44" i="5"/>
  <c r="I44" i="5" s="1" a="1"/>
  <c r="I44" i="5" s="1"/>
  <c r="G45" i="5"/>
  <c r="I45" i="5" s="1" a="1"/>
  <c r="I45" i="5" s="1"/>
  <c r="G46" i="5"/>
  <c r="G47" i="5"/>
  <c r="G48" i="5"/>
  <c r="I48" i="5" s="1" a="1"/>
  <c r="I48" i="5" s="1"/>
  <c r="G49" i="5"/>
  <c r="I49" i="5" s="1" a="1"/>
  <c r="I49" i="5" s="1"/>
  <c r="G50" i="5"/>
  <c r="I50" i="5" s="1" a="1"/>
  <c r="I50" i="5" s="1"/>
  <c r="G51" i="5"/>
  <c r="I51" i="5" s="1" a="1"/>
  <c r="I51" i="5" s="1"/>
  <c r="G52" i="5"/>
  <c r="I52" i="5" s="1" a="1"/>
  <c r="I52" i="5" s="1"/>
  <c r="G53" i="5"/>
  <c r="I53" i="5" s="1" a="1"/>
  <c r="I53" i="5" s="1"/>
  <c r="G54" i="5"/>
  <c r="G55" i="5"/>
  <c r="G56" i="5"/>
  <c r="I56" i="5" s="1" a="1"/>
  <c r="I56" i="5" s="1"/>
  <c r="G57" i="5"/>
  <c r="I57" i="5" s="1" a="1"/>
  <c r="I57" i="5" s="1"/>
  <c r="G58" i="5"/>
  <c r="G59" i="5"/>
  <c r="G60" i="5"/>
  <c r="I60" i="5" s="1" a="1"/>
  <c r="I60" i="5" s="1"/>
  <c r="G61" i="5"/>
  <c r="I61" i="5" s="1" a="1"/>
  <c r="I61" i="5" s="1"/>
  <c r="G62" i="5"/>
  <c r="I62" i="5" s="1" a="1"/>
  <c r="I62" i="5" s="1"/>
  <c r="G63" i="5"/>
  <c r="I63" i="5" s="1" a="1"/>
  <c r="I63" i="5" s="1"/>
  <c r="G64" i="5"/>
  <c r="I64" i="5" s="1" a="1"/>
  <c r="I64" i="5" s="1"/>
  <c r="G65" i="5"/>
  <c r="I65" i="5" s="1" a="1"/>
  <c r="I65" i="5" s="1"/>
  <c r="G66" i="5"/>
  <c r="G67" i="5"/>
  <c r="G35" i="5"/>
  <c r="F124" i="5"/>
  <c r="F125" i="5"/>
  <c r="F126" i="5"/>
  <c r="F127" i="5"/>
  <c r="F128" i="5"/>
  <c r="F129" i="5"/>
  <c r="I129" i="5" s="1" a="1"/>
  <c r="I129" i="5" s="1"/>
  <c r="F130" i="5"/>
  <c r="F131" i="5"/>
  <c r="F132" i="5"/>
  <c r="F133" i="5"/>
  <c r="F134" i="5"/>
  <c r="F135" i="5"/>
  <c r="F136" i="5"/>
  <c r="F137" i="5"/>
  <c r="F138" i="5"/>
  <c r="G3" i="5"/>
  <c r="I3" i="5" s="1" a="1"/>
  <c r="I3" i="5" s="1"/>
  <c r="G4" i="5"/>
  <c r="I4" i="5" s="1" a="1"/>
  <c r="I4" i="5" s="1"/>
  <c r="G5" i="5"/>
  <c r="I5" i="5" s="1" a="1"/>
  <c r="I5" i="5" s="1"/>
  <c r="G6" i="5"/>
  <c r="G7" i="5"/>
  <c r="G8" i="5"/>
  <c r="I8" i="5" s="1" a="1"/>
  <c r="I8" i="5" s="1"/>
  <c r="G9" i="5"/>
  <c r="I9" i="5" s="1" a="1"/>
  <c r="I9" i="5" s="1"/>
  <c r="G10" i="5"/>
  <c r="G11" i="5"/>
  <c r="G12" i="5"/>
  <c r="I12" i="5" s="1" a="1"/>
  <c r="I12" i="5" s="1"/>
  <c r="G13" i="5"/>
  <c r="I13" i="5" s="1" a="1"/>
  <c r="I13" i="5" s="1"/>
  <c r="G14" i="5"/>
  <c r="I14" i="5" s="1" a="1"/>
  <c r="I14" i="5" s="1"/>
  <c r="G15" i="5"/>
  <c r="I15" i="5" s="1" a="1"/>
  <c r="I15" i="5" s="1"/>
  <c r="G16" i="5"/>
  <c r="I16" i="5" s="1" a="1"/>
  <c r="I16" i="5" s="1"/>
  <c r="G17" i="5"/>
  <c r="I17" i="5" s="1" a="1"/>
  <c r="I17" i="5" s="1"/>
  <c r="G18" i="5"/>
  <c r="G19" i="5"/>
  <c r="G20" i="5"/>
  <c r="I20" i="5" s="1" a="1"/>
  <c r="I20" i="5" s="1"/>
  <c r="G21" i="5"/>
  <c r="I21" i="5" s="1" a="1"/>
  <c r="I21" i="5" s="1"/>
  <c r="G22" i="5"/>
  <c r="G23" i="5"/>
  <c r="G24" i="5"/>
  <c r="I24" i="5" s="1" a="1"/>
  <c r="I24" i="5" s="1"/>
  <c r="G25" i="5"/>
  <c r="I25" i="5" s="1" a="1"/>
  <c r="I25" i="5" s="1"/>
  <c r="G26" i="5"/>
  <c r="I26" i="5" s="1" a="1"/>
  <c r="I26" i="5" s="1"/>
  <c r="G27" i="5"/>
  <c r="I27" i="5" s="1" a="1"/>
  <c r="I27" i="5" s="1"/>
  <c r="G28" i="5"/>
  <c r="I28" i="5" s="1" a="1"/>
  <c r="I28" i="5" s="1"/>
  <c r="G29" i="5"/>
  <c r="I29" i="5" s="1" a="1"/>
  <c r="I29" i="5" s="1"/>
  <c r="G30" i="5"/>
  <c r="G31" i="5"/>
  <c r="G32" i="5"/>
  <c r="I32" i="5" s="1" a="1"/>
  <c r="I32" i="5" s="1"/>
  <c r="G33" i="5"/>
  <c r="I33" i="5" s="1" a="1"/>
  <c r="I33" i="5" s="1"/>
  <c r="G34" i="5"/>
  <c r="G2" i="5"/>
  <c r="I2" i="5" s="1" a="1"/>
  <c r="I2" i="5" s="1"/>
  <c r="F582" i="5"/>
  <c r="F583" i="5"/>
  <c r="F584" i="5"/>
  <c r="F585" i="5"/>
  <c r="F586" i="5"/>
  <c r="F587" i="5"/>
  <c r="F588" i="5"/>
  <c r="F589" i="5"/>
  <c r="F581" i="5"/>
  <c r="F571" i="5"/>
  <c r="F555" i="5"/>
  <c r="I555" i="5" s="1" a="1"/>
  <c r="I555" i="5" s="1"/>
  <c r="F556" i="5"/>
  <c r="I556" i="5" s="1" a="1"/>
  <c r="I556" i="5" s="1"/>
  <c r="F557" i="5"/>
  <c r="I557" i="5" s="1" a="1"/>
  <c r="I557" i="5" s="1"/>
  <c r="F558" i="5"/>
  <c r="I558" i="5" s="1" a="1"/>
  <c r="I558" i="5" s="1"/>
  <c r="F554" i="5"/>
  <c r="I554" i="5" s="1" a="1"/>
  <c r="I554" i="5" s="1"/>
  <c r="F518" i="5"/>
  <c r="F519" i="5"/>
  <c r="I519" i="5" s="1" a="1"/>
  <c r="I519" i="5" s="1"/>
  <c r="F520" i="5"/>
  <c r="I520" i="5" s="1" a="1"/>
  <c r="I520" i="5" s="1"/>
  <c r="F521" i="5"/>
  <c r="I521" i="5" s="1" a="1"/>
  <c r="I521" i="5" s="1"/>
  <c r="F522" i="5"/>
  <c r="I522" i="5" s="1" a="1"/>
  <c r="I522" i="5" s="1"/>
  <c r="F523" i="5"/>
  <c r="I523" i="5" s="1" a="1"/>
  <c r="I523" i="5" s="1"/>
  <c r="F524" i="5"/>
  <c r="I524" i="5" s="1" a="1"/>
  <c r="I524" i="5" s="1"/>
  <c r="F525" i="5"/>
  <c r="F526" i="5"/>
  <c r="F527" i="5"/>
  <c r="I527" i="5" s="1" a="1"/>
  <c r="I527" i="5" s="1"/>
  <c r="F528" i="5"/>
  <c r="I528" i="5" s="1" a="1"/>
  <c r="I528" i="5" s="1"/>
  <c r="F529" i="5"/>
  <c r="F530" i="5"/>
  <c r="F531" i="5"/>
  <c r="I531" i="5" s="1" a="1"/>
  <c r="I531" i="5" s="1"/>
  <c r="F532" i="5"/>
  <c r="I532" i="5" s="1" a="1"/>
  <c r="I532" i="5" s="1"/>
  <c r="F533" i="5"/>
  <c r="I533" i="5" s="1" a="1"/>
  <c r="I533" i="5" s="1"/>
  <c r="F534" i="5"/>
  <c r="I534" i="5" s="1" a="1"/>
  <c r="I534" i="5" s="1"/>
  <c r="F535" i="5"/>
  <c r="I535" i="5" s="1" a="1"/>
  <c r="I535" i="5" s="1"/>
  <c r="F536" i="5"/>
  <c r="I536" i="5" s="1" a="1"/>
  <c r="I536" i="5" s="1"/>
  <c r="F517" i="5"/>
  <c r="F501" i="5"/>
  <c r="I501" i="5" s="1" a="1"/>
  <c r="I501" i="5" s="1"/>
  <c r="F502" i="5"/>
  <c r="I502" i="5" s="1" a="1"/>
  <c r="I502" i="5" s="1"/>
  <c r="F503" i="5"/>
  <c r="F500" i="5"/>
  <c r="I500" i="5" s="1" a="1"/>
  <c r="I500" i="5" s="1"/>
  <c r="F484" i="5"/>
  <c r="I484" i="5" s="1" a="1"/>
  <c r="I484" i="5" s="1"/>
  <c r="F485" i="5"/>
  <c r="I485" i="5" s="1" a="1"/>
  <c r="I485" i="5" s="1"/>
  <c r="F486" i="5"/>
  <c r="F487" i="5"/>
  <c r="F488" i="5"/>
  <c r="F489" i="5"/>
  <c r="F490" i="5"/>
  <c r="F491" i="5"/>
  <c r="F492" i="5"/>
  <c r="F493" i="5"/>
  <c r="F494" i="5"/>
  <c r="F495" i="5"/>
  <c r="I495" i="5" s="1" a="1"/>
  <c r="I495" i="5" s="1"/>
  <c r="I496" i="5" s="1"/>
  <c r="I497" i="5" s="1"/>
  <c r="F483" i="5"/>
  <c r="I483" i="5" s="1" a="1"/>
  <c r="I483" i="5" s="1"/>
  <c r="F473" i="5"/>
  <c r="F474" i="5"/>
  <c r="F475" i="5"/>
  <c r="I475" i="5" s="1" a="1"/>
  <c r="I475" i="5" s="1"/>
  <c r="B11" i="6" s="1"/>
  <c r="F472" i="5"/>
  <c r="F394" i="5"/>
  <c r="F395" i="5"/>
  <c r="F396" i="5"/>
  <c r="F397" i="5"/>
  <c r="I397" i="5" s="1" a="1"/>
  <c r="I397" i="5" s="1"/>
  <c r="F398" i="5"/>
  <c r="F399" i="5"/>
  <c r="F400" i="5"/>
  <c r="I400" i="5" s="1" a="1"/>
  <c r="I400" i="5" s="1"/>
  <c r="F401" i="5"/>
  <c r="F402" i="5"/>
  <c r="F403" i="5"/>
  <c r="F404" i="5"/>
  <c r="F413" i="5"/>
  <c r="F414" i="5"/>
  <c r="F415" i="5"/>
  <c r="F416" i="5"/>
  <c r="F417" i="5"/>
  <c r="F418" i="5"/>
  <c r="F419" i="5"/>
  <c r="F420" i="5"/>
  <c r="F393" i="5"/>
  <c r="I393" i="5" s="1" a="1"/>
  <c r="I393" i="5" s="1"/>
  <c r="F290" i="5"/>
  <c r="F291" i="5"/>
  <c r="F292" i="5"/>
  <c r="F293" i="5"/>
  <c r="F294" i="5"/>
  <c r="F295" i="5"/>
  <c r="F296" i="5"/>
  <c r="F297" i="5"/>
  <c r="F298" i="5"/>
  <c r="F307" i="5"/>
  <c r="F308" i="5"/>
  <c r="F313" i="5"/>
  <c r="F314" i="5"/>
  <c r="F315" i="5"/>
  <c r="F235" i="5"/>
  <c r="I235" i="5" s="1" a="1"/>
  <c r="I235" i="5" s="1"/>
  <c r="F236" i="5"/>
  <c r="I236" i="5" s="1" a="1"/>
  <c r="I236" i="5" s="1"/>
  <c r="F237" i="5"/>
  <c r="I237" i="5" s="1" a="1"/>
  <c r="I237" i="5" s="1"/>
  <c r="F238" i="5"/>
  <c r="I238" i="5" s="1" a="1"/>
  <c r="I238" i="5" s="1"/>
  <c r="F239" i="5"/>
  <c r="F240" i="5"/>
  <c r="F241" i="5"/>
  <c r="I241" i="5" s="1" a="1"/>
  <c r="I241" i="5" s="1"/>
  <c r="F242" i="5"/>
  <c r="I242" i="5" s="1" a="1"/>
  <c r="I242" i="5" s="1"/>
  <c r="F243" i="5"/>
  <c r="F244" i="5"/>
  <c r="F245" i="5"/>
  <c r="I245" i="5" s="1" a="1"/>
  <c r="I245" i="5" s="1"/>
  <c r="F252" i="5"/>
  <c r="F253" i="5"/>
  <c r="F254" i="5"/>
  <c r="F255" i="5"/>
  <c r="F268" i="5"/>
  <c r="F269" i="5"/>
  <c r="F270" i="5"/>
  <c r="I270" i="5" s="1" a="1"/>
  <c r="I270" i="5" s="1"/>
  <c r="F289" i="5"/>
  <c r="F234" i="5"/>
  <c r="F233" i="5"/>
  <c r="I233" i="5" s="1" a="1"/>
  <c r="I233" i="5" s="1"/>
  <c r="F214" i="5"/>
  <c r="I214" i="5" s="1" a="1"/>
  <c r="I214" i="5" s="1"/>
  <c r="F215" i="5"/>
  <c r="I215" i="5" s="1" a="1"/>
  <c r="I215" i="5" s="1"/>
  <c r="F216" i="5"/>
  <c r="F217" i="5"/>
  <c r="I217" i="5" s="1" a="1"/>
  <c r="I217" i="5" s="1"/>
  <c r="F213" i="5"/>
  <c r="F143" i="5"/>
  <c r="I143" i="5" s="1" a="1"/>
  <c r="I143" i="5" s="1"/>
  <c r="F144" i="5"/>
  <c r="F145" i="5"/>
  <c r="F146" i="5"/>
  <c r="I146" i="5" s="1" a="1"/>
  <c r="I146" i="5" s="1"/>
  <c r="F147" i="5"/>
  <c r="F148" i="5"/>
  <c r="F149" i="5"/>
  <c r="F150" i="5"/>
  <c r="F151" i="5"/>
  <c r="F152" i="5"/>
  <c r="F153" i="5"/>
  <c r="F154" i="5"/>
  <c r="F155" i="5"/>
  <c r="I155" i="5" s="1" a="1"/>
  <c r="I155" i="5" s="1"/>
  <c r="F156" i="5"/>
  <c r="F157" i="5"/>
  <c r="I157" i="5" s="1" a="1"/>
  <c r="I157" i="5" s="1"/>
  <c r="F158" i="5"/>
  <c r="I158" i="5" s="1" a="1"/>
  <c r="I158" i="5" s="1"/>
  <c r="F159" i="5"/>
  <c r="F160" i="5"/>
  <c r="F161" i="5"/>
  <c r="F162" i="5"/>
  <c r="F163" i="5"/>
  <c r="F172" i="5"/>
  <c r="F173" i="5"/>
  <c r="F174" i="5"/>
  <c r="F142" i="5"/>
  <c r="F182" i="5"/>
  <c r="F183" i="5"/>
  <c r="F184" i="5"/>
  <c r="F180" i="5"/>
  <c r="F181" i="5"/>
  <c r="F123" i="5"/>
  <c r="F71" i="5"/>
  <c r="F72" i="5"/>
  <c r="I72" i="5" s="1" a="1"/>
  <c r="I72" i="5" s="1"/>
  <c r="F73" i="5"/>
  <c r="I73" i="5" s="1" a="1"/>
  <c r="I73" i="5" s="1"/>
  <c r="F74" i="5"/>
  <c r="F75" i="5"/>
  <c r="F76" i="5"/>
  <c r="I76" i="5" s="1" a="1"/>
  <c r="I76" i="5" s="1"/>
  <c r="F77" i="5"/>
  <c r="F78" i="5"/>
  <c r="F79" i="5"/>
  <c r="F80" i="5"/>
  <c r="I80" i="5" s="1" a="1"/>
  <c r="I80" i="5" s="1"/>
  <c r="F81" i="5"/>
  <c r="I81" i="5" s="1" a="1"/>
  <c r="I81" i="5" s="1"/>
  <c r="F82" i="5"/>
  <c r="F83" i="5"/>
  <c r="F84" i="5"/>
  <c r="I84" i="5" s="1" a="1"/>
  <c r="I84" i="5" s="1"/>
  <c r="F85" i="5"/>
  <c r="I85" i="5" s="1" a="1"/>
  <c r="I85" i="5" s="1"/>
  <c r="F86" i="5"/>
  <c r="F87" i="5"/>
  <c r="F88" i="5"/>
  <c r="I88" i="5" s="1" a="1"/>
  <c r="I88" i="5" s="1"/>
  <c r="F89" i="5"/>
  <c r="F90" i="5"/>
  <c r="F91" i="5"/>
  <c r="F92" i="5"/>
  <c r="I92" i="5" s="1" a="1"/>
  <c r="I92" i="5" s="1"/>
  <c r="F93" i="5"/>
  <c r="I93" i="5" s="1" a="1"/>
  <c r="I93" i="5" s="1"/>
  <c r="F94" i="5"/>
  <c r="F95" i="5"/>
  <c r="F101" i="5"/>
  <c r="F102" i="5"/>
  <c r="F103" i="5"/>
  <c r="F104" i="5"/>
  <c r="F105" i="5"/>
  <c r="F70" i="5"/>
  <c r="I254" i="5" l="1" a="1"/>
  <c r="I254" i="5" s="1"/>
  <c r="I251" i="5" a="1"/>
  <c r="I251" i="5" s="1"/>
  <c r="I253" i="5" a="1"/>
  <c r="I253" i="5" s="1"/>
  <c r="I255" i="5" a="1"/>
  <c r="I255" i="5" s="1"/>
  <c r="I252" i="5" a="1"/>
  <c r="I252" i="5" s="1"/>
  <c r="I559" i="5"/>
  <c r="I570" i="5" a="1"/>
  <c r="I570" i="5" s="1"/>
  <c r="I246" i="5"/>
  <c r="I247" i="5" s="1"/>
  <c r="I248" i="5" s="1"/>
  <c r="I249" i="5" s="1"/>
  <c r="I250" i="5" s="1"/>
  <c r="B3" i="6" s="1"/>
  <c r="I299" i="5" a="1"/>
  <c r="I299" i="5" s="1"/>
  <c r="I300" i="5" a="1"/>
  <c r="I300" i="5" s="1"/>
  <c r="I308" i="5" s="1" a="1"/>
  <c r="I308" i="5" s="1"/>
  <c r="I529" i="5" a="1"/>
  <c r="I529" i="5" s="1"/>
  <c r="I478" i="5" a="1"/>
  <c r="I478" i="5" s="1"/>
  <c r="I137" i="5" a="1"/>
  <c r="I137" i="5" s="1"/>
  <c r="I58" i="5" a="1"/>
  <c r="I58" i="5" s="1"/>
  <c r="I46" i="5" a="1"/>
  <c r="I46" i="5" s="1"/>
  <c r="I111" i="5" a="1"/>
  <c r="I111" i="5" s="1"/>
  <c r="I86" i="5" a="1"/>
  <c r="I86" i="5" s="1"/>
  <c r="I74" i="5" a="1"/>
  <c r="I74" i="5" s="1"/>
  <c r="I153" i="5" a="1"/>
  <c r="I153" i="5" s="1"/>
  <c r="I517" i="5" a="1"/>
  <c r="I517" i="5" s="1"/>
  <c r="I395" i="5" a="1"/>
  <c r="I395" i="5" s="1"/>
  <c r="I490" i="5" a="1"/>
  <c r="I490" i="5" s="1"/>
  <c r="I34" i="5" a="1"/>
  <c r="I34" i="5" s="1"/>
  <c r="N67" i="5"/>
  <c r="I22" i="5" a="1"/>
  <c r="I22" i="5" s="1"/>
  <c r="I10" i="5" a="1"/>
  <c r="I10" i="5" s="1"/>
  <c r="I492" i="5" a="1"/>
  <c r="I492" i="5" s="1"/>
  <c r="I141" i="5" a="1"/>
  <c r="I141" i="5" s="1"/>
  <c r="I231" i="5" a="1"/>
  <c r="I231" i="5" s="1"/>
  <c r="I260" i="5" a="1"/>
  <c r="I260" i="5" s="1"/>
  <c r="I345" i="5" a="1"/>
  <c r="I345" i="5" s="1"/>
  <c r="I333" i="5" a="1"/>
  <c r="I333" i="5" s="1"/>
  <c r="I321" i="5" a="1"/>
  <c r="I321" i="5" s="1"/>
  <c r="I383" i="5" a="1"/>
  <c r="I383" i="5" s="1"/>
  <c r="I442" i="5" a="1"/>
  <c r="I442" i="5" s="1"/>
  <c r="I430" i="5" a="1"/>
  <c r="I430" i="5" s="1"/>
  <c r="I461" i="5" a="1"/>
  <c r="I461" i="5" s="1"/>
  <c r="I449" i="5" a="1"/>
  <c r="I449" i="5" s="1"/>
  <c r="I551" i="5" a="1"/>
  <c r="I551" i="5" s="1"/>
  <c r="I539" i="5" a="1"/>
  <c r="I539" i="5" s="1"/>
  <c r="I243" i="5" a="1"/>
  <c r="I243" i="5" s="1"/>
  <c r="I180" i="5" a="1"/>
  <c r="I180" i="5" s="1"/>
  <c r="I473" i="5" a="1"/>
  <c r="I473" i="5" s="1"/>
  <c r="I212" i="5" a="1"/>
  <c r="I212" i="5" s="1"/>
  <c r="I200" i="5" a="1"/>
  <c r="I200" i="5" s="1"/>
  <c r="I188" i="5" a="1"/>
  <c r="I188" i="5" s="1"/>
  <c r="I372" i="5" a="1"/>
  <c r="I372" i="5" s="1"/>
  <c r="I360" i="5" a="1"/>
  <c r="I360" i="5" s="1"/>
  <c r="I348" i="5" a="1"/>
  <c r="I348" i="5" s="1"/>
  <c r="I506" i="5" a="1"/>
  <c r="I506" i="5" s="1"/>
  <c r="I398" i="5" a="1"/>
  <c r="I398" i="5" s="1"/>
  <c r="I216" i="5" a="1"/>
  <c r="I216" i="5" s="1"/>
  <c r="I234" i="5" a="1"/>
  <c r="I234" i="5" s="1"/>
  <c r="I513" i="5" a="1"/>
  <c r="I513" i="5" s="1"/>
  <c r="K184" i="5" a="1"/>
  <c r="K184" i="5" s="1"/>
  <c r="K503" i="5" a="1"/>
  <c r="K503" i="5" s="1"/>
  <c r="I541" i="5" a="1"/>
  <c r="I541" i="5" s="1"/>
  <c r="I128" i="5" a="1"/>
  <c r="I128" i="5" s="1"/>
  <c r="I89" i="5" a="1"/>
  <c r="I89" i="5" s="1"/>
  <c r="I77" i="5" a="1"/>
  <c r="I77" i="5" s="1"/>
  <c r="I156" i="5" a="1"/>
  <c r="I156" i="5" s="1"/>
  <c r="I144" i="5" a="1"/>
  <c r="I144" i="5" s="1"/>
  <c r="I399" i="5" a="1"/>
  <c r="I399" i="5" s="1"/>
  <c r="I494" i="5" a="1"/>
  <c r="I494" i="5" s="1"/>
  <c r="I163" i="5" a="1"/>
  <c r="I163" i="5" s="1"/>
  <c r="I151" i="5" a="1"/>
  <c r="I151" i="5" s="1"/>
  <c r="I145" i="5" a="1"/>
  <c r="I145" i="5" s="1"/>
  <c r="K79" i="5" a="1"/>
  <c r="K79" i="5" s="1"/>
  <c r="J79" i="5" a="1"/>
  <c r="J79" i="5" s="1"/>
  <c r="K90" i="5" a="1"/>
  <c r="K90" i="5" s="1"/>
  <c r="J90" i="5" a="1"/>
  <c r="J90" i="5" s="1"/>
  <c r="K78" i="5" a="1"/>
  <c r="K78" i="5" s="1"/>
  <c r="J78" i="5" a="1"/>
  <c r="J78" i="5" s="1"/>
  <c r="K66" i="5" a="1"/>
  <c r="K66" i="5" s="1"/>
  <c r="J66" i="5" a="1"/>
  <c r="J66" i="5" s="1"/>
  <c r="K54" i="5" a="1"/>
  <c r="K54" i="5" s="1"/>
  <c r="J54" i="5" a="1"/>
  <c r="J54" i="5" s="1"/>
  <c r="K42" i="5" a="1"/>
  <c r="K42" i="5" s="1"/>
  <c r="J42" i="5" a="1"/>
  <c r="J42" i="5" s="1"/>
  <c r="K30" i="5" a="1"/>
  <c r="K30" i="5" s="1"/>
  <c r="J30" i="5" a="1"/>
  <c r="J30" i="5" s="1"/>
  <c r="K18" i="5" a="1"/>
  <c r="K18" i="5" s="1"/>
  <c r="J18" i="5" a="1"/>
  <c r="J18" i="5" s="1"/>
  <c r="K6" i="5" a="1"/>
  <c r="K6" i="5" s="1"/>
  <c r="J6" i="5" a="1"/>
  <c r="J6" i="5" s="1"/>
  <c r="K131" i="5" a="1"/>
  <c r="K131" i="5" s="1"/>
  <c r="J131" i="5" a="1"/>
  <c r="J131" i="5" s="1"/>
  <c r="K119" i="5" a="1"/>
  <c r="K119" i="5" s="1"/>
  <c r="J119" i="5" a="1"/>
  <c r="J119" i="5" s="1"/>
  <c r="K107" i="5" a="1"/>
  <c r="K107" i="5" s="1"/>
  <c r="J107" i="5" a="1"/>
  <c r="J107" i="5" s="1"/>
  <c r="K161" i="5" a="1"/>
  <c r="K161" i="5" s="1"/>
  <c r="J161" i="5" a="1"/>
  <c r="J161" i="5" s="1"/>
  <c r="K149" i="5" a="1"/>
  <c r="K149" i="5" s="1"/>
  <c r="J149" i="5" a="1"/>
  <c r="J149" i="5" s="1"/>
  <c r="K183" i="5" a="1"/>
  <c r="K183" i="5" s="1"/>
  <c r="K208" i="5" a="1"/>
  <c r="K208" i="5" s="1"/>
  <c r="J208" i="5" a="1"/>
  <c r="J208" i="5" s="1"/>
  <c r="K196" i="5" a="1"/>
  <c r="K196" i="5" s="1"/>
  <c r="J196" i="5" a="1"/>
  <c r="J196" i="5" s="1"/>
  <c r="K222" i="5" a="1"/>
  <c r="K222" i="5" s="1"/>
  <c r="J222" i="5" a="1"/>
  <c r="J222" i="5" s="1"/>
  <c r="K239" i="5" a="1"/>
  <c r="K239" i="5" s="1"/>
  <c r="J239" i="5" a="1"/>
  <c r="J239" i="5" s="1"/>
  <c r="K227" i="5" a="1"/>
  <c r="K227" i="5" s="1"/>
  <c r="J227" i="5" a="1"/>
  <c r="J227" i="5" s="1"/>
  <c r="K268" i="5" a="1"/>
  <c r="K268" i="5" s="1"/>
  <c r="J268" i="5" a="1"/>
  <c r="J268" i="5" s="1"/>
  <c r="K256" i="5" a="1"/>
  <c r="K256" i="5" s="1"/>
  <c r="J256" i="5" a="1"/>
  <c r="J256" i="5" s="1"/>
  <c r="K314" i="5" a="1"/>
  <c r="K314" i="5" s="1"/>
  <c r="J314" i="5" a="1"/>
  <c r="J314" i="5" s="1"/>
  <c r="K341" i="5" a="1"/>
  <c r="K341" i="5" s="1"/>
  <c r="J341" i="5" a="1"/>
  <c r="J341" i="5" s="1"/>
  <c r="K329" i="5" a="1"/>
  <c r="K329" i="5" s="1"/>
  <c r="J329" i="5" a="1"/>
  <c r="J329" i="5" s="1"/>
  <c r="K317" i="5" a="1"/>
  <c r="K317" i="5" s="1"/>
  <c r="J317" i="5" a="1"/>
  <c r="J317" i="5" s="1"/>
  <c r="K368" i="5" a="1"/>
  <c r="K368" i="5" s="1"/>
  <c r="J368" i="5" a="1"/>
  <c r="J368" i="5" s="1"/>
  <c r="K356" i="5" a="1"/>
  <c r="K356" i="5" s="1"/>
  <c r="J356" i="5" a="1"/>
  <c r="J356" i="5" s="1"/>
  <c r="K403" i="5" a="1"/>
  <c r="K403" i="5" s="1"/>
  <c r="J403" i="5" a="1"/>
  <c r="J403" i="5" s="1"/>
  <c r="K391" i="5" a="1"/>
  <c r="K391" i="5" s="1"/>
  <c r="J391" i="5" a="1"/>
  <c r="J391" i="5" s="1"/>
  <c r="K420" i="5" a="1"/>
  <c r="K420" i="5" s="1"/>
  <c r="J420" i="5" a="1"/>
  <c r="J420" i="5" s="1"/>
  <c r="K438" i="5" a="1"/>
  <c r="K438" i="5" s="1"/>
  <c r="J438" i="5" a="1"/>
  <c r="J438" i="5" s="1"/>
  <c r="K426" i="5" a="1"/>
  <c r="K426" i="5" s="1"/>
  <c r="J426" i="5" a="1"/>
  <c r="J426" i="5" s="1"/>
  <c r="K469" i="5" a="1"/>
  <c r="K469" i="5" s="1"/>
  <c r="J469" i="5" a="1"/>
  <c r="J469" i="5" s="1"/>
  <c r="K457" i="5" a="1"/>
  <c r="K457" i="5" s="1"/>
  <c r="J457" i="5" a="1"/>
  <c r="J457" i="5" s="1"/>
  <c r="K445" i="5" a="1"/>
  <c r="K445" i="5" s="1"/>
  <c r="J445" i="5" a="1"/>
  <c r="J445" i="5" s="1"/>
  <c r="K486" i="5" a="1"/>
  <c r="K486" i="5" s="1"/>
  <c r="J486" i="5" a="1"/>
  <c r="J486" i="5" s="1"/>
  <c r="K502" i="5" a="1"/>
  <c r="K502" i="5" s="1"/>
  <c r="K526" i="5" a="1"/>
  <c r="K526" i="5" s="1"/>
  <c r="J526" i="5" a="1"/>
  <c r="J526" i="5" s="1"/>
  <c r="J514" i="5" a="1"/>
  <c r="J514" i="5" s="1"/>
  <c r="K514" i="5" a="1"/>
  <c r="K514" i="5" s="1"/>
  <c r="K547" i="5" a="1"/>
  <c r="K547" i="5" s="1"/>
  <c r="J547" i="5" a="1"/>
  <c r="J547" i="5" s="1"/>
  <c r="J589" i="5" a="1"/>
  <c r="J589" i="5" s="1"/>
  <c r="K589" i="5" a="1"/>
  <c r="K589" i="5" s="1"/>
  <c r="K7" i="5" a="1"/>
  <c r="K7" i="5" s="1"/>
  <c r="J7" i="5" a="1"/>
  <c r="J7" i="5" s="1"/>
  <c r="K162" i="5" a="1"/>
  <c r="K162" i="5" s="1"/>
  <c r="J162" i="5" a="1"/>
  <c r="J162" i="5" s="1"/>
  <c r="K458" i="5" a="1"/>
  <c r="K458" i="5" s="1"/>
  <c r="J458" i="5" a="1"/>
  <c r="J458" i="5" s="1"/>
  <c r="K89" i="5" a="1"/>
  <c r="K89" i="5" s="1"/>
  <c r="J89" i="5" a="1"/>
  <c r="J89" i="5" s="1"/>
  <c r="K77" i="5" a="1"/>
  <c r="K77" i="5" s="1"/>
  <c r="J77" i="5" a="1"/>
  <c r="J77" i="5" s="1"/>
  <c r="K65" i="5" a="1"/>
  <c r="K65" i="5" s="1"/>
  <c r="J65" i="5" a="1"/>
  <c r="J65" i="5" s="1"/>
  <c r="K53" i="5" a="1"/>
  <c r="K53" i="5" s="1"/>
  <c r="J53" i="5" a="1"/>
  <c r="J53" i="5" s="1"/>
  <c r="K41" i="5" a="1"/>
  <c r="K41" i="5" s="1"/>
  <c r="J41" i="5" a="1"/>
  <c r="J41" i="5" s="1"/>
  <c r="K29" i="5" a="1"/>
  <c r="K29" i="5" s="1"/>
  <c r="J29" i="5" a="1"/>
  <c r="J29" i="5" s="1"/>
  <c r="K17" i="5" a="1"/>
  <c r="K17" i="5" s="1"/>
  <c r="J17" i="5" a="1"/>
  <c r="J17" i="5" s="1"/>
  <c r="K5" i="5" a="1"/>
  <c r="K5" i="5" s="1"/>
  <c r="J5" i="5" a="1"/>
  <c r="J5" i="5" s="1"/>
  <c r="K130" i="5" a="1"/>
  <c r="K130" i="5" s="1"/>
  <c r="J130" i="5" a="1"/>
  <c r="J130" i="5" s="1"/>
  <c r="K118" i="5" a="1"/>
  <c r="K118" i="5" s="1"/>
  <c r="J118" i="5" a="1"/>
  <c r="J118" i="5" s="1"/>
  <c r="K106" i="5" a="1"/>
  <c r="K106" i="5" s="1"/>
  <c r="J106" i="5" a="1"/>
  <c r="J106" i="5" s="1"/>
  <c r="K160" i="5" a="1"/>
  <c r="K160" i="5" s="1"/>
  <c r="J160" i="5" a="1"/>
  <c r="J160" i="5" s="1"/>
  <c r="K148" i="5" a="1"/>
  <c r="K148" i="5" s="1"/>
  <c r="J148" i="5" a="1"/>
  <c r="J148" i="5" s="1"/>
  <c r="K182" i="5" a="1"/>
  <c r="K182" i="5" s="1"/>
  <c r="K207" i="5" a="1"/>
  <c r="K207" i="5" s="1"/>
  <c r="J207" i="5" a="1"/>
  <c r="J207" i="5" s="1"/>
  <c r="K195" i="5" a="1"/>
  <c r="K195" i="5" s="1"/>
  <c r="J195" i="5" a="1"/>
  <c r="J195" i="5" s="1"/>
  <c r="K221" i="5" a="1"/>
  <c r="K221" i="5" s="1"/>
  <c r="J221" i="5" a="1"/>
  <c r="J221" i="5" s="1"/>
  <c r="K238" i="5" a="1"/>
  <c r="K238" i="5" s="1"/>
  <c r="J238" i="5" a="1"/>
  <c r="J238" i="5" s="1"/>
  <c r="K226" i="5" a="1"/>
  <c r="K226" i="5" s="1"/>
  <c r="J226" i="5" a="1"/>
  <c r="J226" i="5" s="1"/>
  <c r="K267" i="5" a="1"/>
  <c r="K267" i="5" s="1"/>
  <c r="J267" i="5" a="1"/>
  <c r="J267" i="5" s="1"/>
  <c r="K313" i="5" a="1"/>
  <c r="K313" i="5" s="1"/>
  <c r="J313" i="5" a="1"/>
  <c r="J313" i="5" s="1"/>
  <c r="K340" i="5" a="1"/>
  <c r="K340" i="5" s="1"/>
  <c r="J340" i="5" a="1"/>
  <c r="J340" i="5" s="1"/>
  <c r="K328" i="5" a="1"/>
  <c r="K328" i="5" s="1"/>
  <c r="J328" i="5" a="1"/>
  <c r="J328" i="5" s="1"/>
  <c r="K379" i="5" a="1"/>
  <c r="K379" i="5" s="1"/>
  <c r="J379" i="5" a="1"/>
  <c r="J379" i="5" s="1"/>
  <c r="K367" i="5" a="1"/>
  <c r="K367" i="5" s="1"/>
  <c r="J367" i="5" a="1"/>
  <c r="J367" i="5" s="1"/>
  <c r="K355" i="5" a="1"/>
  <c r="K355" i="5" s="1"/>
  <c r="J355" i="5" a="1"/>
  <c r="J355" i="5" s="1"/>
  <c r="K402" i="5" a="1"/>
  <c r="K402" i="5" s="1"/>
  <c r="J402" i="5" a="1"/>
  <c r="J402" i="5" s="1"/>
  <c r="K390" i="5" a="1"/>
  <c r="K390" i="5" s="1"/>
  <c r="J390" i="5" a="1"/>
  <c r="J390" i="5" s="1"/>
  <c r="K419" i="5" a="1"/>
  <c r="K419" i="5" s="1"/>
  <c r="J419" i="5" a="1"/>
  <c r="J419" i="5" s="1"/>
  <c r="K437" i="5" a="1"/>
  <c r="K437" i="5" s="1"/>
  <c r="J437" i="5" a="1"/>
  <c r="J437" i="5" s="1"/>
  <c r="K425" i="5" a="1"/>
  <c r="K425" i="5" s="1"/>
  <c r="J425" i="5" a="1"/>
  <c r="J425" i="5" s="1"/>
  <c r="K468" i="5" a="1"/>
  <c r="K468" i="5" s="1"/>
  <c r="J468" i="5" a="1"/>
  <c r="J468" i="5" s="1"/>
  <c r="K456" i="5" a="1"/>
  <c r="K456" i="5" s="1"/>
  <c r="J456" i="5" a="1"/>
  <c r="J456" i="5" s="1"/>
  <c r="K444" i="5" a="1"/>
  <c r="K444" i="5" s="1"/>
  <c r="J444" i="5" a="1"/>
  <c r="J444" i="5" s="1"/>
  <c r="K485" i="5" a="1"/>
  <c r="K485" i="5" s="1"/>
  <c r="J485" i="5" a="1"/>
  <c r="J485" i="5" s="1"/>
  <c r="K501" i="5" a="1"/>
  <c r="K501" i="5" s="1"/>
  <c r="K525" i="5" a="1"/>
  <c r="K525" i="5" s="1"/>
  <c r="J525" i="5" a="1"/>
  <c r="J525" i="5" s="1"/>
  <c r="K513" i="5" a="1"/>
  <c r="K513" i="5" s="1"/>
  <c r="J513" i="5" a="1"/>
  <c r="J513" i="5" s="1"/>
  <c r="K558" i="5" a="1"/>
  <c r="K558" i="5" s="1"/>
  <c r="J558" i="5" a="1"/>
  <c r="J558" i="5" s="1"/>
  <c r="J546" i="5" a="1"/>
  <c r="J546" i="5" s="1"/>
  <c r="K546" i="5" a="1"/>
  <c r="K546" i="5" s="1"/>
  <c r="J588" i="5" a="1"/>
  <c r="J588" i="5" s="1"/>
  <c r="K588" i="5" a="1"/>
  <c r="K588" i="5" s="1"/>
  <c r="K91" i="5" a="1"/>
  <c r="K91" i="5" s="1"/>
  <c r="J91" i="5" a="1"/>
  <c r="J91" i="5" s="1"/>
  <c r="K55" i="5" a="1"/>
  <c r="K55" i="5" s="1"/>
  <c r="J55" i="5" a="1"/>
  <c r="J55" i="5" s="1"/>
  <c r="K19" i="5" a="1"/>
  <c r="K19" i="5" s="1"/>
  <c r="J19" i="5" a="1"/>
  <c r="J19" i="5" s="1"/>
  <c r="K132" i="5" a="1"/>
  <c r="K132" i="5" s="1"/>
  <c r="J132" i="5" a="1"/>
  <c r="J132" i="5" s="1"/>
  <c r="K120" i="5" a="1"/>
  <c r="K120" i="5" s="1"/>
  <c r="J120" i="5" a="1"/>
  <c r="J120" i="5" s="1"/>
  <c r="K209" i="5" a="1"/>
  <c r="K209" i="5" s="1"/>
  <c r="J209" i="5" a="1"/>
  <c r="J209" i="5" s="1"/>
  <c r="K197" i="5" a="1"/>
  <c r="K197" i="5" s="1"/>
  <c r="J197" i="5" a="1"/>
  <c r="J197" i="5" s="1"/>
  <c r="K240" i="5" a="1"/>
  <c r="K240" i="5" s="1"/>
  <c r="J240" i="5" a="1"/>
  <c r="J240" i="5" s="1"/>
  <c r="K257" i="5" a="1"/>
  <c r="K257" i="5" s="1"/>
  <c r="J257" i="5" a="1"/>
  <c r="J257" i="5" s="1"/>
  <c r="K427" i="5" a="1"/>
  <c r="K427" i="5" s="1"/>
  <c r="J427" i="5" a="1"/>
  <c r="J427" i="5" s="1"/>
  <c r="K88" i="5" a="1"/>
  <c r="K88" i="5" s="1"/>
  <c r="J88" i="5" a="1"/>
  <c r="J88" i="5" s="1"/>
  <c r="K76" i="5" a="1"/>
  <c r="K76" i="5" s="1"/>
  <c r="J76" i="5" a="1"/>
  <c r="J76" i="5" s="1"/>
  <c r="K64" i="5" a="1"/>
  <c r="K64" i="5" s="1"/>
  <c r="J64" i="5" a="1"/>
  <c r="J64" i="5" s="1"/>
  <c r="K52" i="5" a="1"/>
  <c r="K52" i="5" s="1"/>
  <c r="J52" i="5" a="1"/>
  <c r="J52" i="5" s="1"/>
  <c r="K40" i="5" a="1"/>
  <c r="K40" i="5" s="1"/>
  <c r="J40" i="5" a="1"/>
  <c r="J40" i="5" s="1"/>
  <c r="K28" i="5" a="1"/>
  <c r="K28" i="5" s="1"/>
  <c r="J28" i="5" a="1"/>
  <c r="J28" i="5" s="1"/>
  <c r="K16" i="5" a="1"/>
  <c r="K16" i="5" s="1"/>
  <c r="J16" i="5" a="1"/>
  <c r="J16" i="5" s="1"/>
  <c r="K4" i="5" a="1"/>
  <c r="K4" i="5" s="1"/>
  <c r="J4" i="5" a="1"/>
  <c r="J4" i="5" s="1"/>
  <c r="K129" i="5" a="1"/>
  <c r="K129" i="5" s="1"/>
  <c r="J129" i="5" a="1"/>
  <c r="J129" i="5" s="1"/>
  <c r="K117" i="5" a="1"/>
  <c r="K117" i="5" s="1"/>
  <c r="J117" i="5" a="1"/>
  <c r="J117" i="5" s="1"/>
  <c r="K105" i="5" a="1"/>
  <c r="K105" i="5" s="1"/>
  <c r="J105" i="5" a="1"/>
  <c r="J105" i="5" s="1"/>
  <c r="K159" i="5" a="1"/>
  <c r="K159" i="5" s="1"/>
  <c r="J159" i="5" a="1"/>
  <c r="J159" i="5" s="1"/>
  <c r="K147" i="5" a="1"/>
  <c r="K147" i="5" s="1"/>
  <c r="J147" i="5" a="1"/>
  <c r="J147" i="5" s="1"/>
  <c r="K181" i="5" a="1"/>
  <c r="K181" i="5" s="1"/>
  <c r="K206" i="5" a="1"/>
  <c r="K206" i="5" s="1"/>
  <c r="J206" i="5" a="1"/>
  <c r="J206" i="5" s="1"/>
  <c r="K194" i="5" a="1"/>
  <c r="K194" i="5" s="1"/>
  <c r="J194" i="5" a="1"/>
  <c r="J194" i="5" s="1"/>
  <c r="K220" i="5" a="1"/>
  <c r="K220" i="5" s="1"/>
  <c r="J220" i="5" a="1"/>
  <c r="J220" i="5" s="1"/>
  <c r="K237" i="5" a="1"/>
  <c r="K237" i="5" s="1"/>
  <c r="J237" i="5" a="1"/>
  <c r="J237" i="5" s="1"/>
  <c r="K225" i="5" a="1"/>
  <c r="K225" i="5" s="1"/>
  <c r="J225" i="5" a="1"/>
  <c r="J225" i="5" s="1"/>
  <c r="K266" i="5" a="1"/>
  <c r="K266" i="5" s="1"/>
  <c r="J266" i="5" a="1"/>
  <c r="J266" i="5" s="1"/>
  <c r="K298" i="5" a="1"/>
  <c r="K298" i="5" s="1"/>
  <c r="J298" i="5" a="1"/>
  <c r="J298" i="5" s="1"/>
  <c r="K339" i="5" a="1"/>
  <c r="K339" i="5" s="1"/>
  <c r="J339" i="5" a="1"/>
  <c r="J339" i="5" s="1"/>
  <c r="K327" i="5" a="1"/>
  <c r="K327" i="5" s="1"/>
  <c r="J327" i="5" a="1"/>
  <c r="J327" i="5" s="1"/>
  <c r="K378" i="5" a="1"/>
  <c r="K378" i="5" s="1"/>
  <c r="J378" i="5" a="1"/>
  <c r="J378" i="5" s="1"/>
  <c r="K366" i="5" a="1"/>
  <c r="K366" i="5" s="1"/>
  <c r="J366" i="5" a="1"/>
  <c r="J366" i="5" s="1"/>
  <c r="K354" i="5" a="1"/>
  <c r="K354" i="5" s="1"/>
  <c r="J354" i="5" a="1"/>
  <c r="J354" i="5" s="1"/>
  <c r="K401" i="5" a="1"/>
  <c r="K401" i="5" s="1"/>
  <c r="J401" i="5" a="1"/>
  <c r="J401" i="5" s="1"/>
  <c r="K389" i="5" a="1"/>
  <c r="K389" i="5" s="1"/>
  <c r="J389" i="5" a="1"/>
  <c r="J389" i="5" s="1"/>
  <c r="K418" i="5" a="1"/>
  <c r="K418" i="5" s="1"/>
  <c r="J418" i="5" a="1"/>
  <c r="J418" i="5" s="1"/>
  <c r="K436" i="5" a="1"/>
  <c r="K436" i="5" s="1"/>
  <c r="J436" i="5" a="1"/>
  <c r="J436" i="5" s="1"/>
  <c r="K424" i="5" a="1"/>
  <c r="K424" i="5" s="1"/>
  <c r="J424" i="5" a="1"/>
  <c r="J424" i="5" s="1"/>
  <c r="K467" i="5" a="1"/>
  <c r="K467" i="5" s="1"/>
  <c r="J467" i="5" a="1"/>
  <c r="J467" i="5" s="1"/>
  <c r="K455" i="5" a="1"/>
  <c r="K455" i="5" s="1"/>
  <c r="J455" i="5" a="1"/>
  <c r="J455" i="5" s="1"/>
  <c r="K476" i="5" a="1"/>
  <c r="K476" i="5" s="1"/>
  <c r="J476" i="5" a="1"/>
  <c r="J476" i="5" s="1"/>
  <c r="K484" i="5" a="1"/>
  <c r="K484" i="5" s="1"/>
  <c r="J484" i="5" a="1"/>
  <c r="J484" i="5" s="1"/>
  <c r="K536" i="5" a="1"/>
  <c r="K536" i="5" s="1"/>
  <c r="J536" i="5" a="1"/>
  <c r="J536" i="5" s="1"/>
  <c r="K524" i="5" a="1"/>
  <c r="K524" i="5" s="1"/>
  <c r="J524" i="5" a="1"/>
  <c r="J524" i="5" s="1"/>
  <c r="K512" i="5" a="1"/>
  <c r="K512" i="5" s="1"/>
  <c r="J512" i="5" a="1"/>
  <c r="J512" i="5" s="1"/>
  <c r="K557" i="5" a="1"/>
  <c r="K557" i="5" s="1"/>
  <c r="J557" i="5" a="1"/>
  <c r="J557" i="5" s="1"/>
  <c r="J545" i="5" a="1"/>
  <c r="J545" i="5" s="1"/>
  <c r="K545" i="5" a="1"/>
  <c r="K545" i="5" s="1"/>
  <c r="J587" i="5" a="1"/>
  <c r="J587" i="5" s="1"/>
  <c r="K587" i="5" a="1"/>
  <c r="K587" i="5" s="1"/>
  <c r="K487" i="5" a="1"/>
  <c r="K487" i="5" s="1"/>
  <c r="J487" i="5" a="1"/>
  <c r="J487" i="5" s="1"/>
  <c r="I133" i="5" a="1"/>
  <c r="I133" i="5" s="1"/>
  <c r="K87" i="5" a="1"/>
  <c r="K87" i="5" s="1"/>
  <c r="J87" i="5" a="1"/>
  <c r="J87" i="5" s="1"/>
  <c r="K75" i="5" a="1"/>
  <c r="K75" i="5" s="1"/>
  <c r="J75" i="5" a="1"/>
  <c r="J75" i="5" s="1"/>
  <c r="K63" i="5" a="1"/>
  <c r="K63" i="5" s="1"/>
  <c r="J63" i="5" a="1"/>
  <c r="J63" i="5" s="1"/>
  <c r="K51" i="5" a="1"/>
  <c r="K51" i="5" s="1"/>
  <c r="J51" i="5" a="1"/>
  <c r="J51" i="5" s="1"/>
  <c r="K39" i="5" a="1"/>
  <c r="K39" i="5" s="1"/>
  <c r="J39" i="5" a="1"/>
  <c r="J39" i="5" s="1"/>
  <c r="K27" i="5" a="1"/>
  <c r="K27" i="5" s="1"/>
  <c r="J27" i="5" a="1"/>
  <c r="J27" i="5" s="1"/>
  <c r="K15" i="5" a="1"/>
  <c r="K15" i="5" s="1"/>
  <c r="J15" i="5" a="1"/>
  <c r="J15" i="5" s="1"/>
  <c r="K3" i="5" a="1"/>
  <c r="K3" i="5" s="1"/>
  <c r="J3" i="5" a="1"/>
  <c r="J3" i="5" s="1"/>
  <c r="K128" i="5" a="1"/>
  <c r="K128" i="5" s="1"/>
  <c r="J128" i="5" a="1"/>
  <c r="J128" i="5" s="1"/>
  <c r="K116" i="5" a="1"/>
  <c r="K116" i="5" s="1"/>
  <c r="J116" i="5" a="1"/>
  <c r="J116" i="5" s="1"/>
  <c r="K104" i="5" a="1"/>
  <c r="K104" i="5" s="1"/>
  <c r="J104" i="5" a="1"/>
  <c r="J104" i="5" s="1"/>
  <c r="K158" i="5" a="1"/>
  <c r="K158" i="5" s="1"/>
  <c r="J158" i="5" a="1"/>
  <c r="J158" i="5" s="1"/>
  <c r="K146" i="5" a="1"/>
  <c r="K146" i="5" s="1"/>
  <c r="J146" i="5" a="1"/>
  <c r="J146" i="5" s="1"/>
  <c r="K217" i="5" a="1"/>
  <c r="K217" i="5" s="1"/>
  <c r="J217" i="5" a="1"/>
  <c r="J217" i="5" s="1"/>
  <c r="K205" i="5" a="1"/>
  <c r="K205" i="5" s="1"/>
  <c r="J205" i="5" a="1"/>
  <c r="J205" i="5" s="1"/>
  <c r="K193" i="5" a="1"/>
  <c r="K193" i="5" s="1"/>
  <c r="J193" i="5" a="1"/>
  <c r="J193" i="5" s="1"/>
  <c r="K219" i="5" a="1"/>
  <c r="K219" i="5" s="1"/>
  <c r="J219" i="5" a="1"/>
  <c r="J219" i="5" s="1"/>
  <c r="K236" i="5" a="1"/>
  <c r="K236" i="5" s="1"/>
  <c r="J236" i="5" a="1"/>
  <c r="J236" i="5" s="1"/>
  <c r="K224" i="5" a="1"/>
  <c r="K224" i="5" s="1"/>
  <c r="J224" i="5" a="1"/>
  <c r="J224" i="5" s="1"/>
  <c r="K265" i="5" a="1"/>
  <c r="K265" i="5" s="1"/>
  <c r="J265" i="5" a="1"/>
  <c r="J265" i="5" s="1"/>
  <c r="K297" i="5" a="1"/>
  <c r="K297" i="5" s="1"/>
  <c r="J297" i="5" a="1"/>
  <c r="J297" i="5" s="1"/>
  <c r="K308" i="5" a="1"/>
  <c r="K308" i="5" s="1"/>
  <c r="J308" i="5" a="1"/>
  <c r="J308" i="5" s="1"/>
  <c r="K338" i="5" a="1"/>
  <c r="K338" i="5" s="1"/>
  <c r="J338" i="5" a="1"/>
  <c r="J338" i="5" s="1"/>
  <c r="K326" i="5" a="1"/>
  <c r="K326" i="5" s="1"/>
  <c r="J326" i="5" a="1"/>
  <c r="J326" i="5" s="1"/>
  <c r="K377" i="5" a="1"/>
  <c r="K377" i="5" s="1"/>
  <c r="J377" i="5" a="1"/>
  <c r="J377" i="5" s="1"/>
  <c r="K365" i="5" a="1"/>
  <c r="K365" i="5" s="1"/>
  <c r="J365" i="5" a="1"/>
  <c r="J365" i="5" s="1"/>
  <c r="K353" i="5" a="1"/>
  <c r="K353" i="5" s="1"/>
  <c r="J353" i="5" a="1"/>
  <c r="J353" i="5" s="1"/>
  <c r="K400" i="5" a="1"/>
  <c r="K400" i="5" s="1"/>
  <c r="J400" i="5" a="1"/>
  <c r="J400" i="5" s="1"/>
  <c r="K388" i="5" a="1"/>
  <c r="K388" i="5" s="1"/>
  <c r="J388" i="5" a="1"/>
  <c r="J388" i="5" s="1"/>
  <c r="K417" i="5" a="1"/>
  <c r="K417" i="5" s="1"/>
  <c r="J417" i="5" a="1"/>
  <c r="J417" i="5" s="1"/>
  <c r="K435" i="5" a="1"/>
  <c r="K435" i="5" s="1"/>
  <c r="J435" i="5" a="1"/>
  <c r="J435" i="5" s="1"/>
  <c r="K423" i="5" a="1"/>
  <c r="K423" i="5" s="1"/>
  <c r="J423" i="5" a="1"/>
  <c r="J423" i="5" s="1"/>
  <c r="K466" i="5" a="1"/>
  <c r="K466" i="5" s="1"/>
  <c r="J466" i="5" a="1"/>
  <c r="J466" i="5" s="1"/>
  <c r="K454" i="5" a="1"/>
  <c r="K454" i="5" s="1"/>
  <c r="J454" i="5" a="1"/>
  <c r="J454" i="5" s="1"/>
  <c r="K495" i="5" a="1"/>
  <c r="K495" i="5" s="1"/>
  <c r="J495" i="5" a="1"/>
  <c r="J495" i="5" s="1"/>
  <c r="K483" i="5" a="1"/>
  <c r="K483" i="5" s="1"/>
  <c r="J483" i="5" a="1"/>
  <c r="J483" i="5" s="1"/>
  <c r="K535" i="5" a="1"/>
  <c r="K535" i="5" s="1"/>
  <c r="J535" i="5" a="1"/>
  <c r="J535" i="5" s="1"/>
  <c r="K523" i="5" a="1"/>
  <c r="K523" i="5" s="1"/>
  <c r="J523" i="5" a="1"/>
  <c r="J523" i="5" s="1"/>
  <c r="K511" i="5" a="1"/>
  <c r="K511" i="5" s="1"/>
  <c r="J511" i="5" a="1"/>
  <c r="J511" i="5" s="1"/>
  <c r="J556" i="5" a="1"/>
  <c r="J556" i="5" s="1"/>
  <c r="K556" i="5" a="1"/>
  <c r="K556" i="5" s="1"/>
  <c r="J544" i="5" a="1"/>
  <c r="J544" i="5" s="1"/>
  <c r="K544" i="5" a="1"/>
  <c r="K544" i="5" s="1"/>
  <c r="J586" i="5" a="1"/>
  <c r="J586" i="5" s="1"/>
  <c r="K586" i="5" a="1"/>
  <c r="K586" i="5" s="1"/>
  <c r="J515" i="5" a="1"/>
  <c r="J515" i="5" s="1"/>
  <c r="K515" i="5" a="1"/>
  <c r="K515" i="5" s="1"/>
  <c r="K86" i="5" a="1"/>
  <c r="K86" i="5" s="1"/>
  <c r="J86" i="5" a="1"/>
  <c r="J86" i="5" s="1"/>
  <c r="K74" i="5" a="1"/>
  <c r="K74" i="5" s="1"/>
  <c r="J74" i="5" a="1"/>
  <c r="J74" i="5" s="1"/>
  <c r="K62" i="5" a="1"/>
  <c r="K62" i="5" s="1"/>
  <c r="J62" i="5" a="1"/>
  <c r="J62" i="5" s="1"/>
  <c r="K50" i="5" a="1"/>
  <c r="K50" i="5" s="1"/>
  <c r="J50" i="5" a="1"/>
  <c r="J50" i="5" s="1"/>
  <c r="K38" i="5" a="1"/>
  <c r="K38" i="5" s="1"/>
  <c r="J38" i="5" a="1"/>
  <c r="J38" i="5" s="1"/>
  <c r="K26" i="5" a="1"/>
  <c r="K26" i="5" s="1"/>
  <c r="J26" i="5" a="1"/>
  <c r="J26" i="5" s="1"/>
  <c r="K14" i="5" a="1"/>
  <c r="K14" i="5" s="1"/>
  <c r="J14" i="5" a="1"/>
  <c r="J14" i="5" s="1"/>
  <c r="K101" i="5" a="1"/>
  <c r="K101" i="5" s="1"/>
  <c r="K127" i="5" a="1"/>
  <c r="K127" i="5" s="1"/>
  <c r="J127" i="5" a="1"/>
  <c r="J127" i="5" s="1"/>
  <c r="K115" i="5" a="1"/>
  <c r="K115" i="5" s="1"/>
  <c r="J115" i="5" a="1"/>
  <c r="J115" i="5" s="1"/>
  <c r="K103" i="5" a="1"/>
  <c r="K103" i="5" s="1"/>
  <c r="J103" i="5" a="1"/>
  <c r="J103" i="5" s="1"/>
  <c r="K157" i="5" a="1"/>
  <c r="K157" i="5" s="1"/>
  <c r="J157" i="5" a="1"/>
  <c r="J157" i="5" s="1"/>
  <c r="K145" i="5" a="1"/>
  <c r="K145" i="5" s="1"/>
  <c r="J145" i="5" a="1"/>
  <c r="J145" i="5" s="1"/>
  <c r="K216" i="5" a="1"/>
  <c r="K216" i="5" s="1"/>
  <c r="J216" i="5" a="1"/>
  <c r="J216" i="5" s="1"/>
  <c r="K204" i="5" a="1"/>
  <c r="K204" i="5" s="1"/>
  <c r="J204" i="5" a="1"/>
  <c r="J204" i="5" s="1"/>
  <c r="K192" i="5" a="1"/>
  <c r="K192" i="5" s="1"/>
  <c r="J192" i="5" a="1"/>
  <c r="J192" i="5" s="1"/>
  <c r="K218" i="5" a="1"/>
  <c r="K218" i="5" s="1"/>
  <c r="J218" i="5" a="1"/>
  <c r="J218" i="5" s="1"/>
  <c r="K235" i="5" a="1"/>
  <c r="K235" i="5" s="1"/>
  <c r="J235" i="5" a="1"/>
  <c r="J235" i="5" s="1"/>
  <c r="K223" i="5" a="1"/>
  <c r="K223" i="5" s="1"/>
  <c r="J223" i="5" a="1"/>
  <c r="J223" i="5" s="1"/>
  <c r="K264" i="5" a="1"/>
  <c r="K264" i="5" s="1"/>
  <c r="J264" i="5" a="1"/>
  <c r="J264" i="5" s="1"/>
  <c r="K296" i="5" a="1"/>
  <c r="K296" i="5" s="1"/>
  <c r="J296" i="5" a="1"/>
  <c r="J296" i="5" s="1"/>
  <c r="K307" i="5" a="1"/>
  <c r="K307" i="5" s="1"/>
  <c r="J307" i="5" a="1"/>
  <c r="J307" i="5" s="1"/>
  <c r="K337" i="5" a="1"/>
  <c r="K337" i="5" s="1"/>
  <c r="J337" i="5" a="1"/>
  <c r="J337" i="5" s="1"/>
  <c r="K325" i="5" a="1"/>
  <c r="K325" i="5" s="1"/>
  <c r="J325" i="5" a="1"/>
  <c r="J325" i="5" s="1"/>
  <c r="K376" i="5" a="1"/>
  <c r="K376" i="5" s="1"/>
  <c r="J376" i="5" a="1"/>
  <c r="J376" i="5" s="1"/>
  <c r="K364" i="5" a="1"/>
  <c r="K364" i="5" s="1"/>
  <c r="J364" i="5" a="1"/>
  <c r="J364" i="5" s="1"/>
  <c r="K352" i="5" a="1"/>
  <c r="K352" i="5" s="1"/>
  <c r="J352" i="5" a="1"/>
  <c r="J352" i="5" s="1"/>
  <c r="K399" i="5" a="1"/>
  <c r="K399" i="5" s="1"/>
  <c r="J399" i="5" a="1"/>
  <c r="J399" i="5" s="1"/>
  <c r="K387" i="5" a="1"/>
  <c r="K387" i="5" s="1"/>
  <c r="J387" i="5" a="1"/>
  <c r="J387" i="5" s="1"/>
  <c r="K416" i="5" a="1"/>
  <c r="K416" i="5" s="1"/>
  <c r="J416" i="5" a="1"/>
  <c r="J416" i="5" s="1"/>
  <c r="K434" i="5" a="1"/>
  <c r="K434" i="5" s="1"/>
  <c r="J434" i="5" a="1"/>
  <c r="J434" i="5" s="1"/>
  <c r="K422" i="5" a="1"/>
  <c r="K422" i="5" s="1"/>
  <c r="J422" i="5" a="1"/>
  <c r="J422" i="5" s="1"/>
  <c r="K465" i="5" a="1"/>
  <c r="K465" i="5" s="1"/>
  <c r="J465" i="5" a="1"/>
  <c r="J465" i="5" s="1"/>
  <c r="K453" i="5" a="1"/>
  <c r="K453" i="5" s="1"/>
  <c r="J453" i="5" a="1"/>
  <c r="J453" i="5" s="1"/>
  <c r="K494" i="5" a="1"/>
  <c r="K494" i="5" s="1"/>
  <c r="J494" i="5" a="1"/>
  <c r="J494" i="5" s="1"/>
  <c r="K482" i="5" a="1"/>
  <c r="K482" i="5" s="1"/>
  <c r="J482" i="5" a="1"/>
  <c r="J482" i="5" s="1"/>
  <c r="J534" i="5" a="1"/>
  <c r="J534" i="5" s="1"/>
  <c r="K534" i="5" a="1"/>
  <c r="K534" i="5" s="1"/>
  <c r="K522" i="5" a="1"/>
  <c r="K522" i="5" s="1"/>
  <c r="J522" i="5" a="1"/>
  <c r="J522" i="5" s="1"/>
  <c r="K510" i="5" a="1"/>
  <c r="K510" i="5" s="1"/>
  <c r="J510" i="5" a="1"/>
  <c r="J510" i="5" s="1"/>
  <c r="J555" i="5" a="1"/>
  <c r="J555" i="5" s="1"/>
  <c r="K555" i="5" a="1"/>
  <c r="K555" i="5" s="1"/>
  <c r="J543" i="5" a="1"/>
  <c r="J543" i="5" s="1"/>
  <c r="K543" i="5" a="1"/>
  <c r="K543" i="5" s="1"/>
  <c r="J585" i="5" a="1"/>
  <c r="J585" i="5" s="1"/>
  <c r="K585" i="5" a="1"/>
  <c r="K585" i="5" s="1"/>
  <c r="K31" i="5" a="1"/>
  <c r="K31" i="5" s="1"/>
  <c r="J31" i="5" a="1"/>
  <c r="J31" i="5" s="1"/>
  <c r="K150" i="5" a="1"/>
  <c r="K150" i="5" s="1"/>
  <c r="J150" i="5" a="1"/>
  <c r="J150" i="5" s="1"/>
  <c r="J571" i="5" a="1"/>
  <c r="J571" i="5" s="1"/>
  <c r="K571" i="5" a="1"/>
  <c r="K571" i="5" s="1"/>
  <c r="K85" i="5" a="1"/>
  <c r="K85" i="5" s="1"/>
  <c r="J85" i="5" a="1"/>
  <c r="J85" i="5" s="1"/>
  <c r="K73" i="5" a="1"/>
  <c r="K73" i="5" s="1"/>
  <c r="J73" i="5" a="1"/>
  <c r="J73" i="5" s="1"/>
  <c r="K61" i="5" a="1"/>
  <c r="K61" i="5" s="1"/>
  <c r="J61" i="5" a="1"/>
  <c r="J61" i="5" s="1"/>
  <c r="K49" i="5" a="1"/>
  <c r="K49" i="5" s="1"/>
  <c r="J49" i="5" a="1"/>
  <c r="J49" i="5" s="1"/>
  <c r="K37" i="5" a="1"/>
  <c r="K37" i="5" s="1"/>
  <c r="J37" i="5" a="1"/>
  <c r="J37" i="5" s="1"/>
  <c r="K25" i="5" a="1"/>
  <c r="K25" i="5" s="1"/>
  <c r="J25" i="5" a="1"/>
  <c r="J25" i="5" s="1"/>
  <c r="K13" i="5" a="1"/>
  <c r="K13" i="5" s="1"/>
  <c r="J13" i="5" a="1"/>
  <c r="J13" i="5" s="1"/>
  <c r="K138" i="5" a="1"/>
  <c r="K138" i="5" s="1"/>
  <c r="J138" i="5" a="1"/>
  <c r="J138" i="5" s="1"/>
  <c r="K126" i="5" a="1"/>
  <c r="K126" i="5" s="1"/>
  <c r="J126" i="5" a="1"/>
  <c r="J126" i="5" s="1"/>
  <c r="K114" i="5" a="1"/>
  <c r="K114" i="5" s="1"/>
  <c r="J114" i="5" a="1"/>
  <c r="J114" i="5" s="1"/>
  <c r="K102" i="5" a="1"/>
  <c r="K102" i="5" s="1"/>
  <c r="J102" i="5" a="1"/>
  <c r="J102" i="5" s="1"/>
  <c r="K156" i="5" a="1"/>
  <c r="K156" i="5" s="1"/>
  <c r="J156" i="5" a="1"/>
  <c r="J156" i="5" s="1"/>
  <c r="K144" i="5" a="1"/>
  <c r="K144" i="5" s="1"/>
  <c r="J144" i="5" a="1"/>
  <c r="J144" i="5" s="1"/>
  <c r="K215" i="5" a="1"/>
  <c r="K215" i="5" s="1"/>
  <c r="J215" i="5" a="1"/>
  <c r="J215" i="5" s="1"/>
  <c r="K203" i="5" a="1"/>
  <c r="K203" i="5" s="1"/>
  <c r="J203" i="5" a="1"/>
  <c r="J203" i="5" s="1"/>
  <c r="K191" i="5" a="1"/>
  <c r="K191" i="5" s="1"/>
  <c r="J191" i="5" a="1"/>
  <c r="J191" i="5" s="1"/>
  <c r="K246" i="5" a="1"/>
  <c r="K246" i="5" s="1"/>
  <c r="K234" i="5" a="1"/>
  <c r="K234" i="5" s="1"/>
  <c r="J234" i="5" a="1"/>
  <c r="J234" i="5" s="1"/>
  <c r="K252" i="5" a="1"/>
  <c r="K252" i="5" s="1"/>
  <c r="K263" i="5" a="1"/>
  <c r="K263" i="5" s="1"/>
  <c r="J263" i="5" a="1"/>
  <c r="J263" i="5" s="1"/>
  <c r="K295" i="5" a="1"/>
  <c r="K295" i="5" s="1"/>
  <c r="J295" i="5" a="1"/>
  <c r="J295" i="5" s="1"/>
  <c r="K336" i="5" a="1"/>
  <c r="K336" i="5" s="1"/>
  <c r="J336" i="5" a="1"/>
  <c r="J336" i="5" s="1"/>
  <c r="K324" i="5" a="1"/>
  <c r="K324" i="5" s="1"/>
  <c r="J324" i="5" a="1"/>
  <c r="J324" i="5" s="1"/>
  <c r="K375" i="5" a="1"/>
  <c r="K375" i="5" s="1"/>
  <c r="J375" i="5" a="1"/>
  <c r="J375" i="5" s="1"/>
  <c r="K363" i="5" a="1"/>
  <c r="K363" i="5" s="1"/>
  <c r="J363" i="5" a="1"/>
  <c r="J363" i="5" s="1"/>
  <c r="K351" i="5" a="1"/>
  <c r="K351" i="5" s="1"/>
  <c r="J351" i="5" a="1"/>
  <c r="J351" i="5" s="1"/>
  <c r="K398" i="5" a="1"/>
  <c r="K398" i="5" s="1"/>
  <c r="J398" i="5" a="1"/>
  <c r="J398" i="5" s="1"/>
  <c r="K386" i="5" a="1"/>
  <c r="K386" i="5" s="1"/>
  <c r="J386" i="5" a="1"/>
  <c r="J386" i="5" s="1"/>
  <c r="K415" i="5" a="1"/>
  <c r="K415" i="5" s="1"/>
  <c r="J415" i="5" a="1"/>
  <c r="J415" i="5" s="1"/>
  <c r="K433" i="5" a="1"/>
  <c r="K433" i="5" s="1"/>
  <c r="J433" i="5" a="1"/>
  <c r="J433" i="5" s="1"/>
  <c r="K421" i="5" a="1"/>
  <c r="K421" i="5" s="1"/>
  <c r="J421" i="5" a="1"/>
  <c r="J421" i="5" s="1"/>
  <c r="K464" i="5" a="1"/>
  <c r="K464" i="5" s="1"/>
  <c r="J464" i="5" a="1"/>
  <c r="J464" i="5" s="1"/>
  <c r="K452" i="5" a="1"/>
  <c r="K452" i="5" s="1"/>
  <c r="J452" i="5" a="1"/>
  <c r="J452" i="5" s="1"/>
  <c r="K493" i="5" a="1"/>
  <c r="K493" i="5" s="1"/>
  <c r="J493" i="5" a="1"/>
  <c r="J493" i="5" s="1"/>
  <c r="K481" i="5" a="1"/>
  <c r="K481" i="5" s="1"/>
  <c r="J481" i="5" a="1"/>
  <c r="J481" i="5" s="1"/>
  <c r="J533" i="5" a="1"/>
  <c r="J533" i="5" s="1"/>
  <c r="K533" i="5" a="1"/>
  <c r="K533" i="5" s="1"/>
  <c r="K521" i="5" a="1"/>
  <c r="K521" i="5" s="1"/>
  <c r="J521" i="5" a="1"/>
  <c r="J521" i="5" s="1"/>
  <c r="J509" i="5" a="1"/>
  <c r="J509" i="5" s="1"/>
  <c r="K509" i="5" a="1"/>
  <c r="K509" i="5" s="1"/>
  <c r="J554" i="5" a="1"/>
  <c r="J554" i="5" s="1"/>
  <c r="K554" i="5" a="1"/>
  <c r="K554" i="5" s="1"/>
  <c r="J542" i="5" a="1"/>
  <c r="J542" i="5" s="1"/>
  <c r="K542" i="5" a="1"/>
  <c r="K542" i="5" s="1"/>
  <c r="K584" i="5" a="1"/>
  <c r="K584" i="5" s="1"/>
  <c r="J584" i="5" a="1"/>
  <c r="J584" i="5" s="1"/>
  <c r="J548" i="5" a="1"/>
  <c r="J548" i="5" s="1"/>
  <c r="K548" i="5" a="1"/>
  <c r="K548" i="5" s="1"/>
  <c r="I130" i="5" a="1"/>
  <c r="I130" i="5" s="1"/>
  <c r="K2" i="5" a="1"/>
  <c r="K2" i="5" s="1"/>
  <c r="J2" i="5" a="1"/>
  <c r="J2" i="5" s="1"/>
  <c r="K84" i="5" a="1"/>
  <c r="K84" i="5" s="1"/>
  <c r="J84" i="5" a="1"/>
  <c r="J84" i="5" s="1"/>
  <c r="K72" i="5" a="1"/>
  <c r="K72" i="5" s="1"/>
  <c r="J72" i="5" a="1"/>
  <c r="J72" i="5" s="1"/>
  <c r="K60" i="5" a="1"/>
  <c r="K60" i="5" s="1"/>
  <c r="J60" i="5" a="1"/>
  <c r="J60" i="5" s="1"/>
  <c r="K48" i="5" a="1"/>
  <c r="K48" i="5" s="1"/>
  <c r="J48" i="5" a="1"/>
  <c r="J48" i="5" s="1"/>
  <c r="K36" i="5" a="1"/>
  <c r="K36" i="5" s="1"/>
  <c r="J36" i="5" a="1"/>
  <c r="J36" i="5" s="1"/>
  <c r="K24" i="5" a="1"/>
  <c r="K24" i="5" s="1"/>
  <c r="J24" i="5" a="1"/>
  <c r="J24" i="5" s="1"/>
  <c r="K12" i="5" a="1"/>
  <c r="K12" i="5" s="1"/>
  <c r="J12" i="5" a="1"/>
  <c r="J12" i="5" s="1"/>
  <c r="K137" i="5" a="1"/>
  <c r="K137" i="5" s="1"/>
  <c r="J137" i="5" a="1"/>
  <c r="J137" i="5" s="1"/>
  <c r="K125" i="5" a="1"/>
  <c r="K125" i="5" s="1"/>
  <c r="J125" i="5" a="1"/>
  <c r="J125" i="5" s="1"/>
  <c r="K113" i="5" a="1"/>
  <c r="K113" i="5" s="1"/>
  <c r="J113" i="5" a="1"/>
  <c r="J113" i="5" s="1"/>
  <c r="K139" i="5" a="1"/>
  <c r="K139" i="5" s="1"/>
  <c r="J139" i="5" a="1"/>
  <c r="J139" i="5" s="1"/>
  <c r="K155" i="5" a="1"/>
  <c r="K155" i="5" s="1"/>
  <c r="J155" i="5" a="1"/>
  <c r="J155" i="5" s="1"/>
  <c r="K143" i="5" a="1"/>
  <c r="K143" i="5" s="1"/>
  <c r="J143" i="5" a="1"/>
  <c r="J143" i="5" s="1"/>
  <c r="K214" i="5" a="1"/>
  <c r="K214" i="5" s="1"/>
  <c r="J214" i="5" a="1"/>
  <c r="J214" i="5" s="1"/>
  <c r="K202" i="5" a="1"/>
  <c r="K202" i="5" s="1"/>
  <c r="J202" i="5" a="1"/>
  <c r="J202" i="5" s="1"/>
  <c r="K190" i="5" a="1"/>
  <c r="K190" i="5" s="1"/>
  <c r="J190" i="5" a="1"/>
  <c r="J190" i="5" s="1"/>
  <c r="K245" i="5" a="1"/>
  <c r="K245" i="5" s="1"/>
  <c r="J245" i="5" a="1"/>
  <c r="J245" i="5" s="1"/>
  <c r="K233" i="5" a="1"/>
  <c r="K233" i="5" s="1"/>
  <c r="K255" i="5" a="1"/>
  <c r="K255" i="5" s="1"/>
  <c r="J255" i="5" a="1"/>
  <c r="J255" i="5" s="1"/>
  <c r="K262" i="5" a="1"/>
  <c r="K262" i="5" s="1"/>
  <c r="J262" i="5" a="1"/>
  <c r="J262" i="5" s="1"/>
  <c r="K294" i="5" a="1"/>
  <c r="K294" i="5" s="1"/>
  <c r="J294" i="5" a="1"/>
  <c r="J294" i="5" s="1"/>
  <c r="K316" i="5" a="1"/>
  <c r="K316" i="5" s="1"/>
  <c r="J316" i="5" a="1"/>
  <c r="J316" i="5" s="1"/>
  <c r="K335" i="5" a="1"/>
  <c r="K335" i="5" s="1"/>
  <c r="J335" i="5" a="1"/>
  <c r="J335" i="5" s="1"/>
  <c r="K323" i="5" a="1"/>
  <c r="K323" i="5" s="1"/>
  <c r="J323" i="5" a="1"/>
  <c r="J323" i="5" s="1"/>
  <c r="K374" i="5" a="1"/>
  <c r="K374" i="5" s="1"/>
  <c r="J374" i="5" a="1"/>
  <c r="J374" i="5" s="1"/>
  <c r="K362" i="5" a="1"/>
  <c r="K362" i="5" s="1"/>
  <c r="J362" i="5" a="1"/>
  <c r="J362" i="5" s="1"/>
  <c r="K350" i="5" a="1"/>
  <c r="K350" i="5" s="1"/>
  <c r="J350" i="5" a="1"/>
  <c r="J350" i="5" s="1"/>
  <c r="K397" i="5" a="1"/>
  <c r="K397" i="5" s="1"/>
  <c r="J397" i="5" a="1"/>
  <c r="J397" i="5" s="1"/>
  <c r="K385" i="5" a="1"/>
  <c r="K385" i="5" s="1"/>
  <c r="J385" i="5" a="1"/>
  <c r="J385" i="5" s="1"/>
  <c r="K414" i="5" a="1"/>
  <c r="K414" i="5" s="1"/>
  <c r="J414" i="5" a="1"/>
  <c r="J414" i="5" s="1"/>
  <c r="K432" i="5" a="1"/>
  <c r="K432" i="5" s="1"/>
  <c r="J432" i="5" a="1"/>
  <c r="J432" i="5" s="1"/>
  <c r="K475" i="5" a="1"/>
  <c r="K475" i="5" s="1"/>
  <c r="J475" i="5" a="1"/>
  <c r="J475" i="5" s="1"/>
  <c r="K463" i="5" a="1"/>
  <c r="K463" i="5" s="1"/>
  <c r="J463" i="5" a="1"/>
  <c r="J463" i="5" s="1"/>
  <c r="K451" i="5" a="1"/>
  <c r="K451" i="5" s="1"/>
  <c r="J451" i="5" a="1"/>
  <c r="J451" i="5" s="1"/>
  <c r="K492" i="5" a="1"/>
  <c r="K492" i="5" s="1"/>
  <c r="J492" i="5" a="1"/>
  <c r="J492" i="5" s="1"/>
  <c r="K480" i="5" a="1"/>
  <c r="K480" i="5" s="1"/>
  <c r="J480" i="5" a="1"/>
  <c r="J480" i="5" s="1"/>
  <c r="K532" i="5" a="1"/>
  <c r="K532" i="5" s="1"/>
  <c r="J532" i="5" a="1"/>
  <c r="J532" i="5" s="1"/>
  <c r="J520" i="5" a="1"/>
  <c r="J520" i="5" s="1"/>
  <c r="K520" i="5" a="1"/>
  <c r="K520" i="5" s="1"/>
  <c r="J508" i="5" a="1"/>
  <c r="J508" i="5" s="1"/>
  <c r="K508" i="5" a="1"/>
  <c r="K508" i="5" s="1"/>
  <c r="J553" i="5" a="1"/>
  <c r="J553" i="5" s="1"/>
  <c r="K553" i="5" a="1"/>
  <c r="K553" i="5" s="1"/>
  <c r="J541" i="5" a="1"/>
  <c r="J541" i="5" s="1"/>
  <c r="K541" i="5" a="1"/>
  <c r="K541" i="5" s="1"/>
  <c r="J583" i="5" a="1"/>
  <c r="J583" i="5" s="1"/>
  <c r="K583" i="5" a="1"/>
  <c r="K583" i="5" s="1"/>
  <c r="K43" i="5" a="1"/>
  <c r="K43" i="5" s="1"/>
  <c r="J43" i="5" a="1"/>
  <c r="J43" i="5" s="1"/>
  <c r="K108" i="5" a="1"/>
  <c r="K108" i="5" s="1"/>
  <c r="J108" i="5" a="1"/>
  <c r="J108" i="5" s="1"/>
  <c r="K446" i="5" a="1"/>
  <c r="K446" i="5" s="1"/>
  <c r="J446" i="5" a="1"/>
  <c r="J446" i="5" s="1"/>
  <c r="K95" i="5" a="1"/>
  <c r="K95" i="5" s="1"/>
  <c r="J95" i="5" a="1"/>
  <c r="J95" i="5" s="1"/>
  <c r="K83" i="5" a="1"/>
  <c r="K83" i="5" s="1"/>
  <c r="J83" i="5" a="1"/>
  <c r="J83" i="5" s="1"/>
  <c r="K71" i="5" a="1"/>
  <c r="K71" i="5" s="1"/>
  <c r="J71" i="5" a="1"/>
  <c r="J71" i="5" s="1"/>
  <c r="K59" i="5" a="1"/>
  <c r="K59" i="5" s="1"/>
  <c r="J59" i="5" a="1"/>
  <c r="J59" i="5" s="1"/>
  <c r="K47" i="5" a="1"/>
  <c r="K47" i="5" s="1"/>
  <c r="J47" i="5" a="1"/>
  <c r="J47" i="5" s="1"/>
  <c r="K35" i="5" a="1"/>
  <c r="K35" i="5" s="1"/>
  <c r="J35" i="5" a="1"/>
  <c r="J35" i="5" s="1"/>
  <c r="K23" i="5" a="1"/>
  <c r="K23" i="5" s="1"/>
  <c r="J23" i="5" a="1"/>
  <c r="J23" i="5" s="1"/>
  <c r="K11" i="5" a="1"/>
  <c r="K11" i="5" s="1"/>
  <c r="J11" i="5" a="1"/>
  <c r="J11" i="5" s="1"/>
  <c r="K136" i="5" a="1"/>
  <c r="K136" i="5" s="1"/>
  <c r="J136" i="5" a="1"/>
  <c r="J136" i="5" s="1"/>
  <c r="K124" i="5" a="1"/>
  <c r="K124" i="5" s="1"/>
  <c r="J124" i="5" a="1"/>
  <c r="J124" i="5" s="1"/>
  <c r="K112" i="5" a="1"/>
  <c r="K112" i="5" s="1"/>
  <c r="J112" i="5" a="1"/>
  <c r="J112" i="5" s="1"/>
  <c r="K174" i="5" a="1"/>
  <c r="K174" i="5" s="1"/>
  <c r="J174" i="5" a="1"/>
  <c r="J174" i="5" s="1"/>
  <c r="K154" i="5" a="1"/>
  <c r="K154" i="5" s="1"/>
  <c r="J154" i="5" a="1"/>
  <c r="J154" i="5" s="1"/>
  <c r="K142" i="5" a="1"/>
  <c r="K142" i="5" s="1"/>
  <c r="J142" i="5" a="1"/>
  <c r="J142" i="5" s="1"/>
  <c r="K213" i="5" a="1"/>
  <c r="K213" i="5" s="1"/>
  <c r="J213" i="5" a="1"/>
  <c r="J213" i="5" s="1"/>
  <c r="K201" i="5" a="1"/>
  <c r="K201" i="5" s="1"/>
  <c r="J201" i="5" a="1"/>
  <c r="J201" i="5" s="1"/>
  <c r="K189" i="5" a="1"/>
  <c r="K189" i="5" s="1"/>
  <c r="J189" i="5" a="1"/>
  <c r="J189" i="5" s="1"/>
  <c r="K244" i="5" a="1"/>
  <c r="K244" i="5" s="1"/>
  <c r="J244" i="5" a="1"/>
  <c r="J244" i="5" s="1"/>
  <c r="K232" i="5" a="1"/>
  <c r="K232" i="5" s="1"/>
  <c r="J232" i="5" a="1"/>
  <c r="J232" i="5" s="1"/>
  <c r="K254" i="5" a="1"/>
  <c r="K254" i="5" s="1"/>
  <c r="J254" i="5" a="1"/>
  <c r="J254" i="5" s="1"/>
  <c r="K261" i="5" a="1"/>
  <c r="K261" i="5" s="1"/>
  <c r="J261" i="5" a="1"/>
  <c r="J261" i="5" s="1"/>
  <c r="K293" i="5" a="1"/>
  <c r="K293" i="5" s="1"/>
  <c r="J293" i="5" a="1"/>
  <c r="J293" i="5" s="1"/>
  <c r="K346" i="5" a="1"/>
  <c r="K346" i="5" s="1"/>
  <c r="J346" i="5" a="1"/>
  <c r="J346" i="5" s="1"/>
  <c r="K334" i="5" a="1"/>
  <c r="K334" i="5" s="1"/>
  <c r="J334" i="5" a="1"/>
  <c r="J334" i="5" s="1"/>
  <c r="K322" i="5" a="1"/>
  <c r="K322" i="5" s="1"/>
  <c r="J322" i="5" a="1"/>
  <c r="J322" i="5" s="1"/>
  <c r="K373" i="5" a="1"/>
  <c r="K373" i="5" s="1"/>
  <c r="J373" i="5" a="1"/>
  <c r="J373" i="5" s="1"/>
  <c r="K361" i="5" a="1"/>
  <c r="K361" i="5" s="1"/>
  <c r="J361" i="5" a="1"/>
  <c r="J361" i="5" s="1"/>
  <c r="K349" i="5" a="1"/>
  <c r="K349" i="5" s="1"/>
  <c r="J349" i="5" a="1"/>
  <c r="J349" i="5" s="1"/>
  <c r="K396" i="5" a="1"/>
  <c r="K396" i="5" s="1"/>
  <c r="J396" i="5" a="1"/>
  <c r="J396" i="5" s="1"/>
  <c r="K384" i="5" a="1"/>
  <c r="K384" i="5" s="1"/>
  <c r="J384" i="5" a="1"/>
  <c r="J384" i="5" s="1"/>
  <c r="K443" i="5" a="1"/>
  <c r="K443" i="5" s="1"/>
  <c r="J443" i="5" a="1"/>
  <c r="J443" i="5" s="1"/>
  <c r="K431" i="5" a="1"/>
  <c r="K431" i="5" s="1"/>
  <c r="J431" i="5" a="1"/>
  <c r="J431" i="5" s="1"/>
  <c r="K474" i="5" a="1"/>
  <c r="K474" i="5" s="1"/>
  <c r="J474" i="5" a="1"/>
  <c r="J474" i="5" s="1"/>
  <c r="K462" i="5" a="1"/>
  <c r="K462" i="5" s="1"/>
  <c r="J462" i="5" a="1"/>
  <c r="J462" i="5" s="1"/>
  <c r="K450" i="5" a="1"/>
  <c r="K450" i="5" s="1"/>
  <c r="J450" i="5" a="1"/>
  <c r="J450" i="5" s="1"/>
  <c r="K491" i="5" a="1"/>
  <c r="K491" i="5" s="1"/>
  <c r="J491" i="5" a="1"/>
  <c r="J491" i="5" s="1"/>
  <c r="K479" i="5" a="1"/>
  <c r="K479" i="5" s="1"/>
  <c r="J479" i="5" a="1"/>
  <c r="J479" i="5" s="1"/>
  <c r="J531" i="5" a="1"/>
  <c r="J531" i="5" s="1"/>
  <c r="K531" i="5" a="1"/>
  <c r="K531" i="5" s="1"/>
  <c r="J519" i="5" a="1"/>
  <c r="J519" i="5" s="1"/>
  <c r="K519" i="5" a="1"/>
  <c r="K519" i="5" s="1"/>
  <c r="J507" i="5" a="1"/>
  <c r="J507" i="5" s="1"/>
  <c r="K507" i="5" a="1"/>
  <c r="K507" i="5" s="1"/>
  <c r="J552" i="5" a="1"/>
  <c r="J552" i="5" s="1"/>
  <c r="K552" i="5" a="1"/>
  <c r="K552" i="5" s="1"/>
  <c r="K540" i="5" a="1"/>
  <c r="K540" i="5" s="1"/>
  <c r="J540" i="5" a="1"/>
  <c r="J540" i="5" s="1"/>
  <c r="K582" i="5" a="1"/>
  <c r="K582" i="5" s="1"/>
  <c r="J582" i="5" a="1"/>
  <c r="J582" i="5" s="1"/>
  <c r="K185" i="5" a="1"/>
  <c r="K185" i="5" s="1"/>
  <c r="J185" i="5" a="1"/>
  <c r="J185" i="5" s="1"/>
  <c r="K228" i="5" a="1"/>
  <c r="K228" i="5" s="1"/>
  <c r="J228" i="5" a="1"/>
  <c r="J228" i="5" s="1"/>
  <c r="K269" i="5" a="1"/>
  <c r="K269" i="5" s="1"/>
  <c r="J269" i="5" a="1"/>
  <c r="J269" i="5" s="1"/>
  <c r="K315" i="5" a="1"/>
  <c r="K315" i="5" s="1"/>
  <c r="J315" i="5" a="1"/>
  <c r="J315" i="5" s="1"/>
  <c r="K342" i="5" a="1"/>
  <c r="K342" i="5" s="1"/>
  <c r="J342" i="5" a="1"/>
  <c r="J342" i="5" s="1"/>
  <c r="K330" i="5" a="1"/>
  <c r="K330" i="5" s="1"/>
  <c r="J330" i="5" a="1"/>
  <c r="J330" i="5" s="1"/>
  <c r="K318" i="5" a="1"/>
  <c r="K318" i="5" s="1"/>
  <c r="J318" i="5" a="1"/>
  <c r="J318" i="5" s="1"/>
  <c r="K369" i="5" a="1"/>
  <c r="K369" i="5" s="1"/>
  <c r="J369" i="5" a="1"/>
  <c r="J369" i="5" s="1"/>
  <c r="K357" i="5" a="1"/>
  <c r="K357" i="5" s="1"/>
  <c r="J357" i="5" a="1"/>
  <c r="J357" i="5" s="1"/>
  <c r="K404" i="5" a="1"/>
  <c r="K404" i="5" s="1"/>
  <c r="J404" i="5" a="1"/>
  <c r="J404" i="5" s="1"/>
  <c r="K392" i="5" a="1"/>
  <c r="K392" i="5" s="1"/>
  <c r="J392" i="5" a="1"/>
  <c r="J392" i="5" s="1"/>
  <c r="K413" i="5" a="1"/>
  <c r="K413" i="5" s="1"/>
  <c r="J413" i="5" a="1"/>
  <c r="J413" i="5" s="1"/>
  <c r="K439" i="5" a="1"/>
  <c r="K439" i="5" s="1"/>
  <c r="J439" i="5" a="1"/>
  <c r="J439" i="5" s="1"/>
  <c r="J581" i="5" a="1"/>
  <c r="J581" i="5" s="1"/>
  <c r="K581" i="5" a="1"/>
  <c r="K581" i="5" s="1"/>
  <c r="K94" i="5" a="1"/>
  <c r="K94" i="5" s="1"/>
  <c r="J94" i="5" a="1"/>
  <c r="J94" i="5" s="1"/>
  <c r="K82" i="5" a="1"/>
  <c r="K82" i="5" s="1"/>
  <c r="J82" i="5" a="1"/>
  <c r="J82" i="5" s="1"/>
  <c r="K70" i="5" a="1"/>
  <c r="K70" i="5" s="1"/>
  <c r="J70" i="5" a="1"/>
  <c r="J70" i="5" s="1"/>
  <c r="K58" i="5" a="1"/>
  <c r="K58" i="5" s="1"/>
  <c r="J58" i="5" a="1"/>
  <c r="J58" i="5" s="1"/>
  <c r="K46" i="5" a="1"/>
  <c r="K46" i="5" s="1"/>
  <c r="J46" i="5" a="1"/>
  <c r="J46" i="5" s="1"/>
  <c r="K34" i="5" a="1"/>
  <c r="K34" i="5" s="1"/>
  <c r="J34" i="5" a="1"/>
  <c r="J34" i="5" s="1"/>
  <c r="K22" i="5" a="1"/>
  <c r="K22" i="5" s="1"/>
  <c r="J22" i="5" a="1"/>
  <c r="J22" i="5" s="1"/>
  <c r="K10" i="5" a="1"/>
  <c r="K10" i="5" s="1"/>
  <c r="J10" i="5" a="1"/>
  <c r="J10" i="5" s="1"/>
  <c r="K135" i="5" a="1"/>
  <c r="K135" i="5" s="1"/>
  <c r="J135" i="5" a="1"/>
  <c r="J135" i="5" s="1"/>
  <c r="K123" i="5" a="1"/>
  <c r="K123" i="5" s="1"/>
  <c r="J123" i="5" a="1"/>
  <c r="J123" i="5" s="1"/>
  <c r="K111" i="5" a="1"/>
  <c r="K111" i="5" s="1"/>
  <c r="J111" i="5" a="1"/>
  <c r="J111" i="5" s="1"/>
  <c r="K173" i="5" a="1"/>
  <c r="K173" i="5" s="1"/>
  <c r="J173" i="5" a="1"/>
  <c r="J173" i="5" s="1"/>
  <c r="K153" i="5" a="1"/>
  <c r="K153" i="5" s="1"/>
  <c r="J153" i="5" a="1"/>
  <c r="J153" i="5" s="1"/>
  <c r="K141" i="5" a="1"/>
  <c r="K141" i="5" s="1"/>
  <c r="J141" i="5" a="1"/>
  <c r="J141" i="5" s="1"/>
  <c r="K212" i="5" a="1"/>
  <c r="K212" i="5" s="1"/>
  <c r="J212" i="5" a="1"/>
  <c r="J212" i="5" s="1"/>
  <c r="K200" i="5" a="1"/>
  <c r="K200" i="5" s="1"/>
  <c r="J200" i="5" a="1"/>
  <c r="J200" i="5" s="1"/>
  <c r="K188" i="5" a="1"/>
  <c r="K188" i="5" s="1"/>
  <c r="J188" i="5" a="1"/>
  <c r="J188" i="5" s="1"/>
  <c r="K243" i="5" a="1"/>
  <c r="K243" i="5" s="1"/>
  <c r="J243" i="5" a="1"/>
  <c r="J243" i="5" s="1"/>
  <c r="K231" i="5" a="1"/>
  <c r="K231" i="5" s="1"/>
  <c r="J231" i="5" a="1"/>
  <c r="J231" i="5" s="1"/>
  <c r="K253" i="5" a="1"/>
  <c r="K253" i="5" s="1"/>
  <c r="J253" i="5" a="1"/>
  <c r="J253" i="5" s="1"/>
  <c r="K260" i="5" a="1"/>
  <c r="K260" i="5" s="1"/>
  <c r="J260" i="5" a="1"/>
  <c r="J260" i="5" s="1"/>
  <c r="K292" i="5" a="1"/>
  <c r="K292" i="5" s="1"/>
  <c r="J292" i="5" a="1"/>
  <c r="J292" i="5" s="1"/>
  <c r="K345" i="5" a="1"/>
  <c r="K345" i="5" s="1"/>
  <c r="J345" i="5" a="1"/>
  <c r="J345" i="5" s="1"/>
  <c r="K333" i="5" a="1"/>
  <c r="K333" i="5" s="1"/>
  <c r="J333" i="5" a="1"/>
  <c r="J333" i="5" s="1"/>
  <c r="K321" i="5" a="1"/>
  <c r="K321" i="5" s="1"/>
  <c r="J321" i="5" a="1"/>
  <c r="J321" i="5" s="1"/>
  <c r="K372" i="5" a="1"/>
  <c r="K372" i="5" s="1"/>
  <c r="J372" i="5" a="1"/>
  <c r="J372" i="5" s="1"/>
  <c r="K360" i="5" a="1"/>
  <c r="K360" i="5" s="1"/>
  <c r="J360" i="5" a="1"/>
  <c r="J360" i="5" s="1"/>
  <c r="K348" i="5" a="1"/>
  <c r="K348" i="5" s="1"/>
  <c r="J348" i="5" a="1"/>
  <c r="J348" i="5" s="1"/>
  <c r="K395" i="5" a="1"/>
  <c r="K395" i="5" s="1"/>
  <c r="J395" i="5" a="1"/>
  <c r="J395" i="5" s="1"/>
  <c r="K383" i="5" a="1"/>
  <c r="K383" i="5" s="1"/>
  <c r="J383" i="5" a="1"/>
  <c r="J383" i="5" s="1"/>
  <c r="K442" i="5" a="1"/>
  <c r="K442" i="5" s="1"/>
  <c r="J442" i="5" a="1"/>
  <c r="J442" i="5" s="1"/>
  <c r="K430" i="5" a="1"/>
  <c r="K430" i="5" s="1"/>
  <c r="J430" i="5" a="1"/>
  <c r="J430" i="5" s="1"/>
  <c r="K473" i="5" a="1"/>
  <c r="K473" i="5" s="1"/>
  <c r="J473" i="5" a="1"/>
  <c r="J473" i="5" s="1"/>
  <c r="K461" i="5" a="1"/>
  <c r="K461" i="5" s="1"/>
  <c r="J461" i="5" a="1"/>
  <c r="J461" i="5" s="1"/>
  <c r="K449" i="5" a="1"/>
  <c r="K449" i="5" s="1"/>
  <c r="J449" i="5" a="1"/>
  <c r="J449" i="5" s="1"/>
  <c r="K490" i="5" a="1"/>
  <c r="K490" i="5" s="1"/>
  <c r="J490" i="5" a="1"/>
  <c r="J490" i="5" s="1"/>
  <c r="K478" i="5" a="1"/>
  <c r="K478" i="5" s="1"/>
  <c r="J478" i="5" a="1"/>
  <c r="J478" i="5" s="1"/>
  <c r="K530" i="5" a="1"/>
  <c r="K530" i="5" s="1"/>
  <c r="J530" i="5" a="1"/>
  <c r="J530" i="5" s="1"/>
  <c r="J518" i="5" a="1"/>
  <c r="J518" i="5" s="1"/>
  <c r="K518" i="5" a="1"/>
  <c r="K518" i="5" s="1"/>
  <c r="J506" i="5" a="1"/>
  <c r="J506" i="5" s="1"/>
  <c r="K506" i="5" a="1"/>
  <c r="K506" i="5" s="1"/>
  <c r="J551" i="5" a="1"/>
  <c r="J551" i="5" s="1"/>
  <c r="K551" i="5" a="1"/>
  <c r="K551" i="5" s="1"/>
  <c r="K539" i="5" a="1"/>
  <c r="K539" i="5" s="1"/>
  <c r="J539" i="5" a="1"/>
  <c r="J539" i="5" s="1"/>
  <c r="K527" i="5" a="1"/>
  <c r="K527" i="5" s="1"/>
  <c r="J527" i="5" a="1"/>
  <c r="J527" i="5" s="1"/>
  <c r="K93" i="5" a="1"/>
  <c r="K93" i="5" s="1"/>
  <c r="J93" i="5" a="1"/>
  <c r="J93" i="5" s="1"/>
  <c r="K81" i="5" a="1"/>
  <c r="K81" i="5" s="1"/>
  <c r="J81" i="5" a="1"/>
  <c r="J81" i="5" s="1"/>
  <c r="K69" i="5" a="1"/>
  <c r="K69" i="5" s="1"/>
  <c r="J69" i="5" a="1"/>
  <c r="J69" i="5" s="1"/>
  <c r="K57" i="5" a="1"/>
  <c r="K57" i="5" s="1"/>
  <c r="J57" i="5" a="1"/>
  <c r="J57" i="5" s="1"/>
  <c r="K45" i="5" a="1"/>
  <c r="K45" i="5" s="1"/>
  <c r="J45" i="5" a="1"/>
  <c r="J45" i="5" s="1"/>
  <c r="K33" i="5" a="1"/>
  <c r="K33" i="5" s="1"/>
  <c r="J33" i="5" a="1"/>
  <c r="J33" i="5" s="1"/>
  <c r="K21" i="5" a="1"/>
  <c r="K21" i="5" s="1"/>
  <c r="J21" i="5" a="1"/>
  <c r="J21" i="5" s="1"/>
  <c r="K9" i="5" a="1"/>
  <c r="K9" i="5" s="1"/>
  <c r="J9" i="5" a="1"/>
  <c r="J9" i="5" s="1"/>
  <c r="K134" i="5" a="1"/>
  <c r="K134" i="5" s="1"/>
  <c r="J134" i="5" a="1"/>
  <c r="J134" i="5" s="1"/>
  <c r="K122" i="5" a="1"/>
  <c r="K122" i="5" s="1"/>
  <c r="J122" i="5" a="1"/>
  <c r="J122" i="5" s="1"/>
  <c r="K110" i="5" a="1"/>
  <c r="K110" i="5" s="1"/>
  <c r="J110" i="5" a="1"/>
  <c r="J110" i="5" s="1"/>
  <c r="K172" i="5" a="1"/>
  <c r="K172" i="5" s="1"/>
  <c r="K152" i="5" a="1"/>
  <c r="K152" i="5" s="1"/>
  <c r="J152" i="5" a="1"/>
  <c r="J152" i="5" s="1"/>
  <c r="K140" i="5" a="1"/>
  <c r="K140" i="5" s="1"/>
  <c r="J140" i="5" a="1"/>
  <c r="J140" i="5" s="1"/>
  <c r="K211" i="5" a="1"/>
  <c r="K211" i="5" s="1"/>
  <c r="J211" i="5" a="1"/>
  <c r="J211" i="5" s="1"/>
  <c r="K199" i="5" a="1"/>
  <c r="K199" i="5" s="1"/>
  <c r="J199" i="5" a="1"/>
  <c r="J199" i="5" s="1"/>
  <c r="K187" i="5" a="1"/>
  <c r="K187" i="5" s="1"/>
  <c r="J187" i="5" a="1"/>
  <c r="J187" i="5" s="1"/>
  <c r="K242" i="5" a="1"/>
  <c r="K242" i="5" s="1"/>
  <c r="J242" i="5" a="1"/>
  <c r="J242" i="5" s="1"/>
  <c r="K230" i="5" a="1"/>
  <c r="K230" i="5" s="1"/>
  <c r="J230" i="5" a="1"/>
  <c r="J230" i="5" s="1"/>
  <c r="K289" i="5" a="1"/>
  <c r="K289" i="5" s="1"/>
  <c r="J289" i="5" a="1"/>
  <c r="J289" i="5" s="1"/>
  <c r="K259" i="5" a="1"/>
  <c r="K259" i="5" s="1"/>
  <c r="J259" i="5" a="1"/>
  <c r="J259" i="5" s="1"/>
  <c r="K291" i="5" a="1"/>
  <c r="K291" i="5" s="1"/>
  <c r="J291" i="5" a="1"/>
  <c r="J291" i="5" s="1"/>
  <c r="K344" i="5" a="1"/>
  <c r="K344" i="5" s="1"/>
  <c r="J344" i="5" a="1"/>
  <c r="J344" i="5" s="1"/>
  <c r="K332" i="5" a="1"/>
  <c r="K332" i="5" s="1"/>
  <c r="J332" i="5" a="1"/>
  <c r="J332" i="5" s="1"/>
  <c r="K320" i="5" a="1"/>
  <c r="K320" i="5" s="1"/>
  <c r="J320" i="5" a="1"/>
  <c r="J320" i="5" s="1"/>
  <c r="K371" i="5" a="1"/>
  <c r="K371" i="5" s="1"/>
  <c r="J371" i="5" a="1"/>
  <c r="J371" i="5" s="1"/>
  <c r="K359" i="5" a="1"/>
  <c r="K359" i="5" s="1"/>
  <c r="J359" i="5" a="1"/>
  <c r="J359" i="5" s="1"/>
  <c r="K347" i="5" a="1"/>
  <c r="K347" i="5" s="1"/>
  <c r="J347" i="5" a="1"/>
  <c r="J347" i="5" s="1"/>
  <c r="K394" i="5" a="1"/>
  <c r="K394" i="5" s="1"/>
  <c r="J394" i="5" a="1"/>
  <c r="J394" i="5" s="1"/>
  <c r="K382" i="5" a="1"/>
  <c r="K382" i="5" s="1"/>
  <c r="J382" i="5" a="1"/>
  <c r="J382" i="5" s="1"/>
  <c r="K441" i="5" a="1"/>
  <c r="K441" i="5" s="1"/>
  <c r="J441" i="5" a="1"/>
  <c r="J441" i="5" s="1"/>
  <c r="K429" i="5" a="1"/>
  <c r="K429" i="5" s="1"/>
  <c r="J429" i="5" a="1"/>
  <c r="J429" i="5" s="1"/>
  <c r="K472" i="5" a="1"/>
  <c r="K472" i="5" s="1"/>
  <c r="J472" i="5" a="1"/>
  <c r="J472" i="5" s="1"/>
  <c r="K460" i="5" a="1"/>
  <c r="K460" i="5" s="1"/>
  <c r="J460" i="5" a="1"/>
  <c r="J460" i="5" s="1"/>
  <c r="K448" i="5" a="1"/>
  <c r="K448" i="5" s="1"/>
  <c r="J448" i="5" a="1"/>
  <c r="J448" i="5" s="1"/>
  <c r="K489" i="5" a="1"/>
  <c r="K489" i="5" s="1"/>
  <c r="J489" i="5" a="1"/>
  <c r="J489" i="5" s="1"/>
  <c r="K477" i="5" a="1"/>
  <c r="K477" i="5" s="1"/>
  <c r="J477" i="5" a="1"/>
  <c r="J477" i="5" s="1"/>
  <c r="K529" i="5" a="1"/>
  <c r="K529" i="5" s="1"/>
  <c r="J529" i="5" a="1"/>
  <c r="J529" i="5" s="1"/>
  <c r="J517" i="5" a="1"/>
  <c r="J517" i="5" s="1"/>
  <c r="K517" i="5" a="1"/>
  <c r="K517" i="5" s="1"/>
  <c r="J505" i="5" a="1"/>
  <c r="J505" i="5" s="1"/>
  <c r="K505" i="5" a="1"/>
  <c r="K505" i="5" s="1"/>
  <c r="J550" i="5" a="1"/>
  <c r="J550" i="5" s="1"/>
  <c r="K550" i="5" a="1"/>
  <c r="K550" i="5" s="1"/>
  <c r="K538" i="5" a="1"/>
  <c r="K538" i="5" s="1"/>
  <c r="J538" i="5" a="1"/>
  <c r="J538" i="5" s="1"/>
  <c r="K67" i="5" a="1"/>
  <c r="K67" i="5" s="1"/>
  <c r="J67" i="5" a="1"/>
  <c r="J67" i="5" s="1"/>
  <c r="K470" i="5" a="1"/>
  <c r="K470" i="5" s="1"/>
  <c r="J470" i="5" a="1"/>
  <c r="J470" i="5" s="1"/>
  <c r="K92" i="5" a="1"/>
  <c r="K92" i="5" s="1"/>
  <c r="J92" i="5" a="1"/>
  <c r="J92" i="5" s="1"/>
  <c r="K80" i="5" a="1"/>
  <c r="K80" i="5" s="1"/>
  <c r="J80" i="5" a="1"/>
  <c r="J80" i="5" s="1"/>
  <c r="K68" i="5" a="1"/>
  <c r="K68" i="5" s="1"/>
  <c r="J68" i="5" a="1"/>
  <c r="J68" i="5" s="1"/>
  <c r="K56" i="5" a="1"/>
  <c r="K56" i="5" s="1"/>
  <c r="J56" i="5" a="1"/>
  <c r="J56" i="5" s="1"/>
  <c r="K44" i="5" a="1"/>
  <c r="K44" i="5" s="1"/>
  <c r="J44" i="5" a="1"/>
  <c r="J44" i="5" s="1"/>
  <c r="K32" i="5" a="1"/>
  <c r="K32" i="5" s="1"/>
  <c r="J32" i="5" a="1"/>
  <c r="J32" i="5" s="1"/>
  <c r="K20" i="5" a="1"/>
  <c r="K20" i="5" s="1"/>
  <c r="J20" i="5" a="1"/>
  <c r="J20" i="5" s="1"/>
  <c r="K8" i="5" a="1"/>
  <c r="K8" i="5" s="1"/>
  <c r="J8" i="5" a="1"/>
  <c r="J8" i="5" s="1"/>
  <c r="K133" i="5" a="1"/>
  <c r="K133" i="5" s="1"/>
  <c r="J133" i="5" a="1"/>
  <c r="J133" i="5" s="1"/>
  <c r="K121" i="5" a="1"/>
  <c r="K121" i="5" s="1"/>
  <c r="J121" i="5" a="1"/>
  <c r="J121" i="5" s="1"/>
  <c r="K109" i="5" a="1"/>
  <c r="K109" i="5" s="1"/>
  <c r="J109" i="5" a="1"/>
  <c r="J109" i="5" s="1"/>
  <c r="K163" i="5" a="1"/>
  <c r="K163" i="5" s="1"/>
  <c r="J163" i="5" a="1"/>
  <c r="J163" i="5" s="1"/>
  <c r="K151" i="5" a="1"/>
  <c r="K151" i="5" s="1"/>
  <c r="J151" i="5" a="1"/>
  <c r="J151" i="5" s="1"/>
  <c r="K180" i="5" a="1"/>
  <c r="K180" i="5" s="1"/>
  <c r="K210" i="5" a="1"/>
  <c r="K210" i="5" s="1"/>
  <c r="J210" i="5" a="1"/>
  <c r="J210" i="5" s="1"/>
  <c r="K198" i="5" a="1"/>
  <c r="K198" i="5" s="1"/>
  <c r="J198" i="5" a="1"/>
  <c r="J198" i="5" s="1"/>
  <c r="K186" i="5" a="1"/>
  <c r="K186" i="5" s="1"/>
  <c r="J186" i="5" a="1"/>
  <c r="J186" i="5" s="1"/>
  <c r="K241" i="5" a="1"/>
  <c r="K241" i="5" s="1"/>
  <c r="J241" i="5" a="1"/>
  <c r="J241" i="5" s="1"/>
  <c r="K229" i="5" a="1"/>
  <c r="K229" i="5" s="1"/>
  <c r="J229" i="5" a="1"/>
  <c r="J229" i="5" s="1"/>
  <c r="K270" i="5" a="1"/>
  <c r="K270" i="5" s="1"/>
  <c r="J270" i="5" a="1"/>
  <c r="J270" i="5" s="1"/>
  <c r="K258" i="5" a="1"/>
  <c r="K258" i="5" s="1"/>
  <c r="J258" i="5" a="1"/>
  <c r="J258" i="5" s="1"/>
  <c r="K290" i="5" a="1"/>
  <c r="K290" i="5" s="1"/>
  <c r="J290" i="5" a="1"/>
  <c r="J290" i="5" s="1"/>
  <c r="K343" i="5" a="1"/>
  <c r="K343" i="5" s="1"/>
  <c r="J343" i="5" a="1"/>
  <c r="J343" i="5" s="1"/>
  <c r="K331" i="5" a="1"/>
  <c r="K331" i="5" s="1"/>
  <c r="J331" i="5" a="1"/>
  <c r="J331" i="5" s="1"/>
  <c r="K319" i="5" a="1"/>
  <c r="K319" i="5" s="1"/>
  <c r="J319" i="5" a="1"/>
  <c r="J319" i="5" s="1"/>
  <c r="K370" i="5" a="1"/>
  <c r="K370" i="5" s="1"/>
  <c r="J370" i="5" a="1"/>
  <c r="J370" i="5" s="1"/>
  <c r="K358" i="5" a="1"/>
  <c r="K358" i="5" s="1"/>
  <c r="J358" i="5" a="1"/>
  <c r="J358" i="5" s="1"/>
  <c r="K380" i="5" a="1"/>
  <c r="K380" i="5" s="1"/>
  <c r="J380" i="5" a="1"/>
  <c r="J380" i="5" s="1"/>
  <c r="K393" i="5" a="1"/>
  <c r="K393" i="5" s="1"/>
  <c r="J393" i="5" a="1"/>
  <c r="J393" i="5" s="1"/>
  <c r="K381" i="5" a="1"/>
  <c r="K381" i="5" s="1"/>
  <c r="J381" i="5" a="1"/>
  <c r="J381" i="5" s="1"/>
  <c r="K440" i="5" a="1"/>
  <c r="K440" i="5" s="1"/>
  <c r="J440" i="5" a="1"/>
  <c r="J440" i="5" s="1"/>
  <c r="K428" i="5" a="1"/>
  <c r="K428" i="5" s="1"/>
  <c r="J428" i="5" a="1"/>
  <c r="J428" i="5" s="1"/>
  <c r="K471" i="5" a="1"/>
  <c r="K471" i="5" s="1"/>
  <c r="J471" i="5" a="1"/>
  <c r="J471" i="5" s="1"/>
  <c r="K459" i="5" a="1"/>
  <c r="K459" i="5" s="1"/>
  <c r="J459" i="5" a="1"/>
  <c r="J459" i="5" s="1"/>
  <c r="K447" i="5" a="1"/>
  <c r="K447" i="5" s="1"/>
  <c r="J447" i="5" a="1"/>
  <c r="J447" i="5" s="1"/>
  <c r="K488" i="5" a="1"/>
  <c r="K488" i="5" s="1"/>
  <c r="J488" i="5" a="1"/>
  <c r="J488" i="5" s="1"/>
  <c r="K500" i="5" a="1"/>
  <c r="K500" i="5" s="1"/>
  <c r="K528" i="5" a="1"/>
  <c r="K528" i="5" s="1"/>
  <c r="J528" i="5" a="1"/>
  <c r="J528" i="5" s="1"/>
  <c r="J516" i="5" a="1"/>
  <c r="J516" i="5" s="1"/>
  <c r="K516" i="5" a="1"/>
  <c r="K516" i="5" s="1"/>
  <c r="J504" i="5" a="1"/>
  <c r="J504" i="5" s="1"/>
  <c r="K504" i="5" a="1"/>
  <c r="K504" i="5" s="1"/>
  <c r="J549" i="5" a="1"/>
  <c r="J549" i="5" s="1"/>
  <c r="K549" i="5" a="1"/>
  <c r="K549" i="5" s="1"/>
  <c r="K537" i="5" a="1"/>
  <c r="K537" i="5" s="1"/>
  <c r="J537" i="5" a="1"/>
  <c r="J537" i="5" s="1"/>
  <c r="I271" i="5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B5" i="6" s="1"/>
  <c r="I498" i="5"/>
  <c r="I499" i="5" s="1"/>
  <c r="J501" i="5" a="1"/>
  <c r="J501" i="5" s="1"/>
  <c r="J500" i="5" a="1"/>
  <c r="J500" i="5" s="1"/>
  <c r="J502" i="5" a="1"/>
  <c r="J502" i="5" s="1"/>
  <c r="J503" i="5" a="1"/>
  <c r="J503" i="5" s="1"/>
  <c r="I525" i="5" a="1"/>
  <c r="I525" i="5" s="1"/>
  <c r="I135" i="5" a="1"/>
  <c r="I135" i="5" s="1"/>
  <c r="I185" i="5" a="1"/>
  <c r="I185" i="5" s="1"/>
  <c r="I134" i="5" a="1"/>
  <c r="I134" i="5" s="1"/>
  <c r="I67" i="5" a="1"/>
  <c r="I67" i="5" s="1"/>
  <c r="I55" i="5" a="1"/>
  <c r="I55" i="5" s="1"/>
  <c r="I43" i="5" a="1"/>
  <c r="I43" i="5" s="1"/>
  <c r="I120" i="5" a="1"/>
  <c r="I120" i="5" s="1"/>
  <c r="I108" i="5" a="1"/>
  <c r="I108" i="5" s="1"/>
  <c r="I526" i="5" a="1"/>
  <c r="I526" i="5" s="1"/>
  <c r="I489" i="5" a="1"/>
  <c r="I489" i="5" s="1"/>
  <c r="I66" i="5" a="1"/>
  <c r="I66" i="5" s="1"/>
  <c r="I54" i="5" a="1"/>
  <c r="I54" i="5" s="1"/>
  <c r="I42" i="5" a="1"/>
  <c r="I42" i="5" s="1"/>
  <c r="I119" i="5" a="1"/>
  <c r="I119" i="5" s="1"/>
  <c r="I107" i="5" a="1"/>
  <c r="I107" i="5" s="1"/>
  <c r="I162" i="5" a="1"/>
  <c r="I162" i="5" s="1"/>
  <c r="I150" i="5" a="1"/>
  <c r="I150" i="5" s="1"/>
  <c r="I488" i="5" a="1"/>
  <c r="I488" i="5" s="1"/>
  <c r="I132" i="5" a="1"/>
  <c r="I132" i="5" s="1"/>
  <c r="I94" i="5" a="1"/>
  <c r="I94" i="5" s="1"/>
  <c r="I82" i="5" a="1"/>
  <c r="I82" i="5" s="1"/>
  <c r="I123" i="5" a="1"/>
  <c r="I123" i="5" s="1"/>
  <c r="I161" i="5" a="1"/>
  <c r="I161" i="5" s="1"/>
  <c r="I149" i="5" a="1"/>
  <c r="I149" i="5" s="1"/>
  <c r="I404" i="5" a="1"/>
  <c r="I404" i="5" s="1"/>
  <c r="I417" i="5" s="1" a="1"/>
  <c r="I417" i="5" s="1"/>
  <c r="I487" i="5" a="1"/>
  <c r="I487" i="5" s="1"/>
  <c r="I31" i="5" a="1"/>
  <c r="I31" i="5" s="1"/>
  <c r="I19" i="5" a="1"/>
  <c r="I19" i="5" s="1"/>
  <c r="I7" i="5" a="1"/>
  <c r="I7" i="5" s="1"/>
  <c r="I181" i="5" a="1"/>
  <c r="I181" i="5" s="1"/>
  <c r="I160" i="5" a="1"/>
  <c r="I160" i="5" s="1"/>
  <c r="I148" i="5" a="1"/>
  <c r="I148" i="5" s="1"/>
  <c r="I403" i="5" a="1"/>
  <c r="I403" i="5" s="1"/>
  <c r="I486" i="5" a="1"/>
  <c r="I486" i="5" s="1"/>
  <c r="I30" i="5" a="1"/>
  <c r="I30" i="5" s="1"/>
  <c r="I18" i="5" a="1"/>
  <c r="I18" i="5" s="1"/>
  <c r="I6" i="5" a="1"/>
  <c r="I6" i="5" s="1"/>
  <c r="I159" i="5" a="1"/>
  <c r="I159" i="5" s="1"/>
  <c r="I147" i="5" a="1"/>
  <c r="I147" i="5" s="1"/>
  <c r="I402" i="5" a="1"/>
  <c r="I402" i="5" s="1"/>
  <c r="I91" i="5" a="1"/>
  <c r="I91" i="5" s="1"/>
  <c r="I79" i="5" a="1"/>
  <c r="I79" i="5" s="1"/>
  <c r="I184" i="5" a="1"/>
  <c r="I184" i="5" s="1"/>
  <c r="I401" i="5" a="1"/>
  <c r="I401" i="5" s="1"/>
  <c r="I90" i="5" a="1"/>
  <c r="I90" i="5" s="1"/>
  <c r="I78" i="5" a="1"/>
  <c r="I78" i="5" s="1"/>
  <c r="I183" i="5" a="1"/>
  <c r="I183" i="5" s="1"/>
  <c r="I269" i="5" a="1"/>
  <c r="I269" i="5" s="1"/>
  <c r="I240" i="5" a="1"/>
  <c r="I240" i="5" s="1"/>
  <c r="I228" i="5" a="1"/>
  <c r="I228" i="5" s="1"/>
  <c r="I257" i="5" a="1"/>
  <c r="I257" i="5" s="1"/>
  <c r="I342" i="5" a="1"/>
  <c r="I342" i="5" s="1"/>
  <c r="I330" i="5" a="1"/>
  <c r="I330" i="5" s="1"/>
  <c r="I318" i="5" a="1"/>
  <c r="I318" i="5" s="1"/>
  <c r="I392" i="5" a="1"/>
  <c r="I392" i="5" s="1"/>
  <c r="I439" i="5" a="1"/>
  <c r="I439" i="5" s="1"/>
  <c r="I427" i="5" a="1"/>
  <c r="I427" i="5" s="1"/>
  <c r="I470" i="5" a="1"/>
  <c r="I470" i="5" s="1"/>
  <c r="I458" i="5" a="1"/>
  <c r="I458" i="5" s="1"/>
  <c r="I446" i="5" a="1"/>
  <c r="I446" i="5" s="1"/>
  <c r="I548" i="5" a="1"/>
  <c r="I548" i="5" s="1"/>
  <c r="I70" i="5" a="1"/>
  <c r="I70" i="5" s="1"/>
  <c r="I182" i="5" a="1"/>
  <c r="I182" i="5" s="1"/>
  <c r="I268" i="5" a="1"/>
  <c r="I268" i="5" s="1"/>
  <c r="I239" i="5" a="1"/>
  <c r="I239" i="5" s="1"/>
  <c r="I503" i="5" a="1"/>
  <c r="I503" i="5" s="1"/>
  <c r="I138" i="5" a="1"/>
  <c r="I138" i="5" s="1"/>
  <c r="B14" i="6" s="1"/>
  <c r="I126" i="5" a="1"/>
  <c r="I126" i="5" s="1"/>
  <c r="I209" i="5" a="1"/>
  <c r="I209" i="5" s="1"/>
  <c r="I197" i="5" a="1"/>
  <c r="I197" i="5" s="1"/>
  <c r="I227" i="5" a="1"/>
  <c r="I227" i="5" s="1"/>
  <c r="I341" i="5" a="1"/>
  <c r="I341" i="5" s="1"/>
  <c r="I329" i="5" a="1"/>
  <c r="I329" i="5" s="1"/>
  <c r="I317" i="5" a="1"/>
  <c r="I317" i="5" s="1"/>
  <c r="I369" i="5" a="1"/>
  <c r="I369" i="5" s="1"/>
  <c r="I357" i="5" a="1"/>
  <c r="I357" i="5" s="1"/>
  <c r="I391" i="5" a="1"/>
  <c r="I391" i="5" s="1"/>
  <c r="I438" i="5" a="1"/>
  <c r="I438" i="5" s="1"/>
  <c r="I426" i="5" a="1"/>
  <c r="I426" i="5" s="1"/>
  <c r="I469" i="5" a="1"/>
  <c r="I469" i="5" s="1"/>
  <c r="I457" i="5" a="1"/>
  <c r="I457" i="5" s="1"/>
  <c r="I445" i="5" a="1"/>
  <c r="I445" i="5" s="1"/>
  <c r="I515" i="5" a="1"/>
  <c r="I515" i="5" s="1"/>
  <c r="I547" i="5" a="1"/>
  <c r="I547" i="5" s="1"/>
  <c r="I125" i="5" a="1"/>
  <c r="I125" i="5" s="1"/>
  <c r="I530" i="5" a="1"/>
  <c r="I530" i="5" s="1"/>
  <c r="I518" i="5" a="1"/>
  <c r="I518" i="5" s="1"/>
  <c r="I127" i="5" a="1"/>
  <c r="I127" i="5" s="1"/>
  <c r="I479" i="5" a="1"/>
  <c r="I479" i="5" s="1"/>
  <c r="I59" i="5" a="1"/>
  <c r="I59" i="5" s="1"/>
  <c r="I47" i="5" a="1"/>
  <c r="I47" i="5" s="1"/>
  <c r="I112" i="5" a="1"/>
  <c r="I112" i="5" s="1"/>
  <c r="I142" i="5" a="1"/>
  <c r="I142" i="5" s="1"/>
  <c r="I493" i="5" a="1"/>
  <c r="I493" i="5" s="1"/>
  <c r="I87" i="5" a="1"/>
  <c r="I87" i="5" s="1"/>
  <c r="I75" i="5" a="1"/>
  <c r="I75" i="5" s="1"/>
  <c r="I154" i="5" a="1"/>
  <c r="I154" i="5" s="1"/>
  <c r="I213" i="5" a="1"/>
  <c r="I213" i="5" s="1"/>
  <c r="I136" i="5" a="1"/>
  <c r="I136" i="5" s="1"/>
  <c r="I124" i="5" a="1"/>
  <c r="I124" i="5" s="1"/>
  <c r="I131" i="5" a="1"/>
  <c r="I131" i="5" s="1"/>
  <c r="I222" i="5" a="1"/>
  <c r="I222" i="5" s="1"/>
  <c r="I514" i="5" a="1"/>
  <c r="I514" i="5" s="1"/>
  <c r="I396" i="5" a="1"/>
  <c r="I396" i="5" s="1"/>
  <c r="I491" i="5" a="1"/>
  <c r="I491" i="5" s="1"/>
  <c r="I23" i="5" a="1"/>
  <c r="I23" i="5" s="1"/>
  <c r="I11" i="5" a="1"/>
  <c r="I11" i="5" s="1"/>
  <c r="I35" i="5" a="1"/>
  <c r="I35" i="5" s="1"/>
  <c r="I152" i="5" a="1"/>
  <c r="I152" i="5" s="1"/>
  <c r="I394" i="5" a="1"/>
  <c r="I394" i="5" s="1"/>
  <c r="I443" i="5" a="1"/>
  <c r="I443" i="5" s="1"/>
  <c r="I95" i="5" a="1"/>
  <c r="I95" i="5" s="1"/>
  <c r="I101" i="5" s="1" a="1"/>
  <c r="I101" i="5" s="1"/>
  <c r="I83" i="5" a="1"/>
  <c r="I83" i="5" s="1"/>
  <c r="I71" i="5" a="1"/>
  <c r="I71" i="5" s="1"/>
  <c r="I472" i="5" a="1"/>
  <c r="I472" i="5" s="1"/>
  <c r="I244" i="5" a="1"/>
  <c r="I244" i="5" s="1"/>
  <c r="I232" i="5" a="1"/>
  <c r="I232" i="5" s="1"/>
  <c r="I261" i="5" a="1"/>
  <c r="I261" i="5" s="1"/>
  <c r="I346" i="5" a="1"/>
  <c r="I346" i="5" s="1"/>
  <c r="I334" i="5" a="1"/>
  <c r="I334" i="5" s="1"/>
  <c r="I322" i="5" a="1"/>
  <c r="I322" i="5" s="1"/>
  <c r="I384" i="5" a="1"/>
  <c r="I384" i="5" s="1"/>
  <c r="I431" i="5" a="1"/>
  <c r="I431" i="5" s="1"/>
  <c r="I462" i="5" a="1"/>
  <c r="I462" i="5" s="1"/>
  <c r="I450" i="5" a="1"/>
  <c r="I450" i="5" s="1"/>
  <c r="I552" i="5" a="1"/>
  <c r="I552" i="5" s="1"/>
  <c r="I540" i="5" a="1"/>
  <c r="I540" i="5" s="1"/>
  <c r="I474" i="5" a="1"/>
  <c r="I474" i="5" s="1"/>
  <c r="I201" i="5" a="1"/>
  <c r="I201" i="5" s="1"/>
  <c r="I189" i="5" a="1"/>
  <c r="I189" i="5" s="1"/>
  <c r="I373" i="5" a="1"/>
  <c r="I373" i="5" s="1"/>
  <c r="I361" i="5" a="1"/>
  <c r="I361" i="5" s="1"/>
  <c r="I349" i="5" a="1"/>
  <c r="I349" i="5" s="1"/>
  <c r="I507" i="5" a="1"/>
  <c r="I507" i="5" s="1"/>
  <c r="I296" i="5" a="1"/>
  <c r="I296" i="5" s="1"/>
  <c r="I295" i="5" a="1"/>
  <c r="I295" i="5" s="1"/>
  <c r="I294" i="5" a="1"/>
  <c r="I294" i="5" s="1"/>
  <c r="I297" i="5" a="1"/>
  <c r="I297" i="5" s="1"/>
  <c r="I293" i="5" a="1"/>
  <c r="I293" i="5" s="1"/>
  <c r="I292" i="5" a="1"/>
  <c r="I292" i="5" s="1"/>
  <c r="I291" i="5" a="1"/>
  <c r="I291" i="5" s="1"/>
  <c r="I289" i="5" a="1"/>
  <c r="I289" i="5" s="1"/>
  <c r="I290" i="5" a="1"/>
  <c r="I290" i="5" s="1"/>
  <c r="B15" i="6"/>
  <c r="I298" i="5" a="1"/>
  <c r="I298" i="5" s="1"/>
  <c r="E2" i="2"/>
  <c r="I301" i="5" l="1"/>
  <c r="I302" i="5" s="1"/>
  <c r="I303" i="5" s="1"/>
  <c r="I304" i="5" s="1"/>
  <c r="I305" i="5" s="1"/>
  <c r="I306" i="5" s="1"/>
  <c r="B6" i="6" s="1"/>
  <c r="I307" i="5" a="1"/>
  <c r="I307" i="5" s="1"/>
  <c r="I414" i="5" a="1"/>
  <c r="I414" i="5" s="1"/>
  <c r="I172" i="5" a="1"/>
  <c r="I172" i="5" s="1"/>
  <c r="I174" i="5" a="1"/>
  <c r="I174" i="5" s="1"/>
  <c r="J180" i="5" s="1" a="1"/>
  <c r="J180" i="5" s="1"/>
  <c r="I164" i="5"/>
  <c r="I165" i="5" s="1"/>
  <c r="I166" i="5" s="1"/>
  <c r="I167" i="5" s="1"/>
  <c r="I168" i="5" s="1"/>
  <c r="I169" i="5" s="1"/>
  <c r="I170" i="5" s="1"/>
  <c r="I171" i="5" s="1"/>
  <c r="I173" i="5" a="1"/>
  <c r="I173" i="5" s="1"/>
  <c r="I103" i="5" a="1"/>
  <c r="I103" i="5" s="1"/>
  <c r="I415" i="5" a="1"/>
  <c r="I415" i="5" s="1"/>
  <c r="I418" i="5" a="1"/>
  <c r="I418" i="5" s="1"/>
  <c r="I419" i="5" a="1"/>
  <c r="I419" i="5" s="1"/>
  <c r="I420" i="5" a="1"/>
  <c r="I420" i="5" s="1"/>
  <c r="B10" i="6" s="1"/>
  <c r="I416" i="5" a="1"/>
  <c r="I416" i="5" s="1"/>
  <c r="I560" i="5"/>
  <c r="I561" i="5" s="1"/>
  <c r="I562" i="5" s="1"/>
  <c r="I563" i="5" s="1"/>
  <c r="I564" i="5" s="1"/>
  <c r="I565" i="5" s="1"/>
  <c r="I566" i="5" s="1"/>
  <c r="I567" i="5" s="1"/>
  <c r="I568" i="5" s="1"/>
  <c r="I569" i="5" s="1"/>
  <c r="B12" i="6" s="1"/>
  <c r="I571" i="5" a="1"/>
  <c r="I571" i="5" s="1"/>
  <c r="I583" i="5" s="1" a="1"/>
  <c r="I583" i="5" s="1"/>
  <c r="I309" i="5"/>
  <c r="I310" i="5" s="1"/>
  <c r="I311" i="5" s="1"/>
  <c r="I312" i="5" s="1"/>
  <c r="I405" i="5"/>
  <c r="I406" i="5" s="1"/>
  <c r="I407" i="5" s="1"/>
  <c r="I408" i="5" s="1"/>
  <c r="I409" i="5" s="1"/>
  <c r="I410" i="5" s="1"/>
  <c r="I411" i="5" s="1"/>
  <c r="I412" i="5" s="1"/>
  <c r="B8" i="6" s="1"/>
  <c r="I413" i="5" a="1"/>
  <c r="I413" i="5" s="1"/>
  <c r="I104" i="5" a="1"/>
  <c r="I104" i="5" s="1"/>
  <c r="I96" i="5"/>
  <c r="I97" i="5" s="1"/>
  <c r="I98" i="5" s="1"/>
  <c r="I99" i="5" s="1"/>
  <c r="I100" i="5" s="1"/>
  <c r="B2" i="6" s="1"/>
  <c r="I105" i="5" a="1"/>
  <c r="I105" i="5" s="1"/>
  <c r="I102" i="5" a="1"/>
  <c r="I102" i="5" s="1"/>
  <c r="I315" i="5" l="1" a="1"/>
  <c r="I315" i="5" s="1"/>
  <c r="I314" i="5" a="1"/>
  <c r="I314" i="5" s="1"/>
  <c r="I313" i="5" a="1"/>
  <c r="I313" i="5" s="1"/>
  <c r="B13" i="6"/>
  <c r="I175" i="5"/>
  <c r="I176" i="5" s="1"/>
  <c r="I177" i="5" s="1"/>
  <c r="I178" i="5" s="1"/>
  <c r="I179" i="5" s="1"/>
  <c r="J181" i="5" a="1"/>
  <c r="J181" i="5" s="1"/>
  <c r="J184" i="5" a="1"/>
  <c r="J184" i="5" s="1"/>
  <c r="C17" i="6" s="1"/>
  <c r="J183" i="5" a="1"/>
  <c r="J183" i="5" s="1"/>
  <c r="J182" i="5" a="1"/>
  <c r="J182" i="5" s="1"/>
  <c r="B7" i="6"/>
  <c r="I587" i="5" a="1"/>
  <c r="I587" i="5" s="1"/>
  <c r="B4" i="6"/>
  <c r="B18" i="6"/>
  <c r="B29" i="6" s="1"/>
  <c r="I586" i="5" a="1"/>
  <c r="I586" i="5" s="1"/>
  <c r="I584" i="5" a="1"/>
  <c r="I584" i="5" s="1"/>
  <c r="I585" i="5" a="1"/>
  <c r="I585" i="5" s="1"/>
  <c r="I582" i="5" a="1"/>
  <c r="I582" i="5" s="1"/>
  <c r="I589" i="5" a="1"/>
  <c r="I589" i="5" s="1"/>
  <c r="I588" i="5" a="1"/>
  <c r="I588" i="5" s="1"/>
  <c r="I581" i="5" a="1"/>
  <c r="I581" i="5" s="1"/>
  <c r="I572" i="5"/>
  <c r="I573" i="5" s="1"/>
  <c r="I574" i="5" s="1"/>
  <c r="I575" i="5" s="1"/>
  <c r="I576" i="5" s="1"/>
  <c r="I577" i="5" s="1"/>
  <c r="I578" i="5" s="1"/>
  <c r="I579" i="5" s="1"/>
  <c r="I580" i="5" s="1"/>
  <c r="I595" i="5" l="1"/>
  <c r="B9" i="6"/>
  <c r="B16" i="6"/>
  <c r="C18" i="6" l="1"/>
  <c r="D17" i="6" l="1"/>
  <c r="B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Milioritsas, Ioannis</author>
  </authors>
  <commentList>
    <comment ref="J309" authorId="0" shapeId="0" xr:uid="{AFF83029-D504-46B3-AB19-E1F34D0A3C14}">
      <text>
        <r>
          <rPr>
            <b/>
            <sz val="9"/>
            <color indexed="81"/>
            <rFont val="Tahoma"/>
            <family val="2"/>
          </rPr>
          <t>Milioritsas, Ioannis:</t>
        </r>
        <r>
          <rPr>
            <sz val="9"/>
            <color indexed="81"/>
            <rFont val="Tahoma"/>
            <family val="2"/>
          </rPr>
          <t xml:space="preserve">
need this here as no policy effect existed these years, but non-policy did!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<sst xmlns="http://schemas.openxmlformats.org/spreadsheetml/2006/main" count="2866" uniqueCount="182">
  <si>
    <t>id</t>
  </si>
  <si>
    <t>time</t>
  </si>
  <si>
    <t>policy</t>
  </si>
  <si>
    <t>effect_mw</t>
  </si>
  <si>
    <t>benchmark_mw</t>
  </si>
  <si>
    <t>cumulative_effect_mw</t>
  </si>
  <si>
    <t>DEU</t>
  </si>
  <si>
    <t>effect_tisDEU.1993</t>
  </si>
  <si>
    <t>ESP</t>
  </si>
  <si>
    <t>effect_tisESP.1994</t>
  </si>
  <si>
    <t>GBR</t>
  </si>
  <si>
    <t>effect_tisGBR.2003</t>
  </si>
  <si>
    <t>ITA</t>
  </si>
  <si>
    <t>effect_tisITA.2004</t>
  </si>
  <si>
    <t>PRT</t>
  </si>
  <si>
    <t>effect_tisPRT.2004</t>
  </si>
  <si>
    <t>FRA</t>
  </si>
  <si>
    <t>effect_fesisFRA.2006</t>
  </si>
  <si>
    <t>POL</t>
  </si>
  <si>
    <t>effect_tisPOL.2007</t>
  </si>
  <si>
    <t>DNK</t>
  </si>
  <si>
    <t>effect_tisDNK.2008</t>
  </si>
  <si>
    <t>SWE</t>
  </si>
  <si>
    <t>effect_fesisSWE.2008</t>
  </si>
  <si>
    <t>effect_fesisESP.2019</t>
  </si>
  <si>
    <t>FIN</t>
  </si>
  <si>
    <t>effect_tisFIN.2019</t>
  </si>
  <si>
    <t>NLD</t>
  </si>
  <si>
    <t>effect_fesisNLD.2020</t>
  </si>
  <si>
    <t>effect_fesisPOL.2020</t>
  </si>
  <si>
    <t>AUT</t>
  </si>
  <si>
    <t>BEL</t>
  </si>
  <si>
    <t>GRC</t>
  </si>
  <si>
    <t>IRL</t>
  </si>
  <si>
    <t>LTU</t>
  </si>
  <si>
    <t>wind.cap</t>
  </si>
  <si>
    <t>estimated_cumulative_wind_cap_MW</t>
  </si>
  <si>
    <t>full name</t>
  </si>
  <si>
    <t>dominant instrument</t>
  </si>
  <si>
    <t>cluster name</t>
  </si>
  <si>
    <t>FiT</t>
  </si>
  <si>
    <t>FiT/FiP-based</t>
  </si>
  <si>
    <t>FiP</t>
  </si>
  <si>
    <t>TGC</t>
  </si>
  <si>
    <t>TGC-based</t>
  </si>
  <si>
    <t>policy details</t>
  </si>
  <si>
    <t>policy effects and effect duration</t>
  </si>
  <si>
    <t>policy_group_name</t>
  </si>
  <si>
    <t>cumulative_policy_effect_mw</t>
  </si>
  <si>
    <t>observed cumulative MW deployed</t>
  </si>
  <si>
    <t>estimated cumulative MW deployed</t>
  </si>
  <si>
    <t>error-adjusted total policy effect in MW</t>
  </si>
  <si>
    <t xml:space="preserve">error-adjusted non-policy &amp; unidentified policy effect in MW </t>
  </si>
  <si>
    <t>cumulative error-adjusted total policy mix effect in MW</t>
  </si>
  <si>
    <t>Eur_cum_cap_wind_GW</t>
  </si>
  <si>
    <t>end sample year</t>
  </si>
  <si>
    <t>year</t>
  </si>
  <si>
    <t>country</t>
  </si>
  <si>
    <t>Eur_estimated_cum_cap_GW</t>
  </si>
  <si>
    <t>negative break here: FiT degression intro - 2000</t>
  </si>
  <si>
    <t>FiP intro</t>
  </si>
  <si>
    <t>soft loan (onshore) intro</t>
  </si>
  <si>
    <t>soft loan (offshore) intro</t>
  </si>
  <si>
    <t>soft loan (onshore) interest rate increased</t>
  </si>
  <si>
    <t>FiP degression removed (offshore)</t>
  </si>
  <si>
    <t>FiT degression increased, FiT support level increased (onshore), FiT cancelled</t>
  </si>
  <si>
    <t>tender intro (Auction with fixed FIP)</t>
  </si>
  <si>
    <t>FiP cancelled</t>
  </si>
  <si>
    <t xml:space="preserve">time </t>
  </si>
  <si>
    <t>tender intro - 2005 (Auction with two-sided floating FIP (CfD)), FiP (onshore) intro - 2008, loan guarantee intro - 2008</t>
  </si>
  <si>
    <t>tender intro - 2005, FiP (onshore) intro - 2008, loan guarantee intro - 2008, FiP level reduced</t>
  </si>
  <si>
    <t>negative break here: FiP level reduced - 2009</t>
  </si>
  <si>
    <t>FiP support duration reduced</t>
  </si>
  <si>
    <t>FiP (offshore) intro</t>
  </si>
  <si>
    <t>FiP cancelled for (offshore) wind farms</t>
  </si>
  <si>
    <t>FiP (onshore) support duration reduced, tender remuneration scheme changed (Auction with fixed FIP)</t>
  </si>
  <si>
    <t>tender remuneration scheme changed (Auction with two-sided floating FIP (CfD))</t>
  </si>
  <si>
    <t>FiT intro - 1994</t>
  </si>
  <si>
    <t>FiT intro - 1994, FiT cap reduced</t>
  </si>
  <si>
    <t>FiT intro - 1994, FiT level decreased, FiP intro</t>
  </si>
  <si>
    <t>FiT intro - 1994, FiT level decreased</t>
  </si>
  <si>
    <t>FiT intro - 1994, FiT level increased, FiP level increased</t>
  </si>
  <si>
    <t>FiT intro - 1994, soft loan intro</t>
  </si>
  <si>
    <t>FiT intro - 1994, FiT level increased, FiP level reduced, soft loan expired</t>
  </si>
  <si>
    <t>FiT intro - 1994, FiT support level increased, FiP cancelled</t>
  </si>
  <si>
    <r>
      <t xml:space="preserve">FiT intro - 1994, </t>
    </r>
    <r>
      <rPr>
        <b/>
        <sz val="11"/>
        <color rgb="FF000000"/>
        <rFont val="Calibri"/>
        <family val="2"/>
        <scheme val="minor"/>
      </rPr>
      <t>negative break here: FiT level decreased 2001, FiP level reduced 2004, soft loan expired 2004</t>
    </r>
  </si>
  <si>
    <t>FiT level decreased</t>
  </si>
  <si>
    <t>FiT suspended</t>
  </si>
  <si>
    <t>FiT cancelled</t>
  </si>
  <si>
    <t>tender intro (Auction with one-sided floating FIP)</t>
  </si>
  <si>
    <t>new positive break here</t>
  </si>
  <si>
    <t>subsidy intro</t>
  </si>
  <si>
    <r>
      <rPr>
        <b/>
        <sz val="11"/>
        <color rgb="FF000000"/>
        <rFont val="Calibri"/>
        <family val="2"/>
        <scheme val="minor"/>
      </rPr>
      <t>negative break here:</t>
    </r>
    <r>
      <rPr>
        <sz val="11"/>
        <color rgb="FF000000"/>
        <rFont val="Calibri"/>
        <family val="2"/>
        <scheme val="minor"/>
      </rPr>
      <t xml:space="preserve"> FiT cancelled</t>
    </r>
  </si>
  <si>
    <t>FiT (onshore) prolonged and support duration increased, FiT (offshore) prolonged</t>
  </si>
  <si>
    <t xml:space="preserve">tender intro </t>
  </si>
  <si>
    <t>tender cancelled</t>
  </si>
  <si>
    <t>tender intro</t>
  </si>
  <si>
    <t>tax exemption intro - 2001, subsidy intro - 2002, TGC intro - 2002, subsidy cancelled</t>
  </si>
  <si>
    <t>tax exemption intro - 2001, subsidy intro - 2002, TGC intro - 2002</t>
  </si>
  <si>
    <t>tax exemption intro - 2001, subsidy intro - 2002, TGC intro - 2002, reduced tax rate intro</t>
  </si>
  <si>
    <t>FiT intro, subsidy cancelled</t>
  </si>
  <si>
    <t>TGC aim increased</t>
  </si>
  <si>
    <r>
      <t>tender intro (Auction with two-sided floating FIP (CfD))</t>
    </r>
    <r>
      <rPr>
        <sz val="11"/>
        <color rgb="FF000000"/>
        <rFont val="Calibri"/>
        <family val="2"/>
        <scheme val="minor"/>
      </rPr>
      <t>, tax exemption cancelled</t>
    </r>
    <r>
      <rPr>
        <b/>
        <sz val="11"/>
        <color theme="1"/>
        <rFont val="Calibri"/>
        <family val="2"/>
        <scheme val="minor"/>
      </rPr>
      <t>,</t>
    </r>
    <r>
      <rPr>
        <sz val="11"/>
        <color rgb="FF000000"/>
        <rFont val="Calibri"/>
        <family val="2"/>
        <scheme val="minor"/>
      </rPr>
      <t xml:space="preserve"> TGC aim increased</t>
    </r>
  </si>
  <si>
    <t>FiT bands changed</t>
  </si>
  <si>
    <t>TGC expired</t>
  </si>
  <si>
    <t>FiP introduced</t>
  </si>
  <si>
    <t>subsidy (offshore) introduced</t>
  </si>
  <si>
    <t>subsidy (offshore) cancelled, reduced tax rate introduced</t>
  </si>
  <si>
    <t>tax incentive intro - 2000, TGC level increase - 2004</t>
  </si>
  <si>
    <t>tax incentive intro - 2000, TGC level increase - 2004, FiT intro, TGC level increase</t>
  </si>
  <si>
    <t>negative break here: ?</t>
  </si>
  <si>
    <t>tax incentive level increased</t>
  </si>
  <si>
    <t>tender intro (one-sided sliding FIP)</t>
  </si>
  <si>
    <r>
      <t>negative break here: TGC cancelled - 2013</t>
    </r>
    <r>
      <rPr>
        <sz val="11"/>
        <color rgb="FF000000"/>
        <rFont val="Calibri"/>
        <family val="2"/>
        <scheme val="minor"/>
      </rPr>
      <t>, FiP intro</t>
    </r>
    <r>
      <rPr>
        <b/>
        <sz val="11"/>
        <color theme="1"/>
        <rFont val="Calibri"/>
        <family val="2"/>
        <scheme val="minor"/>
      </rPr>
      <t>,</t>
    </r>
    <r>
      <rPr>
        <sz val="11"/>
        <color rgb="FF000000"/>
        <rFont val="Calibri"/>
        <family val="2"/>
        <scheme val="minor"/>
      </rPr>
      <t xml:space="preserve"> tax incentive level increased</t>
    </r>
  </si>
  <si>
    <t>FiT (offshore) cancelled, tender remuneration scheme changed (two-sided sliding FIP (CfD))</t>
  </si>
  <si>
    <t>FiT (onshore) level decreased, FiP (onshore) reference price decreased</t>
  </si>
  <si>
    <t>tax deduction increase - 2016, TGC aim increase - 2019, tender (Auction with FIT) - 2016, tender remuneration scheme changed - 2017 (Auction with zero subsidy)</t>
  </si>
  <si>
    <t>tax deduction increase - 2016, TGC aim increase - 2019, tender - 2016</t>
  </si>
  <si>
    <t>tax deduction increase - 2016, TGC aim increase - 2019, tender - 2016, soft loan intro</t>
  </si>
  <si>
    <t>tax deduction increase - 2016, TGC aim increase - 2019, tender - 2016, loan guarantee intro, subsidy intro</t>
  </si>
  <si>
    <t>TGC intro - 2005</t>
  </si>
  <si>
    <t xml:space="preserve">TGC intro - 2005 </t>
  </si>
  <si>
    <r>
      <t xml:space="preserve">TGC intro - 2005; </t>
    </r>
    <r>
      <rPr>
        <b/>
        <sz val="11"/>
        <color rgb="FF000000"/>
        <rFont val="Calibri"/>
        <family val="2"/>
        <scheme val="minor"/>
      </rPr>
      <t>negative break here:  TGC cancelled</t>
    </r>
    <r>
      <rPr>
        <sz val="11"/>
        <color rgb="FF000000"/>
        <rFont val="Calibri"/>
        <family val="2"/>
        <scheme val="minor"/>
      </rPr>
      <t xml:space="preserve"> 2016</t>
    </r>
  </si>
  <si>
    <t>TGC intro - 2005, soft loan cancelled</t>
  </si>
  <si>
    <t xml:space="preserve"> soft loan cancelled, subsidy intro</t>
  </si>
  <si>
    <t>(tech-specific) FiT intro - 2001</t>
  </si>
  <si>
    <t xml:space="preserve">tender cancelled </t>
  </si>
  <si>
    <r>
      <rPr>
        <b/>
        <sz val="11"/>
        <color rgb="FF000000"/>
        <rFont val="Calibri"/>
        <family val="2"/>
        <scheme val="minor"/>
      </rPr>
      <t>negative break here:</t>
    </r>
    <r>
      <rPr>
        <sz val="11"/>
        <color rgb="FF000000"/>
        <rFont val="Calibri"/>
        <family val="2"/>
        <scheme val="minor"/>
      </rPr>
      <t xml:space="preserve"> tax exclusion cancelled - 2006</t>
    </r>
  </si>
  <si>
    <t>(tech-specific) FiT intro - 2001, tender intro, tax exclusion cancelled</t>
  </si>
  <si>
    <t>FiT cancelled, subsidy intro</t>
  </si>
  <si>
    <t>subsidy budget increase</t>
  </si>
  <si>
    <t>subsidy prolonged - 2007,  tax credit support level increased -2008</t>
  </si>
  <si>
    <t>subsidy prolonged - 2007,  tax credit support level increased -2008, tax credit support level increased</t>
  </si>
  <si>
    <t>subsidy prolonged - 2007,  tax credit support level increased -2008, tax credit cancelled</t>
  </si>
  <si>
    <t>subsidy prolonged - 2007, tax credit support level increased -2008,TGC aim increased, subsidy cancelled</t>
  </si>
  <si>
    <t>TGC aim increased, tax credit intro</t>
  </si>
  <si>
    <t>loan guarantee intro</t>
  </si>
  <si>
    <t>-</t>
  </si>
  <si>
    <t>FiT prolonged, FiT support duration increased</t>
  </si>
  <si>
    <t>tax exemption intro - 2001, TGC intro - 2002, subsidy intro</t>
  </si>
  <si>
    <t>tax exemption intro - 2001, TGC intro - 2002, subsidy level increased</t>
  </si>
  <si>
    <t>tax exemption intro - 2001,TGC intro - 2002</t>
  </si>
  <si>
    <r>
      <rPr>
        <b/>
        <sz val="11"/>
        <color rgb="FF000000"/>
        <rFont val="Calibri"/>
        <family val="2"/>
        <scheme val="minor"/>
      </rPr>
      <t>negative break here</t>
    </r>
    <r>
      <rPr>
        <sz val="11"/>
        <color rgb="FF000000"/>
        <rFont val="Calibri"/>
        <family val="2"/>
        <scheme val="minor"/>
      </rPr>
      <t>: subsidy (intro in 2006) cap reduced - 2009, reduced tax rate cancelled, TGC certificates granted reduced</t>
    </r>
  </si>
  <si>
    <t>policy instrument</t>
  </si>
  <si>
    <t>error-adjusted Cumulative policy instrument effect in GW</t>
  </si>
  <si>
    <t>Total policy effect</t>
  </si>
  <si>
    <t>Non-policy factors</t>
  </si>
  <si>
    <t xml:space="preserve">Policy effect share </t>
  </si>
  <si>
    <t>difference as model estimated cumulative capacity is not error adjusted!</t>
  </si>
  <si>
    <t>FiT intro -1991</t>
  </si>
  <si>
    <t>tax incentive extended</t>
  </si>
  <si>
    <r>
      <t>tender intro</t>
    </r>
    <r>
      <rPr>
        <sz val="11"/>
        <color theme="1"/>
        <rFont val="Calibri"/>
        <family val="2"/>
        <scheme val="minor"/>
      </rPr>
      <t>, tax incentive extended</t>
    </r>
  </si>
  <si>
    <t>FiT cancelled (offshore), tax incentive extended</t>
  </si>
  <si>
    <t>FiT cancelled (onshore), tax incentive extended, tender (onshore) introduced</t>
  </si>
  <si>
    <t xml:space="preserve">tax incentive intro </t>
  </si>
  <si>
    <t>tax incentive cancelled</t>
  </si>
  <si>
    <t>tax incentive extended - 2017, tender (onshore) introduced 2017</t>
  </si>
  <si>
    <t>Tender</t>
  </si>
  <si>
    <t>Tender, FiP, Loan guarantee</t>
  </si>
  <si>
    <t>Tax incentive increase, TGC aim increase, Tender</t>
  </si>
  <si>
    <t>Tax incentive</t>
  </si>
  <si>
    <t>Tax incentive, TGC</t>
  </si>
  <si>
    <t>Subsidy prolonged</t>
  </si>
  <si>
    <t>Tax incentive, Subsidy, TGC</t>
  </si>
  <si>
    <t>TGC aim increase, Tax incentive</t>
  </si>
  <si>
    <t>Tax incentive, TGC level increase</t>
  </si>
  <si>
    <t>Subsidy prolonged, Tax incentive level increased</t>
  </si>
  <si>
    <t>Tax incentive extended, Tender</t>
  </si>
  <si>
    <t>Subsidy</t>
  </si>
  <si>
    <t>Tender-based</t>
  </si>
  <si>
    <t>Tax-based</t>
  </si>
  <si>
    <t>Subsidy prolonged - 2007,  tax credit support level increased -2008</t>
  </si>
  <si>
    <t>Tender remuneration scheme changed (auction with zero subsidy)</t>
  </si>
  <si>
    <t>Tender remuneration scheme changed (Auction with one-sided floating FIP)</t>
  </si>
  <si>
    <t>Tender intro - 2014 (Auction with one-sided floating FIP), Tender remuneration scheme changed (auction with zero subsidy) - 2016, Tender remuneration scheme changed - 2017 (Auction with one-sided floating FIP)</t>
  </si>
  <si>
    <t>Tender intro - 2018 (Auction with one-sided floating FIP)</t>
  </si>
  <si>
    <t>Tender intro - 2018</t>
  </si>
  <si>
    <t>Tender intro - 2016</t>
  </si>
  <si>
    <t>Tender intro - 2016, subsidy intro</t>
  </si>
  <si>
    <t>Tender intro - 2016, soft loan cancelled, subsidy intro</t>
  </si>
  <si>
    <t>Policy mix</t>
  </si>
  <si>
    <t>Other single 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</si>
</sst>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9" fontId="9" fillId="0" borderId="0" applyFont="0" applyFill="0" applyBorder="0" applyAlignment="0" applyProtection="0"/>
  </cellStyleXfs>
  <cellXfs count="24">
    <xf numFmtId="0" fontId="0" fillId="0" borderId="0" xfId="0"/>
    <xf numFmtId="0" fontId="6" fillId="0" borderId="0" xfId="1" applyFont="1"/>
    <xf numFmtId="0" fontId="5" fillId="0" borderId="0" xfId="1"/>
    <xf numFmtId="0" fontId="0" fillId="0" borderId="0" xfId="0" applyAlignment="1">
      <alignment wrapText="1"/>
    </xf>
    <xf numFmtId="0" fontId="0" fillId="0" borderId="0" xfId="0" applyAlignment="1"/>
    <xf numFmtId="0" fontId="7" fillId="2" borderId="0" xfId="1" applyFont="1" applyFill="1"/>
    <xf numFmtId="164" fontId="0" fillId="0" borderId="0" xfId="0" applyNumberFormat="1"/>
    <xf numFmtId="164" fontId="5" fillId="0" borderId="0" xfId="1" applyNumberFormat="1"/>
    <xf numFmtId="0" fontId="0" fillId="2" borderId="0" xfId="0" applyFill="1"/>
    <xf numFmtId="0" fontId="6" fillId="0" borderId="0" xfId="0" applyFont="1"/>
    <xf numFmtId="0" fontId="6" fillId="0" borderId="0" xfId="0" applyFont="1" applyAlignment="1"/>
    <xf numFmtId="0" fontId="7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0" fontId="5" fillId="0" borderId="0" xfId="0" applyFont="1" applyAlignment="1">
      <alignment wrapText="1"/>
    </xf>
    <xf numFmtId="165" fontId="6" fillId="0" borderId="0" xfId="2" applyNumberFormat="1" applyFont="1"/>
    <xf numFmtId="0" fontId="4" fillId="0" borderId="0" xfId="1" applyFont="1"/>
    <xf numFmtId="0" fontId="3" fillId="0" borderId="0" xfId="0" applyFont="1" applyAlignment="1">
      <alignment wrapText="1"/>
    </xf>
    <xf numFmtId="0" fontId="2" fillId="0" borderId="0" xfId="1" applyFont="1"/>
    <xf numFmtId="0" fontId="2" fillId="0" borderId="0" xfId="0" applyFont="1" applyAlignment="1"/>
    <xf numFmtId="0" fontId="2" fillId="0" borderId="0" xfId="0" applyFont="1" applyAlignment="1">
      <alignment wrapText="1"/>
    </xf>
    <xf numFmtId="0" fontId="1" fillId="0" borderId="0" xfId="1" applyFont="1"/>
  </cellXfs>
  <cellStyles count="3">
    <cellStyle name="Normal" xfId="0" builtinId="0"/>
    <cellStyle name="Normal 2" xfId="1" xr:uid="{2A5F9218-443C-4F09-9159-FDA3B098866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8E75-4200-4E91-A1A5-0F5A4090DA36}">
  <sheetPr filterMode="1">
    <tabColor rgb="FFFF0000"/>
  </sheetPr>
  <dimension ref="A1:N595"/>
  <sheetViews>
    <sheetView zoomScaleNormal="100" workbookViewId="0">
      <pane xSplit="3" ySplit="1" topLeftCell="D119" activePane="bottomRight" state="frozen"/>
      <selection pane="topRight" activeCell="D1" sqref="D1"/>
      <selection pane="bottomLeft" activeCell="A2" sqref="A2"/>
      <selection pane="bottomRight" activeCell="F593" sqref="F593"/>
    </sheetView>
  </sheetViews>
  <sheetFormatPr defaultRowHeight="14.5" x14ac:dyDescent="0.35"/>
  <cols>
    <col min="1" max="1" width="4.54296875" bestFit="1" customWidth="1"/>
    <col min="2" max="2" width="8.08984375" bestFit="1" customWidth="1"/>
    <col min="3" max="3" width="31.08984375" customWidth="1"/>
    <col min="4" max="4" width="28.453125" bestFit="1" customWidth="1"/>
    <col min="5" max="5" width="17.453125" bestFit="1" customWidth="1"/>
    <col min="6" max="6" width="25.90625" bestFit="1" customWidth="1"/>
    <col min="7" max="7" width="30.7265625" bestFit="1" customWidth="1"/>
    <col min="8" max="8" width="31.26953125" bestFit="1" customWidth="1"/>
    <col min="9" max="9" width="34.1796875" bestFit="1" customWidth="1"/>
    <col min="10" max="10" width="52.26953125" bestFit="1" customWidth="1"/>
    <col min="11" max="11" width="47.453125" bestFit="1" customWidth="1"/>
  </cols>
  <sheetData>
    <row r="1" spans="1:11" s="4" customFormat="1" x14ac:dyDescent="0.35">
      <c r="A1" s="4" t="s">
        <v>0</v>
      </c>
      <c r="B1" s="4" t="s">
        <v>68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</row>
    <row r="2" spans="1:11" hidden="1" x14ac:dyDescent="0.35">
      <c r="A2" t="s">
        <v>30</v>
      </c>
      <c r="B2">
        <v>1991</v>
      </c>
      <c r="D2" t="s">
        <v>137</v>
      </c>
      <c r="E2" t="str" cm="1">
        <f t="array" ref="E2">_xlfn.IFS(D2=policy_name_clustering!$A$2,policy_name_clustering!$C$2,D2=policy_name_clustering!$A$3,policy_name_clustering!$C$3,D2=policy_name_clustering!$A$5,policy_name_clustering!$C$5,D2=policy_name_clustering!$A$6,policy_name_clustering!$C$6,D2=policy_name_clustering!$A$7,policy_name_clustering!$C$7,D2=policy_name_clustering!$A$8,policy_name_clustering!$C$8,D2=policy_name_clustering!$A$9,policy_name_clustering!$C$9,D2=policy_name_clustering!$A$10,policy_name_clustering!$C$10,D2=policy_name_clustering!$A$11,policy_name_clustering!$C$11,D2=policy_name_clustering!$A$12,policy_name_clustering!$C$12,D2=policy_name_clustering!$A$13,policy_name_clustering!$C$13,D2=policy_name_clustering!$A$14,policy_name_clustering!$C$14,D2=policy_name_clustering!$A$15,policy_name_clustering!$C$15,D2=policy_name_clustering!$A$16,policy_name_clustering!$C$16,D2="-","",D2=policy_name_clustering!$A$4,policy_name_clustering!$C$4)</f>
        <v/>
      </c>
      <c r="G2">
        <f>wind_cump_cap!C3</f>
        <v>0</v>
      </c>
      <c r="H2">
        <f>estimated_capacity!C2</f>
        <v>-8.2265578069234806</v>
      </c>
      <c r="I2" cm="1">
        <f t="array" ref="I2">_xlfn.IFS(D2= ""," ",D2&lt;&gt; " ",F2*(G2/H2))</f>
        <v>0</v>
      </c>
      <c r="J2" cm="1">
        <f t="array" ref="J2">_xlfn.IFS(D2= ""," ",D2&lt;&gt; " ",(H2-F2)*(G2/H2))</f>
        <v>0</v>
      </c>
      <c r="K2" cm="1">
        <f t="array" ref="K2">IF(ISNUMBER(H2),_xlfn.IFS(D2= ""," ",D2&lt;&gt; " ",F2*(G2/H2)),"")</f>
        <v>0</v>
      </c>
    </row>
    <row r="3" spans="1:11" hidden="1" x14ac:dyDescent="0.35">
      <c r="A3" t="s">
        <v>30</v>
      </c>
      <c r="B3">
        <v>1992</v>
      </c>
      <c r="D3" t="s">
        <v>137</v>
      </c>
      <c r="E3" t="str" cm="1">
        <f t="array" ref="E3">_xlfn.IFS(D3=policy_name_clustering!$A$2,policy_name_clustering!$C$2,D3=policy_name_clustering!$A$3,policy_name_clustering!$C$3,D3=policy_name_clustering!$A$5,policy_name_clustering!$C$5,D3=policy_name_clustering!$A$6,policy_name_clustering!$C$6,D3=policy_name_clustering!$A$7,policy_name_clustering!$C$7,D3=policy_name_clustering!$A$8,policy_name_clustering!$C$8,D3=policy_name_clustering!$A$9,policy_name_clustering!$C$9,D3=policy_name_clustering!$A$10,policy_name_clustering!$C$10,D3=policy_name_clustering!$A$11,policy_name_clustering!$C$11,D3=policy_name_clustering!$A$12,policy_name_clustering!$C$12,D3=policy_name_clustering!$A$13,policy_name_clustering!$C$13,D3=policy_name_clustering!$A$14,policy_name_clustering!$C$14,D3=policy_name_clustering!$A$15,policy_name_clustering!$C$15,D3=policy_name_clustering!$A$16,policy_name_clustering!$C$16,D3="-","",D3=policy_name_clustering!$A$4,policy_name_clustering!$C$4)</f>
        <v/>
      </c>
      <c r="G3">
        <f>wind_cump_cap!C4</f>
        <v>0</v>
      </c>
      <c r="H3">
        <f>estimated_capacity!C3</f>
        <v>-12.430992428873999</v>
      </c>
      <c r="I3" cm="1">
        <f t="array" ref="I3">_xlfn.IFS(D3= ""," ",D3&lt;&gt; " ",F3*(G3/H3))</f>
        <v>0</v>
      </c>
      <c r="J3" cm="1">
        <f t="array" ref="J3">_xlfn.IFS(D3= ""," ",D3&lt;&gt; " ",(H3-F3)*(G3/H3))</f>
        <v>0</v>
      </c>
      <c r="K3" cm="1">
        <f t="array" ref="K3">IF(ISNUMBER(H3),_xlfn.IFS(D3= ""," ",D3&lt;&gt; " ",F3*(G3/H3)),"")</f>
        <v>0</v>
      </c>
    </row>
    <row r="4" spans="1:11" hidden="1" x14ac:dyDescent="0.35">
      <c r="A4" t="s">
        <v>30</v>
      </c>
      <c r="B4">
        <v>1993</v>
      </c>
      <c r="D4" t="s">
        <v>137</v>
      </c>
      <c r="E4" t="str" cm="1">
        <f t="array" ref="E4">_xlfn.IFS(D4=policy_name_clustering!$A$2,policy_name_clustering!$C$2,D4=policy_name_clustering!$A$3,policy_name_clustering!$C$3,D4=policy_name_clustering!$A$5,policy_name_clustering!$C$5,D4=policy_name_clustering!$A$6,policy_name_clustering!$C$6,D4=policy_name_clustering!$A$7,policy_name_clustering!$C$7,D4=policy_name_clustering!$A$8,policy_name_clustering!$C$8,D4=policy_name_clustering!$A$9,policy_name_clustering!$C$9,D4=policy_name_clustering!$A$10,policy_name_clustering!$C$10,D4=policy_name_clustering!$A$11,policy_name_clustering!$C$11,D4=policy_name_clustering!$A$12,policy_name_clustering!$C$12,D4=policy_name_clustering!$A$13,policy_name_clustering!$C$13,D4=policy_name_clustering!$A$14,policy_name_clustering!$C$14,D4=policy_name_clustering!$A$15,policy_name_clustering!$C$15,D4=policy_name_clustering!$A$16,policy_name_clustering!$C$16,D4="-","",D4=policy_name_clustering!$A$4,policy_name_clustering!$C$4)</f>
        <v/>
      </c>
      <c r="G4">
        <f>wind_cump_cap!C5</f>
        <v>1</v>
      </c>
      <c r="H4">
        <f>estimated_capacity!C4</f>
        <v>-10.517071791362101</v>
      </c>
      <c r="I4" cm="1">
        <f t="array" ref="I4">_xlfn.IFS(D4= ""," ",D4&lt;&gt; " ",F4*(G4/H4))</f>
        <v>0</v>
      </c>
      <c r="J4" cm="1">
        <f t="array" ref="J4">_xlfn.IFS(D4= ""," ",D4&lt;&gt; " ",(H4-F4)*(G4/H4))</f>
        <v>1</v>
      </c>
      <c r="K4" cm="1">
        <f t="array" ref="K4">IF(ISNUMBER(H4),_xlfn.IFS(D4= ""," ",D4&lt;&gt; " ",F4*(G4/H4)),"")</f>
        <v>0</v>
      </c>
    </row>
    <row r="5" spans="1:11" hidden="1" x14ac:dyDescent="0.35">
      <c r="A5" t="s">
        <v>30</v>
      </c>
      <c r="B5">
        <v>1994</v>
      </c>
      <c r="D5" t="s">
        <v>137</v>
      </c>
      <c r="E5" t="str" cm="1">
        <f t="array" ref="E5">_xlfn.IFS(D5=policy_name_clustering!$A$2,policy_name_clustering!$C$2,D5=policy_name_clustering!$A$3,policy_name_clustering!$C$3,D5=policy_name_clustering!$A$5,policy_name_clustering!$C$5,D5=policy_name_clustering!$A$6,policy_name_clustering!$C$6,D5=policy_name_clustering!$A$7,policy_name_clustering!$C$7,D5=policy_name_clustering!$A$8,policy_name_clustering!$C$8,D5=policy_name_clustering!$A$9,policy_name_clustering!$C$9,D5=policy_name_clustering!$A$10,policy_name_clustering!$C$10,D5=policy_name_clustering!$A$11,policy_name_clustering!$C$11,D5=policy_name_clustering!$A$12,policy_name_clustering!$C$12,D5=policy_name_clustering!$A$13,policy_name_clustering!$C$13,D5=policy_name_clustering!$A$14,policy_name_clustering!$C$14,D5=policy_name_clustering!$A$15,policy_name_clustering!$C$15,D5=policy_name_clustering!$A$16,policy_name_clustering!$C$16,D5="-","",D5=policy_name_clustering!$A$4,policy_name_clustering!$C$4)</f>
        <v/>
      </c>
      <c r="G5">
        <f>wind_cump_cap!C6</f>
        <v>1</v>
      </c>
      <c r="H5">
        <f>estimated_capacity!C5</f>
        <v>-4.4677335153495497</v>
      </c>
      <c r="I5" cm="1">
        <f t="array" ref="I5">_xlfn.IFS(D5= ""," ",D5&lt;&gt; " ",F5*(G5/H5))</f>
        <v>0</v>
      </c>
      <c r="J5" cm="1">
        <f t="array" ref="J5">_xlfn.IFS(D5= ""," ",D5&lt;&gt; " ",(H5-F5)*(G5/H5))</f>
        <v>1</v>
      </c>
      <c r="K5" cm="1">
        <f t="array" ref="K5">IF(ISNUMBER(H5),_xlfn.IFS(D5= ""," ",D5&lt;&gt; " ",F5*(G5/H5)),"")</f>
        <v>0</v>
      </c>
    </row>
    <row r="6" spans="1:11" hidden="1" x14ac:dyDescent="0.35">
      <c r="A6" t="s">
        <v>30</v>
      </c>
      <c r="B6">
        <v>1995</v>
      </c>
      <c r="D6" t="s">
        <v>137</v>
      </c>
      <c r="E6" t="str" cm="1">
        <f t="array" ref="E6">_xlfn.IFS(D6=policy_name_clustering!$A$2,policy_name_clustering!$C$2,D6=policy_name_clustering!$A$3,policy_name_clustering!$C$3,D6=policy_name_clustering!$A$5,policy_name_clustering!$C$5,D6=policy_name_clustering!$A$6,policy_name_clustering!$C$6,D6=policy_name_clustering!$A$7,policy_name_clustering!$C$7,D6=policy_name_clustering!$A$8,policy_name_clustering!$C$8,D6=policy_name_clustering!$A$9,policy_name_clustering!$C$9,D6=policy_name_clustering!$A$10,policy_name_clustering!$C$10,D6=policy_name_clustering!$A$11,policy_name_clustering!$C$11,D6=policy_name_clustering!$A$12,policy_name_clustering!$C$12,D6=policy_name_clustering!$A$13,policy_name_clustering!$C$13,D6=policy_name_clustering!$A$14,policy_name_clustering!$C$14,D6=policy_name_clustering!$A$15,policy_name_clustering!$C$15,D6=policy_name_clustering!$A$16,policy_name_clustering!$C$16,D6="-","",D6=policy_name_clustering!$A$4,policy_name_clustering!$C$4)</f>
        <v/>
      </c>
      <c r="G6">
        <f>wind_cump_cap!C7</f>
        <v>1</v>
      </c>
      <c r="H6">
        <f>estimated_capacity!C6</f>
        <v>13.6259843162994</v>
      </c>
      <c r="I6" cm="1">
        <f t="array" ref="I6">_xlfn.IFS(D6= ""," ",D6&lt;&gt; " ",F6*(G6/H6))</f>
        <v>0</v>
      </c>
      <c r="J6" cm="1">
        <f t="array" ref="J6">_xlfn.IFS(D6= ""," ",D6&lt;&gt; " ",(H6-F6)*(G6/H6))</f>
        <v>0.99999999999999989</v>
      </c>
      <c r="K6" cm="1">
        <f t="array" ref="K6">IF(ISNUMBER(H6),_xlfn.IFS(D6= ""," ",D6&lt;&gt; " ",F6*(G6/H6)),"")</f>
        <v>0</v>
      </c>
    </row>
    <row r="7" spans="1:11" hidden="1" x14ac:dyDescent="0.35">
      <c r="A7" t="s">
        <v>30</v>
      </c>
      <c r="B7">
        <v>1996</v>
      </c>
      <c r="D7" t="s">
        <v>137</v>
      </c>
      <c r="E7" t="str" cm="1">
        <f t="array" ref="E7">_xlfn.IFS(D7=policy_name_clustering!$A$2,policy_name_clustering!$C$2,D7=policy_name_clustering!$A$3,policy_name_clustering!$C$3,D7=policy_name_clustering!$A$5,policy_name_clustering!$C$5,D7=policy_name_clustering!$A$6,policy_name_clustering!$C$6,D7=policy_name_clustering!$A$7,policy_name_clustering!$C$7,D7=policy_name_clustering!$A$8,policy_name_clustering!$C$8,D7=policy_name_clustering!$A$9,policy_name_clustering!$C$9,D7=policy_name_clustering!$A$10,policy_name_clustering!$C$10,D7=policy_name_clustering!$A$11,policy_name_clustering!$C$11,D7=policy_name_clustering!$A$12,policy_name_clustering!$C$12,D7=policy_name_clustering!$A$13,policy_name_clustering!$C$13,D7=policy_name_clustering!$A$14,policy_name_clustering!$C$14,D7=policy_name_clustering!$A$15,policy_name_clustering!$C$15,D7=policy_name_clustering!$A$16,policy_name_clustering!$C$16,D7="-","",D7=policy_name_clustering!$A$4,policy_name_clustering!$C$4)</f>
        <v/>
      </c>
      <c r="G7">
        <f>wind_cump_cap!C8</f>
        <v>3</v>
      </c>
      <c r="H7">
        <f>estimated_capacity!C7</f>
        <v>41.366119809449401</v>
      </c>
      <c r="I7" cm="1">
        <f t="array" ref="I7">_xlfn.IFS(D7= ""," ",D7&lt;&gt; " ",F7*(G7/H7))</f>
        <v>0</v>
      </c>
      <c r="J7" cm="1">
        <f t="array" ref="J7">_xlfn.IFS(D7= ""," ",D7&lt;&gt; " ",(H7-F7)*(G7/H7))</f>
        <v>3</v>
      </c>
      <c r="K7" cm="1">
        <f t="array" ref="K7">IF(ISNUMBER(H7),_xlfn.IFS(D7= ""," ",D7&lt;&gt; " ",F7*(G7/H7)),"")</f>
        <v>0</v>
      </c>
    </row>
    <row r="8" spans="1:11" hidden="1" x14ac:dyDescent="0.35">
      <c r="A8" t="s">
        <v>30</v>
      </c>
      <c r="B8">
        <v>1997</v>
      </c>
      <c r="D8" t="s">
        <v>137</v>
      </c>
      <c r="E8" t="str" cm="1">
        <f t="array" ref="E8">_xlfn.IFS(D8=policy_name_clustering!$A$2,policy_name_clustering!$C$2,D8=policy_name_clustering!$A$3,policy_name_clustering!$C$3,D8=policy_name_clustering!$A$5,policy_name_clustering!$C$5,D8=policy_name_clustering!$A$6,policy_name_clustering!$C$6,D8=policy_name_clustering!$A$7,policy_name_clustering!$C$7,D8=policy_name_clustering!$A$8,policy_name_clustering!$C$8,D8=policy_name_clustering!$A$9,policy_name_clustering!$C$9,D8=policy_name_clustering!$A$10,policy_name_clustering!$C$10,D8=policy_name_clustering!$A$11,policy_name_clustering!$C$11,D8=policy_name_clustering!$A$12,policy_name_clustering!$C$12,D8=policy_name_clustering!$A$13,policy_name_clustering!$C$13,D8=policy_name_clustering!$A$14,policy_name_clustering!$C$14,D8=policy_name_clustering!$A$15,policy_name_clustering!$C$15,D8=policy_name_clustering!$A$16,policy_name_clustering!$C$16,D8="-","",D8=policy_name_clustering!$A$4,policy_name_clustering!$C$4)</f>
        <v/>
      </c>
      <c r="G8">
        <f>wind_cump_cap!C9</f>
        <v>15</v>
      </c>
      <c r="H8">
        <f>estimated_capacity!C8</f>
        <v>81.797646871028107</v>
      </c>
      <c r="I8" cm="1">
        <f t="array" ref="I8">_xlfn.IFS(D8= ""," ",D8&lt;&gt; " ",F8*(G8/H8))</f>
        <v>0</v>
      </c>
      <c r="J8" cm="1">
        <f t="array" ref="J8">_xlfn.IFS(D8= ""," ",D8&lt;&gt; " ",(H8-F8)*(G8/H8))</f>
        <v>15</v>
      </c>
      <c r="K8" cm="1">
        <f t="array" ref="K8">IF(ISNUMBER(H8),_xlfn.IFS(D8= ""," ",D8&lt;&gt; " ",F8*(G8/H8)),"")</f>
        <v>0</v>
      </c>
    </row>
    <row r="9" spans="1:11" hidden="1" x14ac:dyDescent="0.35">
      <c r="A9" t="s">
        <v>30</v>
      </c>
      <c r="B9">
        <v>1998</v>
      </c>
      <c r="D9" t="s">
        <v>137</v>
      </c>
      <c r="E9" t="str" cm="1">
        <f t="array" ref="E9">_xlfn.IFS(D9=policy_name_clustering!$A$2,policy_name_clustering!$C$2,D9=policy_name_clustering!$A$3,policy_name_clustering!$C$3,D9=policy_name_clustering!$A$5,policy_name_clustering!$C$5,D9=policy_name_clustering!$A$6,policy_name_clustering!$C$6,D9=policy_name_clustering!$A$7,policy_name_clustering!$C$7,D9=policy_name_clustering!$A$8,policy_name_clustering!$C$8,D9=policy_name_clustering!$A$9,policy_name_clustering!$C$9,D9=policy_name_clustering!$A$10,policy_name_clustering!$C$10,D9=policy_name_clustering!$A$11,policy_name_clustering!$C$11,D9=policy_name_clustering!$A$12,policy_name_clustering!$C$12,D9=policy_name_clustering!$A$13,policy_name_clustering!$C$13,D9=policy_name_clustering!$A$14,policy_name_clustering!$C$14,D9=policy_name_clustering!$A$15,policy_name_clustering!$C$15,D9=policy_name_clustering!$A$16,policy_name_clustering!$C$16,D9="-","",D9=policy_name_clustering!$A$4,policy_name_clustering!$C$4)</f>
        <v/>
      </c>
      <c r="G9">
        <f>wind_cump_cap!C10</f>
        <v>34</v>
      </c>
      <c r="H9">
        <f>estimated_capacity!C9</f>
        <v>125.663317138167</v>
      </c>
      <c r="I9" cm="1">
        <f t="array" ref="I9">_xlfn.IFS(D9= ""," ",D9&lt;&gt; " ",F9*(G9/H9))</f>
        <v>0</v>
      </c>
      <c r="J9" cm="1">
        <f t="array" ref="J9">_xlfn.IFS(D9= ""," ",D9&lt;&gt; " ",(H9-F9)*(G9/H9))</f>
        <v>34</v>
      </c>
      <c r="K9" cm="1">
        <f t="array" ref="K9">IF(ISNUMBER(H9),_xlfn.IFS(D9= ""," ",D9&lt;&gt; " ",F9*(G9/H9)),"")</f>
        <v>0</v>
      </c>
    </row>
    <row r="10" spans="1:11" hidden="1" x14ac:dyDescent="0.35">
      <c r="A10" t="s">
        <v>30</v>
      </c>
      <c r="B10">
        <v>1999</v>
      </c>
      <c r="D10" t="s">
        <v>137</v>
      </c>
      <c r="E10" t="str" cm="1">
        <f t="array" ref="E10">_xlfn.IFS(D10=policy_name_clustering!$A$2,policy_name_clustering!$C$2,D10=policy_name_clustering!$A$3,policy_name_clustering!$C$3,D10=policy_name_clustering!$A$5,policy_name_clustering!$C$5,D10=policy_name_clustering!$A$6,policy_name_clustering!$C$6,D10=policy_name_clustering!$A$7,policy_name_clustering!$C$7,D10=policy_name_clustering!$A$8,policy_name_clustering!$C$8,D10=policy_name_clustering!$A$9,policy_name_clustering!$C$9,D10=policy_name_clustering!$A$10,policy_name_clustering!$C$10,D10=policy_name_clustering!$A$11,policy_name_clustering!$C$11,D10=policy_name_clustering!$A$12,policy_name_clustering!$C$12,D10=policy_name_clustering!$A$13,policy_name_clustering!$C$13,D10=policy_name_clustering!$A$14,policy_name_clustering!$C$14,D10=policy_name_clustering!$A$15,policy_name_clustering!$C$15,D10=policy_name_clustering!$A$16,policy_name_clustering!$C$16,D10="-","",D10=policy_name_clustering!$A$4,policy_name_clustering!$C$4)</f>
        <v/>
      </c>
      <c r="G10">
        <f>wind_cump_cap!C11</f>
        <v>38</v>
      </c>
      <c r="H10">
        <f>estimated_capacity!C10</f>
        <v>181.79522052697001</v>
      </c>
      <c r="I10" cm="1">
        <f t="array" ref="I10">_xlfn.IFS(D10= ""," ",D10&lt;&gt; " ",F10*(G10/H10))</f>
        <v>0</v>
      </c>
      <c r="J10" cm="1">
        <f t="array" ref="J10">_xlfn.IFS(D10= ""," ",D10&lt;&gt; " ",(H10-F10)*(G10/H10))</f>
        <v>38</v>
      </c>
      <c r="K10" cm="1">
        <f t="array" ref="K10">IF(ISNUMBER(H10),_xlfn.IFS(D10= ""," ",D10&lt;&gt; " ",F10*(G10/H10)),"")</f>
        <v>0</v>
      </c>
    </row>
    <row r="11" spans="1:11" hidden="1" x14ac:dyDescent="0.35">
      <c r="A11" t="s">
        <v>30</v>
      </c>
      <c r="B11">
        <v>2000</v>
      </c>
      <c r="D11" t="s">
        <v>137</v>
      </c>
      <c r="E11" t="str" cm="1">
        <f t="array" ref="E11">_xlfn.IFS(D11=policy_name_clustering!$A$2,policy_name_clustering!$C$2,D11=policy_name_clustering!$A$3,policy_name_clustering!$C$3,D11=policy_name_clustering!$A$5,policy_name_clustering!$C$5,D11=policy_name_clustering!$A$6,policy_name_clustering!$C$6,D11=policy_name_clustering!$A$7,policy_name_clustering!$C$7,D11=policy_name_clustering!$A$8,policy_name_clustering!$C$8,D11=policy_name_clustering!$A$9,policy_name_clustering!$C$9,D11=policy_name_clustering!$A$10,policy_name_clustering!$C$10,D11=policy_name_clustering!$A$11,policy_name_clustering!$C$11,D11=policy_name_clustering!$A$12,policy_name_clustering!$C$12,D11=policy_name_clustering!$A$13,policy_name_clustering!$C$13,D11=policy_name_clustering!$A$14,policy_name_clustering!$C$14,D11=policy_name_clustering!$A$15,policy_name_clustering!$C$15,D11=policy_name_clustering!$A$16,policy_name_clustering!$C$16,D11="-","",D11=policy_name_clustering!$A$4,policy_name_clustering!$C$4)</f>
        <v/>
      </c>
      <c r="G11">
        <f>wind_cump_cap!C12</f>
        <v>50</v>
      </c>
      <c r="H11">
        <f>estimated_capacity!C11</f>
        <v>239.55534445135601</v>
      </c>
      <c r="I11" cm="1">
        <f t="array" ref="I11">_xlfn.IFS(D11= ""," ",D11&lt;&gt; " ",F11*(G11/H11))</f>
        <v>0</v>
      </c>
      <c r="J11" cm="1">
        <f t="array" ref="J11">_xlfn.IFS(D11= ""," ",D11&lt;&gt; " ",(H11-F11)*(G11/H11))</f>
        <v>50</v>
      </c>
      <c r="K11" cm="1">
        <f t="array" ref="K11">IF(ISNUMBER(H11),_xlfn.IFS(D11= ""," ",D11&lt;&gt; " ",F11*(G11/H11)),"")</f>
        <v>0</v>
      </c>
    </row>
    <row r="12" spans="1:11" hidden="1" x14ac:dyDescent="0.35">
      <c r="A12" t="s">
        <v>30</v>
      </c>
      <c r="B12">
        <v>2001</v>
      </c>
      <c r="D12" t="s">
        <v>137</v>
      </c>
      <c r="E12" t="str" cm="1">
        <f t="array" ref="E12">_xlfn.IFS(D12=policy_name_clustering!$A$2,policy_name_clustering!$C$2,D12=policy_name_clustering!$A$3,policy_name_clustering!$C$3,D12=policy_name_clustering!$A$5,policy_name_clustering!$C$5,D12=policy_name_clustering!$A$6,policy_name_clustering!$C$6,D12=policy_name_clustering!$A$7,policy_name_clustering!$C$7,D12=policy_name_clustering!$A$8,policy_name_clustering!$C$8,D12=policy_name_clustering!$A$9,policy_name_clustering!$C$9,D12=policy_name_clustering!$A$10,policy_name_clustering!$C$10,D12=policy_name_clustering!$A$11,policy_name_clustering!$C$11,D12=policy_name_clustering!$A$12,policy_name_clustering!$C$12,D12=policy_name_clustering!$A$13,policy_name_clustering!$C$13,D12=policy_name_clustering!$A$14,policy_name_clustering!$C$14,D12=policy_name_clustering!$A$15,policy_name_clustering!$C$15,D12=policy_name_clustering!$A$16,policy_name_clustering!$C$16,D12="-","",D12=policy_name_clustering!$A$4,policy_name_clustering!$C$4)</f>
        <v/>
      </c>
      <c r="G12">
        <f>wind_cump_cap!C13</f>
        <v>67</v>
      </c>
      <c r="H12">
        <f>estimated_capacity!C12</f>
        <v>311.97932183110697</v>
      </c>
      <c r="I12" cm="1">
        <f t="array" ref="I12">_xlfn.IFS(D12= ""," ",D12&lt;&gt; " ",F12*(G12/H12))</f>
        <v>0</v>
      </c>
      <c r="J12" cm="1">
        <f t="array" ref="J12">_xlfn.IFS(D12= ""," ",D12&lt;&gt; " ",(H12-F12)*(G12/H12))</f>
        <v>67</v>
      </c>
      <c r="K12" cm="1">
        <f t="array" ref="K12">IF(ISNUMBER(H12),_xlfn.IFS(D12= ""," ",D12&lt;&gt; " ",F12*(G12/H12)),"")</f>
        <v>0</v>
      </c>
    </row>
    <row r="13" spans="1:11" hidden="1" x14ac:dyDescent="0.35">
      <c r="A13" t="s">
        <v>30</v>
      </c>
      <c r="B13">
        <v>2002</v>
      </c>
      <c r="D13" t="s">
        <v>137</v>
      </c>
      <c r="E13" t="str" cm="1">
        <f t="array" ref="E13">_xlfn.IFS(D13=policy_name_clustering!$A$2,policy_name_clustering!$C$2,D13=policy_name_clustering!$A$3,policy_name_clustering!$C$3,D13=policy_name_clustering!$A$5,policy_name_clustering!$C$5,D13=policy_name_clustering!$A$6,policy_name_clustering!$C$6,D13=policy_name_clustering!$A$7,policy_name_clustering!$C$7,D13=policy_name_clustering!$A$8,policy_name_clustering!$C$8,D13=policy_name_clustering!$A$9,policy_name_clustering!$C$9,D13=policy_name_clustering!$A$10,policy_name_clustering!$C$10,D13=policy_name_clustering!$A$11,policy_name_clustering!$C$11,D13=policy_name_clustering!$A$12,policy_name_clustering!$C$12,D13=policy_name_clustering!$A$13,policy_name_clustering!$C$13,D13=policy_name_clustering!$A$14,policy_name_clustering!$C$14,D13=policy_name_clustering!$A$15,policy_name_clustering!$C$15,D13=policy_name_clustering!$A$16,policy_name_clustering!$C$16,D13="-","",D13=policy_name_clustering!$A$4,policy_name_clustering!$C$4)</f>
        <v/>
      </c>
      <c r="G13">
        <f>wind_cump_cap!C14</f>
        <v>109</v>
      </c>
      <c r="H13">
        <f>estimated_capacity!C13</f>
        <v>386.63778912785801</v>
      </c>
      <c r="I13" cm="1">
        <f t="array" ref="I13">_xlfn.IFS(D13= ""," ",D13&lt;&gt; " ",F13*(G13/H13))</f>
        <v>0</v>
      </c>
      <c r="J13" cm="1">
        <f t="array" ref="J13">_xlfn.IFS(D13= ""," ",D13&lt;&gt; " ",(H13-F13)*(G13/H13))</f>
        <v>109</v>
      </c>
      <c r="K13" cm="1">
        <f t="array" ref="K13">IF(ISNUMBER(H13),_xlfn.IFS(D13= ""," ",D13&lt;&gt; " ",F13*(G13/H13)),"")</f>
        <v>0</v>
      </c>
    </row>
    <row r="14" spans="1:11" hidden="1" x14ac:dyDescent="0.35">
      <c r="A14" t="s">
        <v>30</v>
      </c>
      <c r="B14">
        <v>2003</v>
      </c>
      <c r="D14" t="s">
        <v>137</v>
      </c>
      <c r="E14" t="str" cm="1">
        <f t="array" ref="E14">_xlfn.IFS(D14=policy_name_clustering!$A$2,policy_name_clustering!$C$2,D14=policy_name_clustering!$A$3,policy_name_clustering!$C$3,D14=policy_name_clustering!$A$5,policy_name_clustering!$C$5,D14=policy_name_clustering!$A$6,policy_name_clustering!$C$6,D14=policy_name_clustering!$A$7,policy_name_clustering!$C$7,D14=policy_name_clustering!$A$8,policy_name_clustering!$C$8,D14=policy_name_clustering!$A$9,policy_name_clustering!$C$9,D14=policy_name_clustering!$A$10,policy_name_clustering!$C$10,D14=policy_name_clustering!$A$11,policy_name_clustering!$C$11,D14=policy_name_clustering!$A$12,policy_name_clustering!$C$12,D14=policy_name_clustering!$A$13,policy_name_clustering!$C$13,D14=policy_name_clustering!$A$14,policy_name_clustering!$C$14,D14=policy_name_clustering!$A$15,policy_name_clustering!$C$15,D14=policy_name_clustering!$A$16,policy_name_clustering!$C$16,D14="-","",D14=policy_name_clustering!$A$4,policy_name_clustering!$C$4)</f>
        <v/>
      </c>
      <c r="G14">
        <f>wind_cump_cap!C15</f>
        <v>322</v>
      </c>
      <c r="H14">
        <f>estimated_capacity!C14</f>
        <v>478.87439765896301</v>
      </c>
      <c r="I14" cm="1">
        <f t="array" ref="I14">_xlfn.IFS(D14= ""," ",D14&lt;&gt; " ",F14*(G14/H14))</f>
        <v>0</v>
      </c>
      <c r="J14" cm="1">
        <f t="array" ref="J14">_xlfn.IFS(D14= ""," ",D14&lt;&gt; " ",(H14-F14)*(G14/H14))</f>
        <v>322</v>
      </c>
      <c r="K14" cm="1">
        <f t="array" ref="K14">IF(ISNUMBER(H14),_xlfn.IFS(D14= ""," ",D14&lt;&gt; " ",F14*(G14/H14)),"")</f>
        <v>0</v>
      </c>
    </row>
    <row r="15" spans="1:11" hidden="1" x14ac:dyDescent="0.35">
      <c r="A15" t="s">
        <v>30</v>
      </c>
      <c r="B15">
        <v>2004</v>
      </c>
      <c r="D15" t="s">
        <v>137</v>
      </c>
      <c r="E15" t="str" cm="1">
        <f t="array" ref="E15">_xlfn.IFS(D15=policy_name_clustering!$A$2,policy_name_clustering!$C$2,D15=policy_name_clustering!$A$3,policy_name_clustering!$C$3,D15=policy_name_clustering!$A$5,policy_name_clustering!$C$5,D15=policy_name_clustering!$A$6,policy_name_clustering!$C$6,D15=policy_name_clustering!$A$7,policy_name_clustering!$C$7,D15=policy_name_clustering!$A$8,policy_name_clustering!$C$8,D15=policy_name_clustering!$A$9,policy_name_clustering!$C$9,D15=policy_name_clustering!$A$10,policy_name_clustering!$C$10,D15=policy_name_clustering!$A$11,policy_name_clustering!$C$11,D15=policy_name_clustering!$A$12,policy_name_clustering!$C$12,D15=policy_name_clustering!$A$13,policy_name_clustering!$C$13,D15=policy_name_clustering!$A$14,policy_name_clustering!$C$14,D15=policy_name_clustering!$A$15,policy_name_clustering!$C$15,D15=policy_name_clustering!$A$16,policy_name_clustering!$C$16,D15="-","",D15=policy_name_clustering!$A$4,policy_name_clustering!$C$4)</f>
        <v/>
      </c>
      <c r="G15">
        <f>wind_cump_cap!C16</f>
        <v>581</v>
      </c>
      <c r="H15">
        <f>estimated_capacity!C15</f>
        <v>568.16094759425505</v>
      </c>
      <c r="I15" cm="1">
        <f t="array" ref="I15">_xlfn.IFS(D15= ""," ",D15&lt;&gt; " ",F15*(G15/H15))</f>
        <v>0</v>
      </c>
      <c r="J15" cm="1">
        <f t="array" ref="J15">_xlfn.IFS(D15= ""," ",D15&lt;&gt; " ",(H15-F15)*(G15/H15))</f>
        <v>581</v>
      </c>
      <c r="K15" cm="1">
        <f t="array" ref="K15">IF(ISNUMBER(H15),_xlfn.IFS(D15= ""," ",D15&lt;&gt; " ",F15*(G15/H15)),"")</f>
        <v>0</v>
      </c>
    </row>
    <row r="16" spans="1:11" hidden="1" x14ac:dyDescent="0.35">
      <c r="A16" t="s">
        <v>30</v>
      </c>
      <c r="B16">
        <v>2005</v>
      </c>
      <c r="D16" t="s">
        <v>137</v>
      </c>
      <c r="E16" t="str" cm="1">
        <f t="array" ref="E16">_xlfn.IFS(D16=policy_name_clustering!$A$2,policy_name_clustering!$C$2,D16=policy_name_clustering!$A$3,policy_name_clustering!$C$3,D16=policy_name_clustering!$A$5,policy_name_clustering!$C$5,D16=policy_name_clustering!$A$6,policy_name_clustering!$C$6,D16=policy_name_clustering!$A$7,policy_name_clustering!$C$7,D16=policy_name_clustering!$A$8,policy_name_clustering!$C$8,D16=policy_name_clustering!$A$9,policy_name_clustering!$C$9,D16=policy_name_clustering!$A$10,policy_name_clustering!$C$10,D16=policy_name_clustering!$A$11,policy_name_clustering!$C$11,D16=policy_name_clustering!$A$12,policy_name_clustering!$C$12,D16=policy_name_clustering!$A$13,policy_name_clustering!$C$13,D16=policy_name_clustering!$A$14,policy_name_clustering!$C$14,D16=policy_name_clustering!$A$15,policy_name_clustering!$C$15,D16=policy_name_clustering!$A$16,policy_name_clustering!$C$16,D16="-","",D16=policy_name_clustering!$A$4,policy_name_clustering!$C$4)</f>
        <v/>
      </c>
      <c r="G16">
        <f>wind_cump_cap!C17</f>
        <v>825.21900000000005</v>
      </c>
      <c r="H16">
        <f>estimated_capacity!C16</f>
        <v>676.09798365981806</v>
      </c>
      <c r="I16" cm="1">
        <f t="array" ref="I16">_xlfn.IFS(D16= ""," ",D16&lt;&gt; " ",F16*(G16/H16))</f>
        <v>0</v>
      </c>
      <c r="J16" cm="1">
        <f t="array" ref="J16">_xlfn.IFS(D16= ""," ",D16&lt;&gt; " ",(H16-F16)*(G16/H16))</f>
        <v>825.21900000000005</v>
      </c>
      <c r="K16" cm="1">
        <f t="array" ref="K16">IF(ISNUMBER(H16),_xlfn.IFS(D16= ""," ",D16&lt;&gt; " ",F16*(G16/H16)),"")</f>
        <v>0</v>
      </c>
    </row>
    <row r="17" spans="1:11" hidden="1" x14ac:dyDescent="0.35">
      <c r="A17" t="s">
        <v>30</v>
      </c>
      <c r="B17">
        <v>2006</v>
      </c>
      <c r="D17" t="s">
        <v>137</v>
      </c>
      <c r="E17" t="str" cm="1">
        <f t="array" ref="E17">_xlfn.IFS(D17=policy_name_clustering!$A$2,policy_name_clustering!$C$2,D17=policy_name_clustering!$A$3,policy_name_clustering!$C$3,D17=policy_name_clustering!$A$5,policy_name_clustering!$C$5,D17=policy_name_clustering!$A$6,policy_name_clustering!$C$6,D17=policy_name_clustering!$A$7,policy_name_clustering!$C$7,D17=policy_name_clustering!$A$8,policy_name_clustering!$C$8,D17=policy_name_clustering!$A$9,policy_name_clustering!$C$9,D17=policy_name_clustering!$A$10,policy_name_clustering!$C$10,D17=policy_name_clustering!$A$11,policy_name_clustering!$C$11,D17=policy_name_clustering!$A$12,policy_name_clustering!$C$12,D17=policy_name_clustering!$A$13,policy_name_clustering!$C$13,D17=policy_name_clustering!$A$14,policy_name_clustering!$C$14,D17=policy_name_clustering!$A$15,policy_name_clustering!$C$15,D17=policy_name_clustering!$A$16,policy_name_clustering!$C$16,D17="-","",D17=policy_name_clustering!$A$4,policy_name_clustering!$C$4)</f>
        <v/>
      </c>
      <c r="G17">
        <f>wind_cump_cap!C18</f>
        <v>968.26900000000001</v>
      </c>
      <c r="H17">
        <f>estimated_capacity!C17</f>
        <v>775.93113545534095</v>
      </c>
      <c r="I17" cm="1">
        <f t="array" ref="I17">_xlfn.IFS(D17= ""," ",D17&lt;&gt; " ",F17*(G17/H17))</f>
        <v>0</v>
      </c>
      <c r="J17" cm="1">
        <f t="array" ref="J17">_xlfn.IFS(D17= ""," ",D17&lt;&gt; " ",(H17-F17)*(G17/H17))</f>
        <v>968.26900000000012</v>
      </c>
      <c r="K17" cm="1">
        <f t="array" ref="K17">IF(ISNUMBER(H17),_xlfn.IFS(D17= ""," ",D17&lt;&gt; " ",F17*(G17/H17)),"")</f>
        <v>0</v>
      </c>
    </row>
    <row r="18" spans="1:11" hidden="1" x14ac:dyDescent="0.35">
      <c r="A18" t="s">
        <v>30</v>
      </c>
      <c r="B18">
        <v>2007</v>
      </c>
      <c r="D18" t="s">
        <v>137</v>
      </c>
      <c r="E18" t="str" cm="1">
        <f t="array" ref="E18">_xlfn.IFS(D18=policy_name_clustering!$A$2,policy_name_clustering!$C$2,D18=policy_name_clustering!$A$3,policy_name_clustering!$C$3,D18=policy_name_clustering!$A$5,policy_name_clustering!$C$5,D18=policy_name_clustering!$A$6,policy_name_clustering!$C$6,D18=policy_name_clustering!$A$7,policy_name_clustering!$C$7,D18=policy_name_clustering!$A$8,policy_name_clustering!$C$8,D18=policy_name_clustering!$A$9,policy_name_clustering!$C$9,D18=policy_name_clustering!$A$10,policy_name_clustering!$C$10,D18=policy_name_clustering!$A$11,policy_name_clustering!$C$11,D18=policy_name_clustering!$A$12,policy_name_clustering!$C$12,D18=policy_name_clustering!$A$13,policy_name_clustering!$C$13,D18=policy_name_clustering!$A$14,policy_name_clustering!$C$14,D18=policy_name_clustering!$A$15,policy_name_clustering!$C$15,D18=policy_name_clustering!$A$16,policy_name_clustering!$C$16,D18="-","",D18=policy_name_clustering!$A$4,policy_name_clustering!$C$4)</f>
        <v/>
      </c>
      <c r="G18">
        <f>wind_cump_cap!C19</f>
        <v>991.15899999999999</v>
      </c>
      <c r="H18">
        <f>estimated_capacity!C18</f>
        <v>871.23780978655702</v>
      </c>
      <c r="I18" cm="1">
        <f t="array" ref="I18">_xlfn.IFS(D18= ""," ",D18&lt;&gt; " ",F18*(G18/H18))</f>
        <v>0</v>
      </c>
      <c r="J18" cm="1">
        <f t="array" ref="J18">_xlfn.IFS(D18= ""," ",D18&lt;&gt; " ",(H18-F18)*(G18/H18))</f>
        <v>991.15899999999999</v>
      </c>
      <c r="K18" cm="1">
        <f t="array" ref="K18">IF(ISNUMBER(H18),_xlfn.IFS(D18= ""," ",D18&lt;&gt; " ",F18*(G18/H18)),"")</f>
        <v>0</v>
      </c>
    </row>
    <row r="19" spans="1:11" hidden="1" x14ac:dyDescent="0.35">
      <c r="A19" t="s">
        <v>30</v>
      </c>
      <c r="B19">
        <v>2008</v>
      </c>
      <c r="D19" t="s">
        <v>137</v>
      </c>
      <c r="E19" t="str" cm="1">
        <f t="array" ref="E19">_xlfn.IFS(D19=policy_name_clustering!$A$2,policy_name_clustering!$C$2,D19=policy_name_clustering!$A$3,policy_name_clustering!$C$3,D19=policy_name_clustering!$A$5,policy_name_clustering!$C$5,D19=policy_name_clustering!$A$6,policy_name_clustering!$C$6,D19=policy_name_clustering!$A$7,policy_name_clustering!$C$7,D19=policy_name_clustering!$A$8,policy_name_clustering!$C$8,D19=policy_name_clustering!$A$9,policy_name_clustering!$C$9,D19=policy_name_clustering!$A$10,policy_name_clustering!$C$10,D19=policy_name_clustering!$A$11,policy_name_clustering!$C$11,D19=policy_name_clustering!$A$12,policy_name_clustering!$C$12,D19=policy_name_clustering!$A$13,policy_name_clustering!$C$13,D19=policy_name_clustering!$A$14,policy_name_clustering!$C$14,D19=policy_name_clustering!$A$15,policy_name_clustering!$C$15,D19=policy_name_clustering!$A$16,policy_name_clustering!$C$16,D19="-","",D19=policy_name_clustering!$A$4,policy_name_clustering!$C$4)</f>
        <v/>
      </c>
      <c r="G19">
        <f>wind_cump_cap!C20</f>
        <v>991.97400000000005</v>
      </c>
      <c r="H19">
        <f>estimated_capacity!C19</f>
        <v>953.60674092909801</v>
      </c>
      <c r="I19" cm="1">
        <f t="array" ref="I19">_xlfn.IFS(D19= ""," ",D19&lt;&gt; " ",F19*(G19/H19))</f>
        <v>0</v>
      </c>
      <c r="J19" cm="1">
        <f t="array" ref="J19">_xlfn.IFS(D19= ""," ",D19&lt;&gt; " ",(H19-F19)*(G19/H19))</f>
        <v>991.97400000000016</v>
      </c>
      <c r="K19" cm="1">
        <f t="array" ref="K19">IF(ISNUMBER(H19),_xlfn.IFS(D19= ""," ",D19&lt;&gt; " ",F19*(G19/H19)),"")</f>
        <v>0</v>
      </c>
    </row>
    <row r="20" spans="1:11" hidden="1" x14ac:dyDescent="0.35">
      <c r="A20" t="s">
        <v>30</v>
      </c>
      <c r="B20">
        <v>2009</v>
      </c>
      <c r="D20" t="s">
        <v>137</v>
      </c>
      <c r="E20" t="str" cm="1">
        <f t="array" ref="E20">_xlfn.IFS(D20=policy_name_clustering!$A$2,policy_name_clustering!$C$2,D20=policy_name_clustering!$A$3,policy_name_clustering!$C$3,D20=policy_name_clustering!$A$5,policy_name_clustering!$C$5,D20=policy_name_clustering!$A$6,policy_name_clustering!$C$6,D20=policy_name_clustering!$A$7,policy_name_clustering!$C$7,D20=policy_name_clustering!$A$8,policy_name_clustering!$C$8,D20=policy_name_clustering!$A$9,policy_name_clustering!$C$9,D20=policy_name_clustering!$A$10,policy_name_clustering!$C$10,D20=policy_name_clustering!$A$11,policy_name_clustering!$C$11,D20=policy_name_clustering!$A$12,policy_name_clustering!$C$12,D20=policy_name_clustering!$A$13,policy_name_clustering!$C$13,D20=policy_name_clustering!$A$14,policy_name_clustering!$C$14,D20=policy_name_clustering!$A$15,policy_name_clustering!$C$15,D20=policy_name_clustering!$A$16,policy_name_clustering!$C$16,D20="-","",D20=policy_name_clustering!$A$4,policy_name_clustering!$C$4)</f>
        <v/>
      </c>
      <c r="G20">
        <f>wind_cump_cap!C21</f>
        <v>1000.985</v>
      </c>
      <c r="H20">
        <f>estimated_capacity!C20</f>
        <v>1034.0548867929999</v>
      </c>
      <c r="I20" cm="1">
        <f t="array" ref="I20">_xlfn.IFS(D20= ""," ",D20&lt;&gt; " ",F20*(G20/H20))</f>
        <v>0</v>
      </c>
      <c r="J20" cm="1">
        <f t="array" ref="J20">_xlfn.IFS(D20= ""," ",D20&lt;&gt; " ",(H20-F20)*(G20/H20))</f>
        <v>1000.985</v>
      </c>
      <c r="K20" cm="1">
        <f t="array" ref="K20">IF(ISNUMBER(H20),_xlfn.IFS(D20= ""," ",D20&lt;&gt; " ",F20*(G20/H20)),"")</f>
        <v>0</v>
      </c>
    </row>
    <row r="21" spans="1:11" hidden="1" x14ac:dyDescent="0.35">
      <c r="A21" t="s">
        <v>30</v>
      </c>
      <c r="B21">
        <v>2010</v>
      </c>
      <c r="D21" t="s">
        <v>137</v>
      </c>
      <c r="E21" t="str" cm="1">
        <f t="array" ref="E21">_xlfn.IFS(D21=policy_name_clustering!$A$2,policy_name_clustering!$C$2,D21=policy_name_clustering!$A$3,policy_name_clustering!$C$3,D21=policy_name_clustering!$A$5,policy_name_clustering!$C$5,D21=policy_name_clustering!$A$6,policy_name_clustering!$C$6,D21=policy_name_clustering!$A$7,policy_name_clustering!$C$7,D21=policy_name_clustering!$A$8,policy_name_clustering!$C$8,D21=policy_name_clustering!$A$9,policy_name_clustering!$C$9,D21=policy_name_clustering!$A$10,policy_name_clustering!$C$10,D21=policy_name_clustering!$A$11,policy_name_clustering!$C$11,D21=policy_name_clustering!$A$12,policy_name_clustering!$C$12,D21=policy_name_clustering!$A$13,policy_name_clustering!$C$13,D21=policy_name_clustering!$A$14,policy_name_clustering!$C$14,D21=policy_name_clustering!$A$15,policy_name_clustering!$C$15,D21=policy_name_clustering!$A$16,policy_name_clustering!$C$16,D21="-","",D21=policy_name_clustering!$A$4,policy_name_clustering!$C$4)</f>
        <v/>
      </c>
      <c r="G21">
        <f>wind_cump_cap!C22</f>
        <v>1015.828</v>
      </c>
      <c r="H21">
        <f>estimated_capacity!C21</f>
        <v>1131.01278776854</v>
      </c>
      <c r="I21" cm="1">
        <f t="array" ref="I21">_xlfn.IFS(D21= ""," ",D21&lt;&gt; " ",F21*(G21/H21))</f>
        <v>0</v>
      </c>
      <c r="J21" cm="1">
        <f t="array" ref="J21">_xlfn.IFS(D21= ""," ",D21&lt;&gt; " ",(H21-F21)*(G21/H21))</f>
        <v>1015.8279999999999</v>
      </c>
      <c r="K21" cm="1">
        <f t="array" ref="K21">IF(ISNUMBER(H21),_xlfn.IFS(D21= ""," ",D21&lt;&gt; " ",F21*(G21/H21)),"")</f>
        <v>0</v>
      </c>
    </row>
    <row r="22" spans="1:11" hidden="1" x14ac:dyDescent="0.35">
      <c r="A22" t="s">
        <v>30</v>
      </c>
      <c r="B22">
        <v>2011</v>
      </c>
      <c r="D22" t="s">
        <v>137</v>
      </c>
      <c r="E22" t="str" cm="1">
        <f t="array" ref="E22">_xlfn.IFS(D22=policy_name_clustering!$A$2,policy_name_clustering!$C$2,D22=policy_name_clustering!$A$3,policy_name_clustering!$C$3,D22=policy_name_clustering!$A$5,policy_name_clustering!$C$5,D22=policy_name_clustering!$A$6,policy_name_clustering!$C$6,D22=policy_name_clustering!$A$7,policy_name_clustering!$C$7,D22=policy_name_clustering!$A$8,policy_name_clustering!$C$8,D22=policy_name_clustering!$A$9,policy_name_clustering!$C$9,D22=policy_name_clustering!$A$10,policy_name_clustering!$C$10,D22=policy_name_clustering!$A$11,policy_name_clustering!$C$11,D22=policy_name_clustering!$A$12,policy_name_clustering!$C$12,D22=policy_name_clustering!$A$13,policy_name_clustering!$C$13,D22=policy_name_clustering!$A$14,policy_name_clustering!$C$14,D22=policy_name_clustering!$A$15,policy_name_clustering!$C$15,D22=policy_name_clustering!$A$16,policy_name_clustering!$C$16,D22="-","",D22=policy_name_clustering!$A$4,policy_name_clustering!$C$4)</f>
        <v/>
      </c>
      <c r="G22">
        <f>wind_cump_cap!C23</f>
        <v>1105.9659999999999</v>
      </c>
      <c r="H22">
        <f>estimated_capacity!C22</f>
        <v>1229.86854561479</v>
      </c>
      <c r="I22" cm="1">
        <f t="array" ref="I22">_xlfn.IFS(D22= ""," ",D22&lt;&gt; " ",F22*(G22/H22))</f>
        <v>0</v>
      </c>
      <c r="J22" cm="1">
        <f t="array" ref="J22">_xlfn.IFS(D22= ""," ",D22&lt;&gt; " ",(H22-F22)*(G22/H22))</f>
        <v>1105.9659999999999</v>
      </c>
      <c r="K22" cm="1">
        <f t="array" ref="K22">IF(ISNUMBER(H22),_xlfn.IFS(D22= ""," ",D22&lt;&gt; " ",F22*(G22/H22)),"")</f>
        <v>0</v>
      </c>
    </row>
    <row r="23" spans="1:11" hidden="1" x14ac:dyDescent="0.35">
      <c r="A23" t="s">
        <v>30</v>
      </c>
      <c r="B23">
        <v>2012</v>
      </c>
      <c r="D23" t="s">
        <v>137</v>
      </c>
      <c r="E23" t="str" cm="1">
        <f t="array" ref="E23">_xlfn.IFS(D23=policy_name_clustering!$A$2,policy_name_clustering!$C$2,D23=policy_name_clustering!$A$3,policy_name_clustering!$C$3,D23=policy_name_clustering!$A$5,policy_name_clustering!$C$5,D23=policy_name_clustering!$A$6,policy_name_clustering!$C$6,D23=policy_name_clustering!$A$7,policy_name_clustering!$C$7,D23=policy_name_clustering!$A$8,policy_name_clustering!$C$8,D23=policy_name_clustering!$A$9,policy_name_clustering!$C$9,D23=policy_name_clustering!$A$10,policy_name_clustering!$C$10,D23=policy_name_clustering!$A$11,policy_name_clustering!$C$11,D23=policy_name_clustering!$A$12,policy_name_clustering!$C$12,D23=policy_name_clustering!$A$13,policy_name_clustering!$C$13,D23=policy_name_clustering!$A$14,policy_name_clustering!$C$14,D23=policy_name_clustering!$A$15,policy_name_clustering!$C$15,D23=policy_name_clustering!$A$16,policy_name_clustering!$C$16,D23="-","",D23=policy_name_clustering!$A$4,policy_name_clustering!$C$4)</f>
        <v/>
      </c>
      <c r="G23">
        <f>wind_cump_cap!C24</f>
        <v>1337.15</v>
      </c>
      <c r="H23">
        <f>estimated_capacity!C23</f>
        <v>1352.1793404074999</v>
      </c>
      <c r="I23" cm="1">
        <f t="array" ref="I23">_xlfn.IFS(D23= ""," ",D23&lt;&gt; " ",F23*(G23/H23))</f>
        <v>0</v>
      </c>
      <c r="J23" cm="1">
        <f t="array" ref="J23">_xlfn.IFS(D23= ""," ",D23&lt;&gt; " ",(H23-F23)*(G23/H23))</f>
        <v>1337.15</v>
      </c>
      <c r="K23" cm="1">
        <f t="array" ref="K23">IF(ISNUMBER(H23),_xlfn.IFS(D23= ""," ",D23&lt;&gt; " ",F23*(G23/H23)),"")</f>
        <v>0</v>
      </c>
    </row>
    <row r="24" spans="1:11" hidden="1" x14ac:dyDescent="0.35">
      <c r="A24" t="s">
        <v>30</v>
      </c>
      <c r="B24">
        <v>2013</v>
      </c>
      <c r="D24" t="s">
        <v>137</v>
      </c>
      <c r="E24" t="str" cm="1">
        <f t="array" ref="E24">_xlfn.IFS(D24=policy_name_clustering!$A$2,policy_name_clustering!$C$2,D24=policy_name_clustering!$A$3,policy_name_clustering!$C$3,D24=policy_name_clustering!$A$5,policy_name_clustering!$C$5,D24=policy_name_clustering!$A$6,policy_name_clustering!$C$6,D24=policy_name_clustering!$A$7,policy_name_clustering!$C$7,D24=policy_name_clustering!$A$8,policy_name_clustering!$C$8,D24=policy_name_clustering!$A$9,policy_name_clustering!$C$9,D24=policy_name_clustering!$A$10,policy_name_clustering!$C$10,D24=policy_name_clustering!$A$11,policy_name_clustering!$C$11,D24=policy_name_clustering!$A$12,policy_name_clustering!$C$12,D24=policy_name_clustering!$A$13,policy_name_clustering!$C$13,D24=policy_name_clustering!$A$14,policy_name_clustering!$C$14,D24=policy_name_clustering!$A$15,policy_name_clustering!$C$15,D24=policy_name_clustering!$A$16,policy_name_clustering!$C$16,D24="-","",D24=policy_name_clustering!$A$4,policy_name_clustering!$C$4)</f>
        <v/>
      </c>
      <c r="G24">
        <f>wind_cump_cap!C25</f>
        <v>1674.538</v>
      </c>
      <c r="H24">
        <f>estimated_capacity!C24</f>
        <v>1470.24333279354</v>
      </c>
      <c r="I24" cm="1">
        <f t="array" ref="I24">_xlfn.IFS(D24= ""," ",D24&lt;&gt; " ",F24*(G24/H24))</f>
        <v>0</v>
      </c>
      <c r="J24" cm="1">
        <f t="array" ref="J24">_xlfn.IFS(D24= ""," ",D24&lt;&gt; " ",(H24-F24)*(G24/H24))</f>
        <v>1674.5379999999998</v>
      </c>
      <c r="K24" cm="1">
        <f t="array" ref="K24">IF(ISNUMBER(H24),_xlfn.IFS(D24= ""," ",D24&lt;&gt; " ",F24*(G24/H24)),"")</f>
        <v>0</v>
      </c>
    </row>
    <row r="25" spans="1:11" hidden="1" x14ac:dyDescent="0.35">
      <c r="A25" t="s">
        <v>30</v>
      </c>
      <c r="B25">
        <v>2014</v>
      </c>
      <c r="D25" t="s">
        <v>137</v>
      </c>
      <c r="E25" t="str" cm="1">
        <f t="array" ref="E25">_xlfn.IFS(D25=policy_name_clustering!$A$2,policy_name_clustering!$C$2,D25=policy_name_clustering!$A$3,policy_name_clustering!$C$3,D25=policy_name_clustering!$A$5,policy_name_clustering!$C$5,D25=policy_name_clustering!$A$6,policy_name_clustering!$C$6,D25=policy_name_clustering!$A$7,policy_name_clustering!$C$7,D25=policy_name_clustering!$A$8,policy_name_clustering!$C$8,D25=policy_name_clustering!$A$9,policy_name_clustering!$C$9,D25=policy_name_clustering!$A$10,policy_name_clustering!$C$10,D25=policy_name_clustering!$A$11,policy_name_clustering!$C$11,D25=policy_name_clustering!$A$12,policy_name_clustering!$C$12,D25=policy_name_clustering!$A$13,policy_name_clustering!$C$13,D25=policy_name_clustering!$A$14,policy_name_clustering!$C$14,D25=policy_name_clustering!$A$15,policy_name_clustering!$C$15,D25=policy_name_clustering!$A$16,policy_name_clustering!$C$16,D25="-","",D25=policy_name_clustering!$A$4,policy_name_clustering!$C$4)</f>
        <v/>
      </c>
      <c r="G25">
        <f>wind_cump_cap!C26</f>
        <v>2110.2750000000001</v>
      </c>
      <c r="H25">
        <f>estimated_capacity!C25</f>
        <v>1604.7093076085901</v>
      </c>
      <c r="I25" cm="1">
        <f t="array" ref="I25">_xlfn.IFS(D25= ""," ",D25&lt;&gt; " ",F25*(G25/H25))</f>
        <v>0</v>
      </c>
      <c r="J25" cm="1">
        <f t="array" ref="J25">_xlfn.IFS(D25= ""," ",D25&lt;&gt; " ",(H25-F25)*(G25/H25))</f>
        <v>2110.2750000000001</v>
      </c>
      <c r="K25" cm="1">
        <f t="array" ref="K25">IF(ISNUMBER(H25),_xlfn.IFS(D25= ""," ",D25&lt;&gt; " ",F25*(G25/H25)),"")</f>
        <v>0</v>
      </c>
    </row>
    <row r="26" spans="1:11" hidden="1" x14ac:dyDescent="0.35">
      <c r="A26" t="s">
        <v>30</v>
      </c>
      <c r="B26">
        <v>2015</v>
      </c>
      <c r="D26" t="s">
        <v>137</v>
      </c>
      <c r="E26" t="str" cm="1">
        <f t="array" ref="E26">_xlfn.IFS(D26=policy_name_clustering!$A$2,policy_name_clustering!$C$2,D26=policy_name_clustering!$A$3,policy_name_clustering!$C$3,D26=policy_name_clustering!$A$5,policy_name_clustering!$C$5,D26=policy_name_clustering!$A$6,policy_name_clustering!$C$6,D26=policy_name_clustering!$A$7,policy_name_clustering!$C$7,D26=policy_name_clustering!$A$8,policy_name_clustering!$C$8,D26=policy_name_clustering!$A$9,policy_name_clustering!$C$9,D26=policy_name_clustering!$A$10,policy_name_clustering!$C$10,D26=policy_name_clustering!$A$11,policy_name_clustering!$C$11,D26=policy_name_clustering!$A$12,policy_name_clustering!$C$12,D26=policy_name_clustering!$A$13,policy_name_clustering!$C$13,D26=policy_name_clustering!$A$14,policy_name_clustering!$C$14,D26=policy_name_clustering!$A$15,policy_name_clustering!$C$15,D26=policy_name_clustering!$A$16,policy_name_clustering!$C$16,D26="-","",D26=policy_name_clustering!$A$4,policy_name_clustering!$C$4)</f>
        <v/>
      </c>
      <c r="G26">
        <f>wind_cump_cap!C27</f>
        <v>2488.7260000000001</v>
      </c>
      <c r="H26">
        <f>estimated_capacity!C26</f>
        <v>1781.08181825924</v>
      </c>
      <c r="I26" cm="1">
        <f t="array" ref="I26">_xlfn.IFS(D26= ""," ",D26&lt;&gt; " ",F26*(G26/H26))</f>
        <v>0</v>
      </c>
      <c r="J26" cm="1">
        <f t="array" ref="J26">_xlfn.IFS(D26= ""," ",D26&lt;&gt; " ",(H26-F26)*(G26/H26))</f>
        <v>2488.7260000000001</v>
      </c>
      <c r="K26" cm="1">
        <f t="array" ref="K26">IF(ISNUMBER(H26),_xlfn.IFS(D26= ""," ",D26&lt;&gt; " ",F26*(G26/H26)),"")</f>
        <v>0</v>
      </c>
    </row>
    <row r="27" spans="1:11" hidden="1" x14ac:dyDescent="0.35">
      <c r="A27" t="s">
        <v>30</v>
      </c>
      <c r="B27">
        <v>2016</v>
      </c>
      <c r="D27" t="s">
        <v>137</v>
      </c>
      <c r="E27" t="str" cm="1">
        <f t="array" ref="E27">_xlfn.IFS(D27=policy_name_clustering!$A$2,policy_name_clustering!$C$2,D27=policy_name_clustering!$A$3,policy_name_clustering!$C$3,D27=policy_name_clustering!$A$5,policy_name_clustering!$C$5,D27=policy_name_clustering!$A$6,policy_name_clustering!$C$6,D27=policy_name_clustering!$A$7,policy_name_clustering!$C$7,D27=policy_name_clustering!$A$8,policy_name_clustering!$C$8,D27=policy_name_clustering!$A$9,policy_name_clustering!$C$9,D27=policy_name_clustering!$A$10,policy_name_clustering!$C$10,D27=policy_name_clustering!$A$11,policy_name_clustering!$C$11,D27=policy_name_clustering!$A$12,policy_name_clustering!$C$12,D27=policy_name_clustering!$A$13,policy_name_clustering!$C$13,D27=policy_name_clustering!$A$14,policy_name_clustering!$C$14,D27=policy_name_clustering!$A$15,policy_name_clustering!$C$15,D27=policy_name_clustering!$A$16,policy_name_clustering!$C$16,D27="-","",D27=policy_name_clustering!$A$4,policy_name_clustering!$C$4)</f>
        <v/>
      </c>
      <c r="G27">
        <f>wind_cump_cap!C28</f>
        <v>2729.9960000000001</v>
      </c>
      <c r="H27">
        <f>estimated_capacity!C27</f>
        <v>1966.44609014614</v>
      </c>
      <c r="I27" cm="1">
        <f t="array" ref="I27">_xlfn.IFS(D27= ""," ",D27&lt;&gt; " ",F27*(G27/H27))</f>
        <v>0</v>
      </c>
      <c r="J27" cm="1">
        <f t="array" ref="J27">_xlfn.IFS(D27= ""," ",D27&lt;&gt; " ",(H27-F27)*(G27/H27))</f>
        <v>2729.9960000000001</v>
      </c>
      <c r="K27" cm="1">
        <f t="array" ref="K27">IF(ISNUMBER(H27),_xlfn.IFS(D27= ""," ",D27&lt;&gt; " ",F27*(G27/H27)),"")</f>
        <v>0</v>
      </c>
    </row>
    <row r="28" spans="1:11" hidden="1" x14ac:dyDescent="0.35">
      <c r="A28" t="s">
        <v>30</v>
      </c>
      <c r="B28">
        <v>2017</v>
      </c>
      <c r="D28" t="s">
        <v>137</v>
      </c>
      <c r="E28" t="str" cm="1">
        <f t="array" ref="E28">_xlfn.IFS(D28=policy_name_clustering!$A$2,policy_name_clustering!$C$2,D28=policy_name_clustering!$A$3,policy_name_clustering!$C$3,D28=policy_name_clustering!$A$5,policy_name_clustering!$C$5,D28=policy_name_clustering!$A$6,policy_name_clustering!$C$6,D28=policy_name_clustering!$A$7,policy_name_clustering!$C$7,D28=policy_name_clustering!$A$8,policy_name_clustering!$C$8,D28=policy_name_clustering!$A$9,policy_name_clustering!$C$9,D28=policy_name_clustering!$A$10,policy_name_clustering!$C$10,D28=policy_name_clustering!$A$11,policy_name_clustering!$C$11,D28=policy_name_clustering!$A$12,policy_name_clustering!$C$12,D28=policy_name_clustering!$A$13,policy_name_clustering!$C$13,D28=policy_name_clustering!$A$14,policy_name_clustering!$C$14,D28=policy_name_clustering!$A$15,policy_name_clustering!$C$15,D28=policy_name_clustering!$A$16,policy_name_clustering!$C$16,D28="-","",D28=policy_name_clustering!$A$4,policy_name_clustering!$C$4)</f>
        <v/>
      </c>
      <c r="G28">
        <f>wind_cump_cap!C29</f>
        <v>2886.6979999999999</v>
      </c>
      <c r="H28">
        <f>estimated_capacity!C28</f>
        <v>2146.3396303507402</v>
      </c>
      <c r="I28" cm="1">
        <f t="array" ref="I28">_xlfn.IFS(D28= ""," ",D28&lt;&gt; " ",F28*(G28/H28))</f>
        <v>0</v>
      </c>
      <c r="J28" cm="1">
        <f t="array" ref="J28">_xlfn.IFS(D28= ""," ",D28&lt;&gt; " ",(H28-F28)*(G28/H28))</f>
        <v>2886.6979999999999</v>
      </c>
      <c r="K28" cm="1">
        <f t="array" ref="K28">IF(ISNUMBER(H28),_xlfn.IFS(D28= ""," ",D28&lt;&gt; " ",F28*(G28/H28)),"")</f>
        <v>0</v>
      </c>
    </row>
    <row r="29" spans="1:11" hidden="1" x14ac:dyDescent="0.35">
      <c r="A29" t="s">
        <v>30</v>
      </c>
      <c r="B29">
        <v>2018</v>
      </c>
      <c r="D29" t="s">
        <v>137</v>
      </c>
      <c r="E29" t="str" cm="1">
        <f t="array" ref="E29">_xlfn.IFS(D29=policy_name_clustering!$A$2,policy_name_clustering!$C$2,D29=policy_name_clustering!$A$3,policy_name_clustering!$C$3,D29=policy_name_clustering!$A$5,policy_name_clustering!$C$5,D29=policy_name_clustering!$A$6,policy_name_clustering!$C$6,D29=policy_name_clustering!$A$7,policy_name_clustering!$C$7,D29=policy_name_clustering!$A$8,policy_name_clustering!$C$8,D29=policy_name_clustering!$A$9,policy_name_clustering!$C$9,D29=policy_name_clustering!$A$10,policy_name_clustering!$C$10,D29=policy_name_clustering!$A$11,policy_name_clustering!$C$11,D29=policy_name_clustering!$A$12,policy_name_clustering!$C$12,D29=policy_name_clustering!$A$13,policy_name_clustering!$C$13,D29=policy_name_clustering!$A$14,policy_name_clustering!$C$14,D29=policy_name_clustering!$A$15,policy_name_clustering!$C$15,D29=policy_name_clustering!$A$16,policy_name_clustering!$C$16,D29="-","",D29=policy_name_clustering!$A$4,policy_name_clustering!$C$4)</f>
        <v/>
      </c>
      <c r="G29">
        <f>wind_cump_cap!C30</f>
        <v>3132.7130000000002</v>
      </c>
      <c r="H29">
        <f>estimated_capacity!C29</f>
        <v>2342.0630908839098</v>
      </c>
      <c r="I29" cm="1">
        <f t="array" ref="I29">_xlfn.IFS(D29= ""," ",D29&lt;&gt; " ",F29*(G29/H29))</f>
        <v>0</v>
      </c>
      <c r="J29" cm="1">
        <f t="array" ref="J29">_xlfn.IFS(D29= ""," ",D29&lt;&gt; " ",(H29-F29)*(G29/H29))</f>
        <v>3132.7130000000002</v>
      </c>
      <c r="K29" cm="1">
        <f t="array" ref="K29">IF(ISNUMBER(H29),_xlfn.IFS(D29= ""," ",D29&lt;&gt; " ",F29*(G29/H29)),"")</f>
        <v>0</v>
      </c>
    </row>
    <row r="30" spans="1:11" hidden="1" x14ac:dyDescent="0.35">
      <c r="A30" t="s">
        <v>30</v>
      </c>
      <c r="B30">
        <v>2019</v>
      </c>
      <c r="D30" t="s">
        <v>137</v>
      </c>
      <c r="E30" t="str" cm="1">
        <f t="array" ref="E30">_xlfn.IFS(D30=policy_name_clustering!$A$2,policy_name_clustering!$C$2,D30=policy_name_clustering!$A$3,policy_name_clustering!$C$3,D30=policy_name_clustering!$A$5,policy_name_clustering!$C$5,D30=policy_name_clustering!$A$6,policy_name_clustering!$C$6,D30=policy_name_clustering!$A$7,policy_name_clustering!$C$7,D30=policy_name_clustering!$A$8,policy_name_clustering!$C$8,D30=policy_name_clustering!$A$9,policy_name_clustering!$C$9,D30=policy_name_clustering!$A$10,policy_name_clustering!$C$10,D30=policy_name_clustering!$A$11,policy_name_clustering!$C$11,D30=policy_name_clustering!$A$12,policy_name_clustering!$C$12,D30=policy_name_clustering!$A$13,policy_name_clustering!$C$13,D30=policy_name_clustering!$A$14,policy_name_clustering!$C$14,D30=policy_name_clustering!$A$15,policy_name_clustering!$C$15,D30=policy_name_clustering!$A$16,policy_name_clustering!$C$16,D30="-","",D30=policy_name_clustering!$A$4,policy_name_clustering!$C$4)</f>
        <v/>
      </c>
      <c r="G30">
        <f>wind_cump_cap!C31</f>
        <v>3224.1170000000002</v>
      </c>
      <c r="H30">
        <f>estimated_capacity!C30</f>
        <v>2576.0418308916101</v>
      </c>
      <c r="I30" cm="1">
        <f t="array" ref="I30">_xlfn.IFS(D30= ""," ",D30&lt;&gt; " ",F30*(G30/H30))</f>
        <v>0</v>
      </c>
      <c r="J30" cm="1">
        <f t="array" ref="J30">_xlfn.IFS(D30= ""," ",D30&lt;&gt; " ",(H30-F30)*(G30/H30))</f>
        <v>3224.1169999999997</v>
      </c>
      <c r="K30" cm="1">
        <f t="array" ref="K30">IF(ISNUMBER(H30),_xlfn.IFS(D30= ""," ",D30&lt;&gt; " ",F30*(G30/H30)),"")</f>
        <v>0</v>
      </c>
    </row>
    <row r="31" spans="1:11" hidden="1" x14ac:dyDescent="0.35">
      <c r="A31" t="s">
        <v>30</v>
      </c>
      <c r="B31">
        <v>2020</v>
      </c>
      <c r="D31" t="s">
        <v>137</v>
      </c>
      <c r="E31" t="str" cm="1">
        <f t="array" ref="E31">_xlfn.IFS(D31=policy_name_clustering!$A$2,policy_name_clustering!$C$2,D31=policy_name_clustering!$A$3,policy_name_clustering!$C$3,D31=policy_name_clustering!$A$5,policy_name_clustering!$C$5,D31=policy_name_clustering!$A$6,policy_name_clustering!$C$6,D31=policy_name_clustering!$A$7,policy_name_clustering!$C$7,D31=policy_name_clustering!$A$8,policy_name_clustering!$C$8,D31=policy_name_clustering!$A$9,policy_name_clustering!$C$9,D31=policy_name_clustering!$A$10,policy_name_clustering!$C$10,D31=policy_name_clustering!$A$11,policy_name_clustering!$C$11,D31=policy_name_clustering!$A$12,policy_name_clustering!$C$12,D31=policy_name_clustering!$A$13,policy_name_clustering!$C$13,D31=policy_name_clustering!$A$14,policy_name_clustering!$C$14,D31=policy_name_clustering!$A$15,policy_name_clustering!$C$15,D31=policy_name_clustering!$A$16,policy_name_clustering!$C$16,D31="-","",D31=policy_name_clustering!$A$4,policy_name_clustering!$C$4)</f>
        <v/>
      </c>
      <c r="G31">
        <f>wind_cump_cap!C32</f>
        <v>3225.9789999999998</v>
      </c>
      <c r="H31">
        <f>estimated_capacity!C31</f>
        <v>2869.9739318009902</v>
      </c>
      <c r="I31" cm="1">
        <f t="array" ref="I31">_xlfn.IFS(D31= ""," ",D31&lt;&gt; " ",F31*(G31/H31))</f>
        <v>0</v>
      </c>
      <c r="J31" cm="1">
        <f t="array" ref="J31">_xlfn.IFS(D31= ""," ",D31&lt;&gt; " ",(H31-F31)*(G31/H31))</f>
        <v>3225.9789999999998</v>
      </c>
      <c r="K31" cm="1">
        <f t="array" ref="K31">IF(ISNUMBER(H31),_xlfn.IFS(D31= ""," ",D31&lt;&gt; " ",F31*(G31/H31)),"")</f>
        <v>0</v>
      </c>
    </row>
    <row r="32" spans="1:11" hidden="1" x14ac:dyDescent="0.35">
      <c r="A32" t="s">
        <v>30</v>
      </c>
      <c r="B32">
        <v>2021</v>
      </c>
      <c r="D32" t="s">
        <v>137</v>
      </c>
      <c r="E32" t="str" cm="1">
        <f t="array" ref="E32">_xlfn.IFS(D32=policy_name_clustering!$A$2,policy_name_clustering!$C$2,D32=policy_name_clustering!$A$3,policy_name_clustering!$C$3,D32=policy_name_clustering!$A$5,policy_name_clustering!$C$5,D32=policy_name_clustering!$A$6,policy_name_clustering!$C$6,D32=policy_name_clustering!$A$7,policy_name_clustering!$C$7,D32=policy_name_clustering!$A$8,policy_name_clustering!$C$8,D32=policy_name_clustering!$A$9,policy_name_clustering!$C$9,D32=policy_name_clustering!$A$10,policy_name_clustering!$C$10,D32=policy_name_clustering!$A$11,policy_name_clustering!$C$11,D32=policy_name_clustering!$A$12,policy_name_clustering!$C$12,D32=policy_name_clustering!$A$13,policy_name_clustering!$C$13,D32=policy_name_clustering!$A$14,policy_name_clustering!$C$14,D32=policy_name_clustering!$A$15,policy_name_clustering!$C$15,D32=policy_name_clustering!$A$16,policy_name_clustering!$C$16,D32="-","",D32=policy_name_clustering!$A$4,policy_name_clustering!$C$4)</f>
        <v/>
      </c>
      <c r="G32">
        <f>wind_cump_cap!C33</f>
        <v>3422.335</v>
      </c>
      <c r="H32">
        <f>estimated_capacity!C32</f>
        <v>3184.6480966184099</v>
      </c>
      <c r="I32" cm="1">
        <f t="array" ref="I32">_xlfn.IFS(D32= ""," ",D32&lt;&gt; " ",F32*(G32/H32))</f>
        <v>0</v>
      </c>
      <c r="J32" cm="1">
        <f t="array" ref="J32">_xlfn.IFS(D32= ""," ",D32&lt;&gt; " ",(H32-F32)*(G32/H32))</f>
        <v>3422.3350000000005</v>
      </c>
      <c r="K32" cm="1">
        <f t="array" ref="K32">IF(ISNUMBER(H32),_xlfn.IFS(D32= ""," ",D32&lt;&gt; " ",F32*(G32/H32)),"")</f>
        <v>0</v>
      </c>
    </row>
    <row r="33" spans="1:11" hidden="1" x14ac:dyDescent="0.35">
      <c r="A33" t="s">
        <v>30</v>
      </c>
      <c r="B33">
        <v>2022</v>
      </c>
      <c r="D33" t="s">
        <v>137</v>
      </c>
      <c r="E33" t="str" cm="1">
        <f t="array" ref="E33">_xlfn.IFS(D33=policy_name_clustering!$A$2,policy_name_clustering!$C$2,D33=policy_name_clustering!$A$3,policy_name_clustering!$C$3,D33=policy_name_clustering!$A$5,policy_name_clustering!$C$5,D33=policy_name_clustering!$A$6,policy_name_clustering!$C$6,D33=policy_name_clustering!$A$7,policy_name_clustering!$C$7,D33=policy_name_clustering!$A$8,policy_name_clustering!$C$8,D33=policy_name_clustering!$A$9,policy_name_clustering!$C$9,D33=policy_name_clustering!$A$10,policy_name_clustering!$C$10,D33=policy_name_clustering!$A$11,policy_name_clustering!$C$11,D33=policy_name_clustering!$A$12,policy_name_clustering!$C$12,D33=policy_name_clustering!$A$13,policy_name_clustering!$C$13,D33=policy_name_clustering!$A$14,policy_name_clustering!$C$14,D33=policy_name_clustering!$A$15,policy_name_clustering!$C$15,D33=policy_name_clustering!$A$16,policy_name_clustering!$C$16,D33="-","",D33=policy_name_clustering!$A$4,policy_name_clustering!$C$4)</f>
        <v/>
      </c>
      <c r="G33">
        <f>wind_cump_cap!C34</f>
        <v>3633.1030000000001</v>
      </c>
      <c r="H33">
        <f>estimated_capacity!C33</f>
        <v>3490.9743935710799</v>
      </c>
      <c r="I33" cm="1">
        <f t="array" ref="I33">_xlfn.IFS(D33= ""," ",D33&lt;&gt; " ",F33*(G33/H33))</f>
        <v>0</v>
      </c>
      <c r="J33" cm="1">
        <f t="array" ref="J33">_xlfn.IFS(D33= ""," ",D33&lt;&gt; " ",(H33-F33)*(G33/H33))</f>
        <v>3633.1030000000005</v>
      </c>
      <c r="K33" cm="1">
        <f t="array" ref="K33">IF(ISNUMBER(H33),_xlfn.IFS(D33= ""," ",D33&lt;&gt; " ",F33*(G33/H33)),"")</f>
        <v>0</v>
      </c>
    </row>
    <row r="34" spans="1:11" hidden="1" x14ac:dyDescent="0.35">
      <c r="A34" t="s">
        <v>30</v>
      </c>
      <c r="B34">
        <v>2023</v>
      </c>
      <c r="D34" t="s">
        <v>137</v>
      </c>
      <c r="E34" t="str" cm="1">
        <f t="array" ref="E34">_xlfn.IFS(D34=policy_name_clustering!$A$2,policy_name_clustering!$C$2,D34=policy_name_clustering!$A$3,policy_name_clustering!$C$3,D34=policy_name_clustering!$A$5,policy_name_clustering!$C$5,D34=policy_name_clustering!$A$6,policy_name_clustering!$C$6,D34=policy_name_clustering!$A$7,policy_name_clustering!$C$7,D34=policy_name_clustering!$A$8,policy_name_clustering!$C$8,D34=policy_name_clustering!$A$9,policy_name_clustering!$C$9,D34=policy_name_clustering!$A$10,policy_name_clustering!$C$10,D34=policy_name_clustering!$A$11,policy_name_clustering!$C$11,D34=policy_name_clustering!$A$12,policy_name_clustering!$C$12,D34=policy_name_clustering!$A$13,policy_name_clustering!$C$13,D34=policy_name_clustering!$A$14,policy_name_clustering!$C$14,D34=policy_name_clustering!$A$15,policy_name_clustering!$C$15,D34=policy_name_clustering!$A$16,policy_name_clustering!$C$16,D34="-","",D34=policy_name_clustering!$A$4,policy_name_clustering!$C$4)</f>
        <v/>
      </c>
      <c r="G34">
        <f>wind_cump_cap!C35</f>
        <v>3896.2939999999999</v>
      </c>
      <c r="H34">
        <f>estimated_capacity!C34</f>
        <v>3836.56548010498</v>
      </c>
      <c r="I34" cm="1">
        <f t="array" ref="I34">_xlfn.IFS(D34= ""," ",D34&lt;&gt; " ",F34*(G34/H34))</f>
        <v>0</v>
      </c>
      <c r="J34" cm="1">
        <f t="array" ref="J34">_xlfn.IFS(D34= ""," ",D34&lt;&gt; " ",(H34-F34)*(G34/H34))</f>
        <v>3896.2940000000003</v>
      </c>
      <c r="K34" cm="1">
        <f t="array" ref="K34">IF(ISNUMBER(H34),_xlfn.IFS(D34= ""," ",D34&lt;&gt; " ",F34*(G34/H34)),"")</f>
        <v>0</v>
      </c>
    </row>
    <row r="35" spans="1:11" hidden="1" x14ac:dyDescent="0.35">
      <c r="A35" t="s">
        <v>31</v>
      </c>
      <c r="B35">
        <v>1991</v>
      </c>
      <c r="D35" t="s">
        <v>137</v>
      </c>
      <c r="E35" t="str" cm="1">
        <f t="array" ref="E35">_xlfn.IFS(D35=policy_name_clustering!$A$2,policy_name_clustering!$C$2,D35=policy_name_clustering!$A$3,policy_name_clustering!$C$3,D35=policy_name_clustering!$A$5,policy_name_clustering!$C$5,D35=policy_name_clustering!$A$6,policy_name_clustering!$C$6,D35=policy_name_clustering!$A$7,policy_name_clustering!$C$7,D35=policy_name_clustering!$A$8,policy_name_clustering!$C$8,D35=policy_name_clustering!$A$9,policy_name_clustering!$C$9,D35=policy_name_clustering!$A$10,policy_name_clustering!$C$10,D35=policy_name_clustering!$A$11,policy_name_clustering!$C$11,D35=policy_name_clustering!$A$12,policy_name_clustering!$C$12,D35=policy_name_clustering!$A$13,policy_name_clustering!$C$13,D35=policy_name_clustering!$A$14,policy_name_clustering!$C$14,D35=policy_name_clustering!$A$15,policy_name_clustering!$C$15,D35=policy_name_clustering!$A$16,policy_name_clustering!$C$16,D35="-","",D35=policy_name_clustering!$A$4,policy_name_clustering!$C$4)</f>
        <v/>
      </c>
      <c r="G35">
        <f>wind_cump_cap!C37</f>
        <v>5</v>
      </c>
      <c r="H35">
        <f>estimated_capacity!C35</f>
        <v>2.36304009915861</v>
      </c>
      <c r="I35" cm="1">
        <f t="array" ref="I35">_xlfn.IFS(D35= ""," ",D35&lt;&gt; " ",F35*(G35/H35))</f>
        <v>0</v>
      </c>
      <c r="J35" cm="1">
        <f t="array" ref="J35">_xlfn.IFS(D35= ""," ",D35&lt;&gt; " ",(H35-F35)*(G35/H35))</f>
        <v>5</v>
      </c>
      <c r="K35" cm="1">
        <f t="array" ref="K35">IF(ISNUMBER(H35),_xlfn.IFS(D35= ""," ",D35&lt;&gt; " ",F35*(G35/H35)),"")</f>
        <v>0</v>
      </c>
    </row>
    <row r="36" spans="1:11" hidden="1" x14ac:dyDescent="0.35">
      <c r="A36" t="s">
        <v>31</v>
      </c>
      <c r="B36">
        <v>1992</v>
      </c>
      <c r="D36" t="s">
        <v>137</v>
      </c>
      <c r="E36" t="str" cm="1">
        <f t="array" ref="E36">_xlfn.IFS(D36=policy_name_clustering!$A$2,policy_name_clustering!$C$2,D36=policy_name_clustering!$A$3,policy_name_clustering!$C$3,D36=policy_name_clustering!$A$5,policy_name_clustering!$C$5,D36=policy_name_clustering!$A$6,policy_name_clustering!$C$6,D36=policy_name_clustering!$A$7,policy_name_clustering!$C$7,D36=policy_name_clustering!$A$8,policy_name_clustering!$C$8,D36=policy_name_clustering!$A$9,policy_name_clustering!$C$9,D36=policy_name_clustering!$A$10,policy_name_clustering!$C$10,D36=policy_name_clustering!$A$11,policy_name_clustering!$C$11,D36=policy_name_clustering!$A$12,policy_name_clustering!$C$12,D36=policy_name_clustering!$A$13,policy_name_clustering!$C$13,D36=policy_name_clustering!$A$14,policy_name_clustering!$C$14,D36=policy_name_clustering!$A$15,policy_name_clustering!$C$15,D36=policy_name_clustering!$A$16,policy_name_clustering!$C$16,D36="-","",D36=policy_name_clustering!$A$4,policy_name_clustering!$C$4)</f>
        <v/>
      </c>
      <c r="G36">
        <f>wind_cump_cap!C38</f>
        <v>5</v>
      </c>
      <c r="H36">
        <f>estimated_capacity!C36</f>
        <v>7.8625886161356098</v>
      </c>
      <c r="I36" cm="1">
        <f t="array" ref="I36">_xlfn.IFS(D36= ""," ",D36&lt;&gt; " ",F36*(G36/H36))</f>
        <v>0</v>
      </c>
      <c r="J36" cm="1">
        <f t="array" ref="J36">_xlfn.IFS(D36= ""," ",D36&lt;&gt; " ",(H36-F36)*(G36/H36))</f>
        <v>5</v>
      </c>
      <c r="K36" cm="1">
        <f t="array" ref="K36">IF(ISNUMBER(H36),_xlfn.IFS(D36= ""," ",D36&lt;&gt; " ",F36*(G36/H36)),"")</f>
        <v>0</v>
      </c>
    </row>
    <row r="37" spans="1:11" hidden="1" x14ac:dyDescent="0.35">
      <c r="A37" t="s">
        <v>31</v>
      </c>
      <c r="B37">
        <v>1993</v>
      </c>
      <c r="D37" t="s">
        <v>137</v>
      </c>
      <c r="E37" t="str" cm="1">
        <f t="array" ref="E37">_xlfn.IFS(D37=policy_name_clustering!$A$2,policy_name_clustering!$C$2,D37=policy_name_clustering!$A$3,policy_name_clustering!$C$3,D37=policy_name_clustering!$A$5,policy_name_clustering!$C$5,D37=policy_name_clustering!$A$6,policy_name_clustering!$C$6,D37=policy_name_clustering!$A$7,policy_name_clustering!$C$7,D37=policy_name_clustering!$A$8,policy_name_clustering!$C$8,D37=policy_name_clustering!$A$9,policy_name_clustering!$C$9,D37=policy_name_clustering!$A$10,policy_name_clustering!$C$10,D37=policy_name_clustering!$A$11,policy_name_clustering!$C$11,D37=policy_name_clustering!$A$12,policy_name_clustering!$C$12,D37=policy_name_clustering!$A$13,policy_name_clustering!$C$13,D37=policy_name_clustering!$A$14,policy_name_clustering!$C$14,D37=policy_name_clustering!$A$15,policy_name_clustering!$C$15,D37=policy_name_clustering!$A$16,policy_name_clustering!$C$16,D37="-","",D37=policy_name_clustering!$A$4,policy_name_clustering!$C$4)</f>
        <v/>
      </c>
      <c r="G37">
        <f>wind_cump_cap!C39</f>
        <v>5</v>
      </c>
      <c r="H37">
        <f>estimated_capacity!C37</f>
        <v>21.679653256683299</v>
      </c>
      <c r="I37" cm="1">
        <f t="array" ref="I37">_xlfn.IFS(D37= ""," ",D37&lt;&gt; " ",F37*(G37/H37))</f>
        <v>0</v>
      </c>
      <c r="J37" cm="1">
        <f t="array" ref="J37">_xlfn.IFS(D37= ""," ",D37&lt;&gt; " ",(H37-F37)*(G37/H37))</f>
        <v>5</v>
      </c>
      <c r="K37" cm="1">
        <f t="array" ref="K37">IF(ISNUMBER(H37),_xlfn.IFS(D37= ""," ",D37&lt;&gt; " ",F37*(G37/H37)),"")</f>
        <v>0</v>
      </c>
    </row>
    <row r="38" spans="1:11" hidden="1" x14ac:dyDescent="0.35">
      <c r="A38" t="s">
        <v>31</v>
      </c>
      <c r="B38">
        <v>1994</v>
      </c>
      <c r="D38" t="s">
        <v>137</v>
      </c>
      <c r="E38" t="str" cm="1">
        <f t="array" ref="E38">_xlfn.IFS(D38=policy_name_clustering!$A$2,policy_name_clustering!$C$2,D38=policy_name_clustering!$A$3,policy_name_clustering!$C$3,D38=policy_name_clustering!$A$5,policy_name_clustering!$C$5,D38=policy_name_clustering!$A$6,policy_name_clustering!$C$6,D38=policy_name_clustering!$A$7,policy_name_clustering!$C$7,D38=policy_name_clustering!$A$8,policy_name_clustering!$C$8,D38=policy_name_clustering!$A$9,policy_name_clustering!$C$9,D38=policy_name_clustering!$A$10,policy_name_clustering!$C$10,D38=policy_name_clustering!$A$11,policy_name_clustering!$C$11,D38=policy_name_clustering!$A$12,policy_name_clustering!$C$12,D38=policy_name_clustering!$A$13,policy_name_clustering!$C$13,D38=policy_name_clustering!$A$14,policy_name_clustering!$C$14,D38=policy_name_clustering!$A$15,policy_name_clustering!$C$15,D38=policy_name_clustering!$A$16,policy_name_clustering!$C$16,D38="-","",D38=policy_name_clustering!$A$4,policy_name_clustering!$C$4)</f>
        <v/>
      </c>
      <c r="G38">
        <f>wind_cump_cap!C40</f>
        <v>5</v>
      </c>
      <c r="H38">
        <f>estimated_capacity!C38</f>
        <v>39.446623392243303</v>
      </c>
      <c r="I38" cm="1">
        <f t="array" ref="I38">_xlfn.IFS(D38= ""," ",D38&lt;&gt; " ",F38*(G38/H38))</f>
        <v>0</v>
      </c>
      <c r="J38" cm="1">
        <f t="array" ref="J38">_xlfn.IFS(D38= ""," ",D38&lt;&gt; " ",(H38-F38)*(G38/H38))</f>
        <v>5</v>
      </c>
      <c r="K38" cm="1">
        <f t="array" ref="K38">IF(ISNUMBER(H38),_xlfn.IFS(D38= ""," ",D38&lt;&gt; " ",F38*(G38/H38)),"")</f>
        <v>0</v>
      </c>
    </row>
    <row r="39" spans="1:11" hidden="1" x14ac:dyDescent="0.35">
      <c r="A39" t="s">
        <v>31</v>
      </c>
      <c r="B39">
        <v>1995</v>
      </c>
      <c r="D39" t="s">
        <v>137</v>
      </c>
      <c r="E39" t="str" cm="1">
        <f t="array" ref="E39">_xlfn.IFS(D39=policy_name_clustering!$A$2,policy_name_clustering!$C$2,D39=policy_name_clustering!$A$3,policy_name_clustering!$C$3,D39=policy_name_clustering!$A$5,policy_name_clustering!$C$5,D39=policy_name_clustering!$A$6,policy_name_clustering!$C$6,D39=policy_name_clustering!$A$7,policy_name_clustering!$C$7,D39=policy_name_clustering!$A$8,policy_name_clustering!$C$8,D39=policy_name_clustering!$A$9,policy_name_clustering!$C$9,D39=policy_name_clustering!$A$10,policy_name_clustering!$C$10,D39=policy_name_clustering!$A$11,policy_name_clustering!$C$11,D39=policy_name_clustering!$A$12,policy_name_clustering!$C$12,D39=policy_name_clustering!$A$13,policy_name_clustering!$C$13,D39=policy_name_clustering!$A$14,policy_name_clustering!$C$14,D39=policy_name_clustering!$A$15,policy_name_clustering!$C$15,D39=policy_name_clustering!$A$16,policy_name_clustering!$C$16,D39="-","",D39=policy_name_clustering!$A$4,policy_name_clustering!$C$4)</f>
        <v/>
      </c>
      <c r="G39">
        <f>wind_cump_cap!C41</f>
        <v>5</v>
      </c>
      <c r="H39">
        <f>estimated_capacity!C39</f>
        <v>71.635675030147894</v>
      </c>
      <c r="I39" cm="1">
        <f t="array" ref="I39">_xlfn.IFS(D39= ""," ",D39&lt;&gt; " ",F39*(G39/H39))</f>
        <v>0</v>
      </c>
      <c r="J39" cm="1">
        <f t="array" ref="J39">_xlfn.IFS(D39= ""," ",D39&lt;&gt; " ",(H39-F39)*(G39/H39))</f>
        <v>5</v>
      </c>
      <c r="K39" cm="1">
        <f t="array" ref="K39">IF(ISNUMBER(H39),_xlfn.IFS(D39= ""," ",D39&lt;&gt; " ",F39*(G39/H39)),"")</f>
        <v>0</v>
      </c>
    </row>
    <row r="40" spans="1:11" hidden="1" x14ac:dyDescent="0.35">
      <c r="A40" t="s">
        <v>31</v>
      </c>
      <c r="B40">
        <v>1996</v>
      </c>
      <c r="D40" t="s">
        <v>137</v>
      </c>
      <c r="E40" t="str" cm="1">
        <f t="array" ref="E40">_xlfn.IFS(D40=policy_name_clustering!$A$2,policy_name_clustering!$C$2,D40=policy_name_clustering!$A$3,policy_name_clustering!$C$3,D40=policy_name_clustering!$A$5,policy_name_clustering!$C$5,D40=policy_name_clustering!$A$6,policy_name_clustering!$C$6,D40=policy_name_clustering!$A$7,policy_name_clustering!$C$7,D40=policy_name_clustering!$A$8,policy_name_clustering!$C$8,D40=policy_name_clustering!$A$9,policy_name_clustering!$C$9,D40=policy_name_clustering!$A$10,policy_name_clustering!$C$10,D40=policy_name_clustering!$A$11,policy_name_clustering!$C$11,D40=policy_name_clustering!$A$12,policy_name_clustering!$C$12,D40=policy_name_clustering!$A$13,policy_name_clustering!$C$13,D40=policy_name_clustering!$A$14,policy_name_clustering!$C$14,D40=policy_name_clustering!$A$15,policy_name_clustering!$C$15,D40=policy_name_clustering!$A$16,policy_name_clustering!$C$16,D40="-","",D40=policy_name_clustering!$A$4,policy_name_clustering!$C$4)</f>
        <v/>
      </c>
      <c r="G40">
        <f>wind_cump_cap!C42</f>
        <v>5</v>
      </c>
      <c r="H40">
        <f>estimated_capacity!C40</f>
        <v>115.132549645578</v>
      </c>
      <c r="I40" cm="1">
        <f t="array" ref="I40">_xlfn.IFS(D40= ""," ",D40&lt;&gt; " ",F40*(G40/H40))</f>
        <v>0</v>
      </c>
      <c r="J40" cm="1">
        <f t="array" ref="J40">_xlfn.IFS(D40= ""," ",D40&lt;&gt; " ",(H40-F40)*(G40/H40))</f>
        <v>5</v>
      </c>
      <c r="K40" cm="1">
        <f t="array" ref="K40">IF(ISNUMBER(H40),_xlfn.IFS(D40= ""," ",D40&lt;&gt; " ",F40*(G40/H40)),"")</f>
        <v>0</v>
      </c>
    </row>
    <row r="41" spans="1:11" hidden="1" x14ac:dyDescent="0.35">
      <c r="A41" t="s">
        <v>31</v>
      </c>
      <c r="B41">
        <v>1997</v>
      </c>
      <c r="D41" t="s">
        <v>137</v>
      </c>
      <c r="E41" t="str" cm="1">
        <f t="array" ref="E41">_xlfn.IFS(D41=policy_name_clustering!$A$2,policy_name_clustering!$C$2,D41=policy_name_clustering!$A$3,policy_name_clustering!$C$3,D41=policy_name_clustering!$A$5,policy_name_clustering!$C$5,D41=policy_name_clustering!$A$6,policy_name_clustering!$C$6,D41=policy_name_clustering!$A$7,policy_name_clustering!$C$7,D41=policy_name_clustering!$A$8,policy_name_clustering!$C$8,D41=policy_name_clustering!$A$9,policy_name_clustering!$C$9,D41=policy_name_clustering!$A$10,policy_name_clustering!$C$10,D41=policy_name_clustering!$A$11,policy_name_clustering!$C$11,D41=policy_name_clustering!$A$12,policy_name_clustering!$C$12,D41=policy_name_clustering!$A$13,policy_name_clustering!$C$13,D41=policy_name_clustering!$A$14,policy_name_clustering!$C$14,D41=policy_name_clustering!$A$15,policy_name_clustering!$C$15,D41=policy_name_clustering!$A$16,policy_name_clustering!$C$16,D41="-","",D41=policy_name_clustering!$A$4,policy_name_clustering!$C$4)</f>
        <v/>
      </c>
      <c r="G41">
        <f>wind_cump_cap!C43</f>
        <v>5</v>
      </c>
      <c r="H41">
        <f>estimated_capacity!C41</f>
        <v>173.198667765794</v>
      </c>
      <c r="I41" cm="1">
        <f t="array" ref="I41">_xlfn.IFS(D41= ""," ",D41&lt;&gt; " ",F41*(G41/H41))</f>
        <v>0</v>
      </c>
      <c r="J41" cm="1">
        <f t="array" ref="J41">_xlfn.IFS(D41= ""," ",D41&lt;&gt; " ",(H41-F41)*(G41/H41))</f>
        <v>5</v>
      </c>
      <c r="K41" cm="1">
        <f t="array" ref="K41">IF(ISNUMBER(H41),_xlfn.IFS(D41= ""," ",D41&lt;&gt; " ",F41*(G41/H41)),"")</f>
        <v>0</v>
      </c>
    </row>
    <row r="42" spans="1:11" hidden="1" x14ac:dyDescent="0.35">
      <c r="A42" t="s">
        <v>31</v>
      </c>
      <c r="B42">
        <v>1998</v>
      </c>
      <c r="D42" t="s">
        <v>137</v>
      </c>
      <c r="E42" t="str" cm="1">
        <f t="array" ref="E42">_xlfn.IFS(D42=policy_name_clustering!$A$2,policy_name_clustering!$C$2,D42=policy_name_clustering!$A$3,policy_name_clustering!$C$3,D42=policy_name_clustering!$A$5,policy_name_clustering!$C$5,D42=policy_name_clustering!$A$6,policy_name_clustering!$C$6,D42=policy_name_clustering!$A$7,policy_name_clustering!$C$7,D42=policy_name_clustering!$A$8,policy_name_clustering!$C$8,D42=policy_name_clustering!$A$9,policy_name_clustering!$C$9,D42=policy_name_clustering!$A$10,policy_name_clustering!$C$10,D42=policy_name_clustering!$A$11,policy_name_clustering!$C$11,D42=policy_name_clustering!$A$12,policy_name_clustering!$C$12,D42=policy_name_clustering!$A$13,policy_name_clustering!$C$13,D42=policy_name_clustering!$A$14,policy_name_clustering!$C$14,D42=policy_name_clustering!$A$15,policy_name_clustering!$C$15,D42=policy_name_clustering!$A$16,policy_name_clustering!$C$16,D42="-","",D42=policy_name_clustering!$A$4,policy_name_clustering!$C$4)</f>
        <v/>
      </c>
      <c r="G42">
        <f>wind_cump_cap!C44</f>
        <v>6</v>
      </c>
      <c r="H42">
        <f>estimated_capacity!C42</f>
        <v>235.060800086603</v>
      </c>
      <c r="I42" cm="1">
        <f t="array" ref="I42">_xlfn.IFS(D42= ""," ",D42&lt;&gt; " ",F42*(G42/H42))</f>
        <v>0</v>
      </c>
      <c r="J42" cm="1">
        <f t="array" ref="J42">_xlfn.IFS(D42= ""," ",D42&lt;&gt; " ",(H42-F42)*(G42/H42))</f>
        <v>6</v>
      </c>
      <c r="K42" cm="1">
        <f t="array" ref="K42">IF(ISNUMBER(H42),_xlfn.IFS(D42= ""," ",D42&lt;&gt; " ",F42*(G42/H42)),"")</f>
        <v>0</v>
      </c>
    </row>
    <row r="43" spans="1:11" hidden="1" x14ac:dyDescent="0.35">
      <c r="A43" t="s">
        <v>31</v>
      </c>
      <c r="B43">
        <v>1999</v>
      </c>
      <c r="D43" t="s">
        <v>137</v>
      </c>
      <c r="E43" t="str" cm="1">
        <f t="array" ref="E43">_xlfn.IFS(D43=policy_name_clustering!$A$2,policy_name_clustering!$C$2,D43=policy_name_clustering!$A$3,policy_name_clustering!$C$3,D43=policy_name_clustering!$A$5,policy_name_clustering!$C$5,D43=policy_name_clustering!$A$6,policy_name_clustering!$C$6,D43=policy_name_clustering!$A$7,policy_name_clustering!$C$7,D43=policy_name_clustering!$A$8,policy_name_clustering!$C$8,D43=policy_name_clustering!$A$9,policy_name_clustering!$C$9,D43=policy_name_clustering!$A$10,policy_name_clustering!$C$10,D43=policy_name_clustering!$A$11,policy_name_clustering!$C$11,D43=policy_name_clustering!$A$12,policy_name_clustering!$C$12,D43=policy_name_clustering!$A$13,policy_name_clustering!$C$13,D43=policy_name_clustering!$A$14,policy_name_clustering!$C$14,D43=policy_name_clustering!$A$15,policy_name_clustering!$C$15,D43=policy_name_clustering!$A$16,policy_name_clustering!$C$16,D43="-","",D43=policy_name_clustering!$A$4,policy_name_clustering!$C$4)</f>
        <v/>
      </c>
      <c r="G43">
        <f>wind_cump_cap!C45</f>
        <v>10</v>
      </c>
      <c r="H43">
        <f>estimated_capacity!C43</f>
        <v>310.70788766353701</v>
      </c>
      <c r="I43" cm="1">
        <f t="array" ref="I43">_xlfn.IFS(D43= ""," ",D43&lt;&gt; " ",F43*(G43/H43))</f>
        <v>0</v>
      </c>
      <c r="J43" cm="1">
        <f t="array" ref="J43">_xlfn.IFS(D43= ""," ",D43&lt;&gt; " ",(H43-F43)*(G43/H43))</f>
        <v>10</v>
      </c>
      <c r="K43" cm="1">
        <f t="array" ref="K43">IF(ISNUMBER(H43),_xlfn.IFS(D43= ""," ",D43&lt;&gt; " ",F43*(G43/H43)),"")</f>
        <v>0</v>
      </c>
    </row>
    <row r="44" spans="1:11" hidden="1" x14ac:dyDescent="0.35">
      <c r="A44" t="s">
        <v>31</v>
      </c>
      <c r="B44">
        <v>2000</v>
      </c>
      <c r="D44" t="s">
        <v>137</v>
      </c>
      <c r="E44" t="str" cm="1">
        <f t="array" ref="E44">_xlfn.IFS(D44=policy_name_clustering!$A$2,policy_name_clustering!$C$2,D44=policy_name_clustering!$A$3,policy_name_clustering!$C$3,D44=policy_name_clustering!$A$5,policy_name_clustering!$C$5,D44=policy_name_clustering!$A$6,policy_name_clustering!$C$6,D44=policy_name_clustering!$A$7,policy_name_clustering!$C$7,D44=policy_name_clustering!$A$8,policy_name_clustering!$C$8,D44=policy_name_clustering!$A$9,policy_name_clustering!$C$9,D44=policy_name_clustering!$A$10,policy_name_clustering!$C$10,D44=policy_name_clustering!$A$11,policy_name_clustering!$C$11,D44=policy_name_clustering!$A$12,policy_name_clustering!$C$12,D44=policy_name_clustering!$A$13,policy_name_clustering!$C$13,D44=policy_name_clustering!$A$14,policy_name_clustering!$C$14,D44=policy_name_clustering!$A$15,policy_name_clustering!$C$15,D44=policy_name_clustering!$A$16,policy_name_clustering!$C$16,D44="-","",D44=policy_name_clustering!$A$4,policy_name_clustering!$C$4)</f>
        <v/>
      </c>
      <c r="G44">
        <f>wind_cump_cap!C46</f>
        <v>14</v>
      </c>
      <c r="H44">
        <f>estimated_capacity!C44</f>
        <v>388.70054845411897</v>
      </c>
      <c r="I44" cm="1">
        <f t="array" ref="I44">_xlfn.IFS(D44= ""," ",D44&lt;&gt; " ",F44*(G44/H44))</f>
        <v>0</v>
      </c>
      <c r="J44" cm="1">
        <f t="array" ref="J44">_xlfn.IFS(D44= ""," ",D44&lt;&gt; " ",(H44-F44)*(G44/H44))</f>
        <v>14</v>
      </c>
      <c r="K44" cm="1">
        <f t="array" ref="K44">IF(ISNUMBER(H44),_xlfn.IFS(D44= ""," ",D44&lt;&gt; " ",F44*(G44/H44)),"")</f>
        <v>0</v>
      </c>
    </row>
    <row r="45" spans="1:11" hidden="1" x14ac:dyDescent="0.35">
      <c r="A45" t="s">
        <v>31</v>
      </c>
      <c r="B45">
        <v>2001</v>
      </c>
      <c r="D45" t="s">
        <v>137</v>
      </c>
      <c r="E45" t="str" cm="1">
        <f t="array" ref="E45">_xlfn.IFS(D45=policy_name_clustering!$A$2,policy_name_clustering!$C$2,D45=policy_name_clustering!$A$3,policy_name_clustering!$C$3,D45=policy_name_clustering!$A$5,policy_name_clustering!$C$5,D45=policy_name_clustering!$A$6,policy_name_clustering!$C$6,D45=policy_name_clustering!$A$7,policy_name_clustering!$C$7,D45=policy_name_clustering!$A$8,policy_name_clustering!$C$8,D45=policy_name_clustering!$A$9,policy_name_clustering!$C$9,D45=policy_name_clustering!$A$10,policy_name_clustering!$C$10,D45=policy_name_clustering!$A$11,policy_name_clustering!$C$11,D45=policy_name_clustering!$A$12,policy_name_clustering!$C$12,D45=policy_name_clustering!$A$13,policy_name_clustering!$C$13,D45=policy_name_clustering!$A$14,policy_name_clustering!$C$14,D45=policy_name_clustering!$A$15,policy_name_clustering!$C$15,D45=policy_name_clustering!$A$16,policy_name_clustering!$C$16,D45="-","",D45=policy_name_clustering!$A$4,policy_name_clustering!$C$4)</f>
        <v/>
      </c>
      <c r="G45">
        <f>wind_cump_cap!C47</f>
        <v>26</v>
      </c>
      <c r="H45">
        <f>estimated_capacity!C45</f>
        <v>483.22013445543899</v>
      </c>
      <c r="I45" cm="1">
        <f t="array" ref="I45">_xlfn.IFS(D45= ""," ",D45&lt;&gt; " ",F45*(G45/H45))</f>
        <v>0</v>
      </c>
      <c r="J45" cm="1">
        <f t="array" ref="J45">_xlfn.IFS(D45= ""," ",D45&lt;&gt; " ",(H45-F45)*(G45/H45))</f>
        <v>26</v>
      </c>
      <c r="K45" cm="1">
        <f t="array" ref="K45">IF(ISNUMBER(H45),_xlfn.IFS(D45= ""," ",D45&lt;&gt; " ",F45*(G45/H45)),"")</f>
        <v>0</v>
      </c>
    </row>
    <row r="46" spans="1:11" hidden="1" x14ac:dyDescent="0.35">
      <c r="A46" t="s">
        <v>31</v>
      </c>
      <c r="B46">
        <v>2002</v>
      </c>
      <c r="D46" t="s">
        <v>137</v>
      </c>
      <c r="E46" t="str" cm="1">
        <f t="array" ref="E46">_xlfn.IFS(D46=policy_name_clustering!$A$2,policy_name_clustering!$C$2,D46=policy_name_clustering!$A$3,policy_name_clustering!$C$3,D46=policy_name_clustering!$A$5,policy_name_clustering!$C$5,D46=policy_name_clustering!$A$6,policy_name_clustering!$C$6,D46=policy_name_clustering!$A$7,policy_name_clustering!$C$7,D46=policy_name_clustering!$A$8,policy_name_clustering!$C$8,D46=policy_name_clustering!$A$9,policy_name_clustering!$C$9,D46=policy_name_clustering!$A$10,policy_name_clustering!$C$10,D46=policy_name_clustering!$A$11,policy_name_clustering!$C$11,D46=policy_name_clustering!$A$12,policy_name_clustering!$C$12,D46=policy_name_clustering!$A$13,policy_name_clustering!$C$13,D46=policy_name_clustering!$A$14,policy_name_clustering!$C$14,D46=policy_name_clustering!$A$15,policy_name_clustering!$C$15,D46=policy_name_clustering!$A$16,policy_name_clustering!$C$16,D46="-","",D46=policy_name_clustering!$A$4,policy_name_clustering!$C$4)</f>
        <v/>
      </c>
      <c r="G46">
        <f>wind_cump_cap!C48</f>
        <v>31</v>
      </c>
      <c r="H46">
        <f>estimated_capacity!C46</f>
        <v>580.25810676325102</v>
      </c>
      <c r="I46" cm="1">
        <f t="array" ref="I46">_xlfn.IFS(D46= ""," ",D46&lt;&gt; " ",F46*(G46/H46))</f>
        <v>0</v>
      </c>
      <c r="J46" cm="1">
        <f t="array" ref="J46">_xlfn.IFS(D46= ""," ",D46&lt;&gt; " ",(H46-F46)*(G46/H46))</f>
        <v>31.000000000000004</v>
      </c>
      <c r="K46" cm="1">
        <f t="array" ref="K46">IF(ISNUMBER(H46),_xlfn.IFS(D46= ""," ",D46&lt;&gt; " ",F46*(G46/H46)),"")</f>
        <v>0</v>
      </c>
    </row>
    <row r="47" spans="1:11" hidden="1" x14ac:dyDescent="0.35">
      <c r="A47" t="s">
        <v>31</v>
      </c>
      <c r="B47">
        <v>2003</v>
      </c>
      <c r="D47" t="s">
        <v>137</v>
      </c>
      <c r="E47" t="str" cm="1">
        <f t="array" ref="E47">_xlfn.IFS(D47=policy_name_clustering!$A$2,policy_name_clustering!$C$2,D47=policy_name_clustering!$A$3,policy_name_clustering!$C$3,D47=policy_name_clustering!$A$5,policy_name_clustering!$C$5,D47=policy_name_clustering!$A$6,policy_name_clustering!$C$6,D47=policy_name_clustering!$A$7,policy_name_clustering!$C$7,D47=policy_name_clustering!$A$8,policy_name_clustering!$C$8,D47=policy_name_clustering!$A$9,policy_name_clustering!$C$9,D47=policy_name_clustering!$A$10,policy_name_clustering!$C$10,D47=policy_name_clustering!$A$11,policy_name_clustering!$C$11,D47=policy_name_clustering!$A$12,policy_name_clustering!$C$12,D47=policy_name_clustering!$A$13,policy_name_clustering!$C$13,D47=policy_name_clustering!$A$14,policy_name_clustering!$C$14,D47=policy_name_clustering!$A$15,policy_name_clustering!$C$15,D47=policy_name_clustering!$A$16,policy_name_clustering!$C$16,D47="-","",D47=policy_name_clustering!$A$4,policy_name_clustering!$C$4)</f>
        <v/>
      </c>
      <c r="G47">
        <f>wind_cump_cap!C49</f>
        <v>67</v>
      </c>
      <c r="H47">
        <f>estimated_capacity!C47</f>
        <v>696.41361444201198</v>
      </c>
      <c r="I47" cm="1">
        <f t="array" ref="I47">_xlfn.IFS(D47= ""," ",D47&lt;&gt; " ",F47*(G47/H47))</f>
        <v>0</v>
      </c>
      <c r="J47" cm="1">
        <f t="array" ref="J47">_xlfn.IFS(D47= ""," ",D47&lt;&gt; " ",(H47-F47)*(G47/H47))</f>
        <v>67</v>
      </c>
      <c r="K47" cm="1">
        <f t="array" ref="K47">IF(ISNUMBER(H47),_xlfn.IFS(D47= ""," ",D47&lt;&gt; " ",F47*(G47/H47)),"")</f>
        <v>0</v>
      </c>
    </row>
    <row r="48" spans="1:11" hidden="1" x14ac:dyDescent="0.35">
      <c r="A48" t="s">
        <v>31</v>
      </c>
      <c r="B48">
        <v>2004</v>
      </c>
      <c r="D48" t="s">
        <v>137</v>
      </c>
      <c r="E48" t="str" cm="1">
        <f t="array" ref="E48">_xlfn.IFS(D48=policy_name_clustering!$A$2,policy_name_clustering!$C$2,D48=policy_name_clustering!$A$3,policy_name_clustering!$C$3,D48=policy_name_clustering!$A$5,policy_name_clustering!$C$5,D48=policy_name_clustering!$A$6,policy_name_clustering!$C$6,D48=policy_name_clustering!$A$7,policy_name_clustering!$C$7,D48=policy_name_clustering!$A$8,policy_name_clustering!$C$8,D48=policy_name_clustering!$A$9,policy_name_clustering!$C$9,D48=policy_name_clustering!$A$10,policy_name_clustering!$C$10,D48=policy_name_clustering!$A$11,policy_name_clustering!$C$11,D48=policy_name_clustering!$A$12,policy_name_clustering!$C$12,D48=policy_name_clustering!$A$13,policy_name_clustering!$C$13,D48=policy_name_clustering!$A$14,policy_name_clustering!$C$14,D48=policy_name_clustering!$A$15,policy_name_clustering!$C$15,D48=policy_name_clustering!$A$16,policy_name_clustering!$C$16,D48="-","",D48=policy_name_clustering!$A$4,policy_name_clustering!$C$4)</f>
        <v/>
      </c>
      <c r="G48">
        <f>wind_cump_cap!C50</f>
        <v>96</v>
      </c>
      <c r="H48">
        <f>estimated_capacity!C48</f>
        <v>809.25482026720101</v>
      </c>
      <c r="I48" cm="1">
        <f t="array" ref="I48">_xlfn.IFS(D48= ""," ",D48&lt;&gt; " ",F48*(G48/H48))</f>
        <v>0</v>
      </c>
      <c r="J48" cm="1">
        <f t="array" ref="J48">_xlfn.IFS(D48= ""," ",D48&lt;&gt; " ",(H48-F48)*(G48/H48))</f>
        <v>96</v>
      </c>
      <c r="K48" cm="1">
        <f t="array" ref="K48">IF(ISNUMBER(H48),_xlfn.IFS(D48= ""," ",D48&lt;&gt; " ",F48*(G48/H48)),"")</f>
        <v>0</v>
      </c>
    </row>
    <row r="49" spans="1:11" hidden="1" x14ac:dyDescent="0.35">
      <c r="A49" t="s">
        <v>31</v>
      </c>
      <c r="B49">
        <v>2005</v>
      </c>
      <c r="D49" t="s">
        <v>137</v>
      </c>
      <c r="E49" t="str" cm="1">
        <f t="array" ref="E49">_xlfn.IFS(D49=policy_name_clustering!$A$2,policy_name_clustering!$C$2,D49=policy_name_clustering!$A$3,policy_name_clustering!$C$3,D49=policy_name_clustering!$A$5,policy_name_clustering!$C$5,D49=policy_name_clustering!$A$6,policy_name_clustering!$C$6,D49=policy_name_clustering!$A$7,policy_name_clustering!$C$7,D49=policy_name_clustering!$A$8,policy_name_clustering!$C$8,D49=policy_name_clustering!$A$9,policy_name_clustering!$C$9,D49=policy_name_clustering!$A$10,policy_name_clustering!$C$10,D49=policy_name_clustering!$A$11,policy_name_clustering!$C$11,D49=policy_name_clustering!$A$12,policy_name_clustering!$C$12,D49=policy_name_clustering!$A$13,policy_name_clustering!$C$13,D49=policy_name_clustering!$A$14,policy_name_clustering!$C$14,D49=policy_name_clustering!$A$15,policy_name_clustering!$C$15,D49=policy_name_clustering!$A$16,policy_name_clustering!$C$16,D49="-","",D49=policy_name_clustering!$A$4,policy_name_clustering!$C$4)</f>
        <v/>
      </c>
      <c r="G49">
        <f>wind_cump_cap!C51</f>
        <v>167</v>
      </c>
      <c r="H49">
        <f>estimated_capacity!C49</f>
        <v>943.79946971391598</v>
      </c>
      <c r="I49" cm="1">
        <f t="array" ref="I49">_xlfn.IFS(D49= ""," ",D49&lt;&gt; " ",F49*(G49/H49))</f>
        <v>0</v>
      </c>
      <c r="J49" cm="1">
        <f t="array" ref="J49">_xlfn.IFS(D49= ""," ",D49&lt;&gt; " ",(H49-F49)*(G49/H49))</f>
        <v>167</v>
      </c>
      <c r="K49" cm="1">
        <f t="array" ref="K49">IF(ISNUMBER(H49),_xlfn.IFS(D49= ""," ",D49&lt;&gt; " ",F49*(G49/H49)),"")</f>
        <v>0</v>
      </c>
    </row>
    <row r="50" spans="1:11" hidden="1" x14ac:dyDescent="0.35">
      <c r="A50" t="s">
        <v>31</v>
      </c>
      <c r="B50">
        <v>2006</v>
      </c>
      <c r="D50" t="s">
        <v>137</v>
      </c>
      <c r="E50" t="str" cm="1">
        <f t="array" ref="E50">_xlfn.IFS(D50=policy_name_clustering!$A$2,policy_name_clustering!$C$2,D50=policy_name_clustering!$A$3,policy_name_clustering!$C$3,D50=policy_name_clustering!$A$5,policy_name_clustering!$C$5,D50=policy_name_clustering!$A$6,policy_name_clustering!$C$6,D50=policy_name_clustering!$A$7,policy_name_clustering!$C$7,D50=policy_name_clustering!$A$8,policy_name_clustering!$C$8,D50=policy_name_clustering!$A$9,policy_name_clustering!$C$9,D50=policy_name_clustering!$A$10,policy_name_clustering!$C$10,D50=policy_name_clustering!$A$11,policy_name_clustering!$C$11,D50=policy_name_clustering!$A$12,policy_name_clustering!$C$12,D50=policy_name_clustering!$A$13,policy_name_clustering!$C$13,D50=policy_name_clustering!$A$14,policy_name_clustering!$C$14,D50=policy_name_clustering!$A$15,policy_name_clustering!$C$15,D50=policy_name_clustering!$A$16,policy_name_clustering!$C$16,D50="-","",D50=policy_name_clustering!$A$4,policy_name_clustering!$C$4)</f>
        <v/>
      </c>
      <c r="G50">
        <f>wind_cump_cap!C52</f>
        <v>212</v>
      </c>
      <c r="H50">
        <f>estimated_capacity!C50</f>
        <v>1069.2106202713301</v>
      </c>
      <c r="I50" cm="1">
        <f t="array" ref="I50">_xlfn.IFS(D50= ""," ",D50&lt;&gt; " ",F50*(G50/H50))</f>
        <v>0</v>
      </c>
      <c r="J50" cm="1">
        <f t="array" ref="J50">_xlfn.IFS(D50= ""," ",D50&lt;&gt; " ",(H50-F50)*(G50/H50))</f>
        <v>212</v>
      </c>
      <c r="K50" cm="1">
        <f t="array" ref="K50">IF(ISNUMBER(H50),_xlfn.IFS(D50= ""," ",D50&lt;&gt; " ",F50*(G50/H50)),"")</f>
        <v>0</v>
      </c>
    </row>
    <row r="51" spans="1:11" hidden="1" x14ac:dyDescent="0.35">
      <c r="A51" t="s">
        <v>31</v>
      </c>
      <c r="B51">
        <v>2007</v>
      </c>
      <c r="D51" t="s">
        <v>137</v>
      </c>
      <c r="E51" t="str" cm="1">
        <f t="array" ref="E51">_xlfn.IFS(D51=policy_name_clustering!$A$2,policy_name_clustering!$C$2,D51=policy_name_clustering!$A$3,policy_name_clustering!$C$3,D51=policy_name_clustering!$A$5,policy_name_clustering!$C$5,D51=policy_name_clustering!$A$6,policy_name_clustering!$C$6,D51=policy_name_clustering!$A$7,policy_name_clustering!$C$7,D51=policy_name_clustering!$A$8,policy_name_clustering!$C$8,D51=policy_name_clustering!$A$9,policy_name_clustering!$C$9,D51=policy_name_clustering!$A$10,policy_name_clustering!$C$10,D51=policy_name_clustering!$A$11,policy_name_clustering!$C$11,D51=policy_name_clustering!$A$12,policy_name_clustering!$C$12,D51=policy_name_clustering!$A$13,policy_name_clustering!$C$13,D51=policy_name_clustering!$A$14,policy_name_clustering!$C$14,D51=policy_name_clustering!$A$15,policy_name_clustering!$C$15,D51=policy_name_clustering!$A$16,policy_name_clustering!$C$16,D51="-","",D51=policy_name_clustering!$A$4,policy_name_clustering!$C$4)</f>
        <v/>
      </c>
      <c r="G51">
        <f>wind_cump_cap!C53</f>
        <v>276</v>
      </c>
      <c r="H51">
        <f>estimated_capacity!C51</f>
        <v>1189.52019539713</v>
      </c>
      <c r="I51" cm="1">
        <f t="array" ref="I51">_xlfn.IFS(D51= ""," ",D51&lt;&gt; " ",F51*(G51/H51))</f>
        <v>0</v>
      </c>
      <c r="J51" cm="1">
        <f t="array" ref="J51">_xlfn.IFS(D51= ""," ",D51&lt;&gt; " ",(H51-F51)*(G51/H51))</f>
        <v>276</v>
      </c>
      <c r="K51" cm="1">
        <f t="array" ref="K51">IF(ISNUMBER(H51),_xlfn.IFS(D51= ""," ",D51&lt;&gt; " ",F51*(G51/H51)),"")</f>
        <v>0</v>
      </c>
    </row>
    <row r="52" spans="1:11" hidden="1" x14ac:dyDescent="0.35">
      <c r="A52" t="s">
        <v>31</v>
      </c>
      <c r="B52">
        <v>2008</v>
      </c>
      <c r="D52" t="s">
        <v>137</v>
      </c>
      <c r="E52" t="str" cm="1">
        <f t="array" ref="E52">_xlfn.IFS(D52=policy_name_clustering!$A$2,policy_name_clustering!$C$2,D52=policy_name_clustering!$A$3,policy_name_clustering!$C$3,D52=policy_name_clustering!$A$5,policy_name_clustering!$C$5,D52=policy_name_clustering!$A$6,policy_name_clustering!$C$6,D52=policy_name_clustering!$A$7,policy_name_clustering!$C$7,D52=policy_name_clustering!$A$8,policy_name_clustering!$C$8,D52=policy_name_clustering!$A$9,policy_name_clustering!$C$9,D52=policy_name_clustering!$A$10,policy_name_clustering!$C$10,D52=policy_name_clustering!$A$11,policy_name_clustering!$C$11,D52=policy_name_clustering!$A$12,policy_name_clustering!$C$12,D52=policy_name_clustering!$A$13,policy_name_clustering!$C$13,D52=policy_name_clustering!$A$14,policy_name_clustering!$C$14,D52=policy_name_clustering!$A$15,policy_name_clustering!$C$15,D52=policy_name_clustering!$A$16,policy_name_clustering!$C$16,D52="-","",D52=policy_name_clustering!$A$4,policy_name_clustering!$C$4)</f>
        <v/>
      </c>
      <c r="G52">
        <f>wind_cump_cap!C54</f>
        <v>324</v>
      </c>
      <c r="H52">
        <f>estimated_capacity!C52</f>
        <v>1295.2482613223799</v>
      </c>
      <c r="I52" cm="1">
        <f t="array" ref="I52">_xlfn.IFS(D52= ""," ",D52&lt;&gt; " ",F52*(G52/H52))</f>
        <v>0</v>
      </c>
      <c r="J52" cm="1">
        <f t="array" ref="J52">_xlfn.IFS(D52= ""," ",D52&lt;&gt; " ",(H52-F52)*(G52/H52))</f>
        <v>323.99999999999994</v>
      </c>
      <c r="K52" cm="1">
        <f t="array" ref="K52">IF(ISNUMBER(H52),_xlfn.IFS(D52= ""," ",D52&lt;&gt; " ",F52*(G52/H52)),"")</f>
        <v>0</v>
      </c>
    </row>
    <row r="53" spans="1:11" hidden="1" x14ac:dyDescent="0.35">
      <c r="A53" t="s">
        <v>31</v>
      </c>
      <c r="B53">
        <v>2009</v>
      </c>
      <c r="D53" t="s">
        <v>137</v>
      </c>
      <c r="E53" t="str" cm="1">
        <f t="array" ref="E53">_xlfn.IFS(D53=policy_name_clustering!$A$2,policy_name_clustering!$C$2,D53=policy_name_clustering!$A$3,policy_name_clustering!$C$3,D53=policy_name_clustering!$A$5,policy_name_clustering!$C$5,D53=policy_name_clustering!$A$6,policy_name_clustering!$C$6,D53=policy_name_clustering!$A$7,policy_name_clustering!$C$7,D53=policy_name_clustering!$A$8,policy_name_clustering!$C$8,D53=policy_name_clustering!$A$9,policy_name_clustering!$C$9,D53=policy_name_clustering!$A$10,policy_name_clustering!$C$10,D53=policy_name_clustering!$A$11,policy_name_clustering!$C$11,D53=policy_name_clustering!$A$12,policy_name_clustering!$C$12,D53=policy_name_clustering!$A$13,policy_name_clustering!$C$13,D53=policy_name_clustering!$A$14,policy_name_clustering!$C$14,D53=policy_name_clustering!$A$15,policy_name_clustering!$C$15,D53=policy_name_clustering!$A$16,policy_name_clustering!$C$16,D53="-","",D53=policy_name_clustering!$A$4,policy_name_clustering!$C$4)</f>
        <v/>
      </c>
      <c r="G53">
        <f>wind_cump_cap!C55</f>
        <v>608</v>
      </c>
      <c r="H53">
        <f>estimated_capacity!C53</f>
        <v>1398.8115023779201</v>
      </c>
      <c r="I53" cm="1">
        <f t="array" ref="I53">_xlfn.IFS(D53= ""," ",D53&lt;&gt; " ",F53*(G53/H53))</f>
        <v>0</v>
      </c>
      <c r="J53" cm="1">
        <f t="array" ref="J53">_xlfn.IFS(D53= ""," ",D53&lt;&gt; " ",(H53-F53)*(G53/H53))</f>
        <v>608</v>
      </c>
      <c r="K53" cm="1">
        <f t="array" ref="K53">IF(ISNUMBER(H53),_xlfn.IFS(D53= ""," ",D53&lt;&gt; " ",F53*(G53/H53)),"")</f>
        <v>0</v>
      </c>
    </row>
    <row r="54" spans="1:11" hidden="1" x14ac:dyDescent="0.35">
      <c r="A54" t="s">
        <v>31</v>
      </c>
      <c r="B54">
        <v>2010</v>
      </c>
      <c r="D54" t="s">
        <v>137</v>
      </c>
      <c r="E54" t="str" cm="1">
        <f t="array" ref="E54">_xlfn.IFS(D54=policy_name_clustering!$A$2,policy_name_clustering!$C$2,D54=policy_name_clustering!$A$3,policy_name_clustering!$C$3,D54=policy_name_clustering!$A$5,policy_name_clustering!$C$5,D54=policy_name_clustering!$A$6,policy_name_clustering!$C$6,D54=policy_name_clustering!$A$7,policy_name_clustering!$C$7,D54=policy_name_clustering!$A$8,policy_name_clustering!$C$8,D54=policy_name_clustering!$A$9,policy_name_clustering!$C$9,D54=policy_name_clustering!$A$10,policy_name_clustering!$C$10,D54=policy_name_clustering!$A$11,policy_name_clustering!$C$11,D54=policy_name_clustering!$A$12,policy_name_clustering!$C$12,D54=policy_name_clustering!$A$13,policy_name_clustering!$C$13,D54=policy_name_clustering!$A$14,policy_name_clustering!$C$14,D54=policy_name_clustering!$A$15,policy_name_clustering!$C$15,D54=policy_name_clustering!$A$16,policy_name_clustering!$C$16,D54="-","",D54=policy_name_clustering!$A$4,policy_name_clustering!$C$4)</f>
        <v/>
      </c>
      <c r="G54">
        <f>wind_cump_cap!C56</f>
        <v>903.4</v>
      </c>
      <c r="H54">
        <f>estimated_capacity!C54</f>
        <v>1518.50687709114</v>
      </c>
      <c r="I54" cm="1">
        <f t="array" ref="I54">_xlfn.IFS(D54= ""," ",D54&lt;&gt; " ",F54*(G54/H54))</f>
        <v>0</v>
      </c>
      <c r="J54" cm="1">
        <f t="array" ref="J54">_xlfn.IFS(D54= ""," ",D54&lt;&gt; " ",(H54-F54)*(G54/H54))</f>
        <v>903.4</v>
      </c>
      <c r="K54" cm="1">
        <f t="array" ref="K54">IF(ISNUMBER(H54),_xlfn.IFS(D54= ""," ",D54&lt;&gt; " ",F54*(G54/H54)),"")</f>
        <v>0</v>
      </c>
    </row>
    <row r="55" spans="1:11" hidden="1" x14ac:dyDescent="0.35">
      <c r="A55" t="s">
        <v>31</v>
      </c>
      <c r="B55">
        <v>2011</v>
      </c>
      <c r="D55" t="s">
        <v>137</v>
      </c>
      <c r="E55" t="str" cm="1">
        <f t="array" ref="E55">_xlfn.IFS(D55=policy_name_clustering!$A$2,policy_name_clustering!$C$2,D55=policy_name_clustering!$A$3,policy_name_clustering!$C$3,D55=policy_name_clustering!$A$5,policy_name_clustering!$C$5,D55=policy_name_clustering!$A$6,policy_name_clustering!$C$6,D55=policy_name_clustering!$A$7,policy_name_clustering!$C$7,D55=policy_name_clustering!$A$8,policy_name_clustering!$C$8,D55=policy_name_clustering!$A$9,policy_name_clustering!$C$9,D55=policy_name_clustering!$A$10,policy_name_clustering!$C$10,D55=policy_name_clustering!$A$11,policy_name_clustering!$C$11,D55=policy_name_clustering!$A$12,policy_name_clustering!$C$12,D55=policy_name_clustering!$A$13,policy_name_clustering!$C$13,D55=policy_name_clustering!$A$14,policy_name_clustering!$C$14,D55=policy_name_clustering!$A$15,policy_name_clustering!$C$15,D55=policy_name_clustering!$A$16,policy_name_clustering!$C$16,D55="-","",D55=policy_name_clustering!$A$4,policy_name_clustering!$C$4)</f>
        <v/>
      </c>
      <c r="G55">
        <f>wind_cump_cap!C57</f>
        <v>1066.5</v>
      </c>
      <c r="H55">
        <f>estimated_capacity!C55</f>
        <v>1635.9441973611299</v>
      </c>
      <c r="I55" cm="1">
        <f t="array" ref="I55">_xlfn.IFS(D55= ""," ",D55&lt;&gt; " ",F55*(G55/H55))</f>
        <v>0</v>
      </c>
      <c r="J55" cm="1">
        <f t="array" ref="J55">_xlfn.IFS(D55= ""," ",D55&lt;&gt; " ",(H55-F55)*(G55/H55))</f>
        <v>1066.5</v>
      </c>
      <c r="K55" cm="1">
        <f t="array" ref="K55">IF(ISNUMBER(H55),_xlfn.IFS(D55= ""," ",D55&lt;&gt; " ",F55*(G55/H55)),"")</f>
        <v>0</v>
      </c>
    </row>
    <row r="56" spans="1:11" hidden="1" x14ac:dyDescent="0.35">
      <c r="A56" t="s">
        <v>31</v>
      </c>
      <c r="B56">
        <v>2012</v>
      </c>
      <c r="D56" t="s">
        <v>137</v>
      </c>
      <c r="E56" t="str" cm="1">
        <f t="array" ref="E56">_xlfn.IFS(D56=policy_name_clustering!$A$2,policy_name_clustering!$C$2,D56=policy_name_clustering!$A$3,policy_name_clustering!$C$3,D56=policy_name_clustering!$A$5,policy_name_clustering!$C$5,D56=policy_name_clustering!$A$6,policy_name_clustering!$C$6,D56=policy_name_clustering!$A$7,policy_name_clustering!$C$7,D56=policy_name_clustering!$A$8,policy_name_clustering!$C$8,D56=policy_name_clustering!$A$9,policy_name_clustering!$C$9,D56=policy_name_clustering!$A$10,policy_name_clustering!$C$10,D56=policy_name_clustering!$A$11,policy_name_clustering!$C$11,D56=policy_name_clustering!$A$12,policy_name_clustering!$C$12,D56=policy_name_clustering!$A$13,policy_name_clustering!$C$13,D56=policy_name_clustering!$A$14,policy_name_clustering!$C$14,D56=policy_name_clustering!$A$15,policy_name_clustering!$C$15,D56=policy_name_clustering!$A$16,policy_name_clustering!$C$16,D56="-","",D56=policy_name_clustering!$A$4,policy_name_clustering!$C$4)</f>
        <v/>
      </c>
      <c r="G56">
        <f>wind_cump_cap!C58</f>
        <v>1366.9</v>
      </c>
      <c r="H56">
        <f>estimated_capacity!C56</f>
        <v>1780.2798053850499</v>
      </c>
      <c r="I56" cm="1">
        <f t="array" ref="I56">_xlfn.IFS(D56= ""," ",D56&lt;&gt; " ",F56*(G56/H56))</f>
        <v>0</v>
      </c>
      <c r="J56" cm="1">
        <f t="array" ref="J56">_xlfn.IFS(D56= ""," ",D56&lt;&gt; " ",(H56-F56)*(G56/H56))</f>
        <v>1366.9</v>
      </c>
      <c r="K56" cm="1">
        <f t="array" ref="K56">IF(ISNUMBER(H56),_xlfn.IFS(D56= ""," ",D56&lt;&gt; " ",F56*(G56/H56)),"")</f>
        <v>0</v>
      </c>
    </row>
    <row r="57" spans="1:11" hidden="1" x14ac:dyDescent="0.35">
      <c r="A57" t="s">
        <v>31</v>
      </c>
      <c r="B57">
        <v>2013</v>
      </c>
      <c r="D57" t="s">
        <v>137</v>
      </c>
      <c r="E57" t="str" cm="1">
        <f t="array" ref="E57">_xlfn.IFS(D57=policy_name_clustering!$A$2,policy_name_clustering!$C$2,D57=policy_name_clustering!$A$3,policy_name_clustering!$C$3,D57=policy_name_clustering!$A$5,policy_name_clustering!$C$5,D57=policy_name_clustering!$A$6,policy_name_clustering!$C$6,D57=policy_name_clustering!$A$7,policy_name_clustering!$C$7,D57=policy_name_clustering!$A$8,policy_name_clustering!$C$8,D57=policy_name_clustering!$A$9,policy_name_clustering!$C$9,D57=policy_name_clustering!$A$10,policy_name_clustering!$C$10,D57=policy_name_clustering!$A$11,policy_name_clustering!$C$11,D57=policy_name_clustering!$A$12,policy_name_clustering!$C$12,D57=policy_name_clustering!$A$13,policy_name_clustering!$C$13,D57=policy_name_clustering!$A$14,policy_name_clustering!$C$14,D57=policy_name_clustering!$A$15,policy_name_clustering!$C$15,D57=policy_name_clustering!$A$16,policy_name_clustering!$C$16,D57="-","",D57=policy_name_clustering!$A$4,policy_name_clustering!$C$4)</f>
        <v/>
      </c>
      <c r="G57">
        <f>wind_cump_cap!C59</f>
        <v>1769</v>
      </c>
      <c r="H57">
        <f>estimated_capacity!C57</f>
        <v>1921.4686162052601</v>
      </c>
      <c r="I57" cm="1">
        <f t="array" ref="I57">_xlfn.IFS(D57= ""," ",D57&lt;&gt; " ",F57*(G57/H57))</f>
        <v>0</v>
      </c>
      <c r="J57" cm="1">
        <f t="array" ref="J57">_xlfn.IFS(D57= ""," ",D57&lt;&gt; " ",(H57-F57)*(G57/H57))</f>
        <v>1769</v>
      </c>
      <c r="K57" cm="1">
        <f t="array" ref="K57">IF(ISNUMBER(H57),_xlfn.IFS(D57= ""," ",D57&lt;&gt; " ",F57*(G57/H57)),"")</f>
        <v>0</v>
      </c>
    </row>
    <row r="58" spans="1:11" hidden="1" x14ac:dyDescent="0.35">
      <c r="A58" t="s">
        <v>31</v>
      </c>
      <c r="B58">
        <v>2014</v>
      </c>
      <c r="D58" t="s">
        <v>137</v>
      </c>
      <c r="E58" t="str" cm="1">
        <f t="array" ref="E58">_xlfn.IFS(D58=policy_name_clustering!$A$2,policy_name_clustering!$C$2,D58=policy_name_clustering!$A$3,policy_name_clustering!$C$3,D58=policy_name_clustering!$A$5,policy_name_clustering!$C$5,D58=policy_name_clustering!$A$6,policy_name_clustering!$C$6,D58=policy_name_clustering!$A$7,policy_name_clustering!$C$7,D58=policy_name_clustering!$A$8,policy_name_clustering!$C$8,D58=policy_name_clustering!$A$9,policy_name_clustering!$C$9,D58=policy_name_clustering!$A$10,policy_name_clustering!$C$10,D58=policy_name_clustering!$A$11,policy_name_clustering!$C$11,D58=policy_name_clustering!$A$12,policy_name_clustering!$C$12,D58=policy_name_clustering!$A$13,policy_name_clustering!$C$13,D58=policy_name_clustering!$A$14,policy_name_clustering!$C$14,D58=policy_name_clustering!$A$15,policy_name_clustering!$C$15,D58=policy_name_clustering!$A$16,policy_name_clustering!$C$16,D58="-","",D58=policy_name_clustering!$A$4,policy_name_clustering!$C$4)</f>
        <v/>
      </c>
      <c r="G58">
        <f>wind_cump_cap!C60</f>
        <v>1932.7</v>
      </c>
      <c r="H58">
        <f>estimated_capacity!C58</f>
        <v>2082.8437609750799</v>
      </c>
      <c r="I58" cm="1">
        <f t="array" ref="I58">_xlfn.IFS(D58= ""," ",D58&lt;&gt; " ",F58*(G58/H58))</f>
        <v>0</v>
      </c>
      <c r="J58" cm="1">
        <f t="array" ref="J58">_xlfn.IFS(D58= ""," ",D58&lt;&gt; " ",(H58-F58)*(G58/H58))</f>
        <v>1932.7</v>
      </c>
      <c r="K58" cm="1">
        <f t="array" ref="K58">IF(ISNUMBER(H58),_xlfn.IFS(D58= ""," ",D58&lt;&gt; " ",F58*(G58/H58)),"")</f>
        <v>0</v>
      </c>
    </row>
    <row r="59" spans="1:11" hidden="1" x14ac:dyDescent="0.35">
      <c r="A59" t="s">
        <v>31</v>
      </c>
      <c r="B59">
        <v>2015</v>
      </c>
      <c r="D59" t="s">
        <v>137</v>
      </c>
      <c r="E59" t="str" cm="1">
        <f t="array" ref="E59">_xlfn.IFS(D59=policy_name_clustering!$A$2,policy_name_clustering!$C$2,D59=policy_name_clustering!$A$3,policy_name_clustering!$C$3,D59=policy_name_clustering!$A$5,policy_name_clustering!$C$5,D59=policy_name_clustering!$A$6,policy_name_clustering!$C$6,D59=policy_name_clustering!$A$7,policy_name_clustering!$C$7,D59=policy_name_clustering!$A$8,policy_name_clustering!$C$8,D59=policy_name_clustering!$A$9,policy_name_clustering!$C$9,D59=policy_name_clustering!$A$10,policy_name_clustering!$C$10,D59=policy_name_clustering!$A$11,policy_name_clustering!$C$11,D59=policy_name_clustering!$A$12,policy_name_clustering!$C$12,D59=policy_name_clustering!$A$13,policy_name_clustering!$C$13,D59=policy_name_clustering!$A$14,policy_name_clustering!$C$14,D59=policy_name_clustering!$A$15,policy_name_clustering!$C$15,D59=policy_name_clustering!$A$16,policy_name_clustering!$C$16,D59="-","",D59=policy_name_clustering!$A$4,policy_name_clustering!$C$4)</f>
        <v/>
      </c>
      <c r="G59">
        <f>wind_cump_cap!C61</f>
        <v>2181.3000000000002</v>
      </c>
      <c r="H59">
        <f>estimated_capacity!C59</f>
        <v>2294.5187482059</v>
      </c>
      <c r="I59" cm="1">
        <f t="array" ref="I59">_xlfn.IFS(D59= ""," ",D59&lt;&gt; " ",F59*(G59/H59))</f>
        <v>0</v>
      </c>
      <c r="J59" cm="1">
        <f t="array" ref="J59">_xlfn.IFS(D59= ""," ",D59&lt;&gt; " ",(H59-F59)*(G59/H59))</f>
        <v>2181.3000000000002</v>
      </c>
      <c r="K59" cm="1">
        <f t="array" ref="K59">IF(ISNUMBER(H59),_xlfn.IFS(D59= ""," ",D59&lt;&gt; " ",F59*(G59/H59)),"")</f>
        <v>0</v>
      </c>
    </row>
    <row r="60" spans="1:11" hidden="1" x14ac:dyDescent="0.35">
      <c r="A60" t="s">
        <v>31</v>
      </c>
      <c r="B60">
        <v>2016</v>
      </c>
      <c r="D60" t="s">
        <v>137</v>
      </c>
      <c r="E60" t="str" cm="1">
        <f t="array" ref="E60">_xlfn.IFS(D60=policy_name_clustering!$A$2,policy_name_clustering!$C$2,D60=policy_name_clustering!$A$3,policy_name_clustering!$C$3,D60=policy_name_clustering!$A$5,policy_name_clustering!$C$5,D60=policy_name_clustering!$A$6,policy_name_clustering!$C$6,D60=policy_name_clustering!$A$7,policy_name_clustering!$C$7,D60=policy_name_clustering!$A$8,policy_name_clustering!$C$8,D60=policy_name_clustering!$A$9,policy_name_clustering!$C$9,D60=policy_name_clustering!$A$10,policy_name_clustering!$C$10,D60=policy_name_clustering!$A$11,policy_name_clustering!$C$11,D60=policy_name_clustering!$A$12,policy_name_clustering!$C$12,D60=policy_name_clustering!$A$13,policy_name_clustering!$C$13,D60=policy_name_clustering!$A$14,policy_name_clustering!$C$14,D60=policy_name_clustering!$A$15,policy_name_clustering!$C$15,D60=policy_name_clustering!$A$16,policy_name_clustering!$C$16,D60="-","",D60=policy_name_clustering!$A$4,policy_name_clustering!$C$4)</f>
        <v/>
      </c>
      <c r="G60">
        <f>wind_cump_cap!C62</f>
        <v>2333.6999999999998</v>
      </c>
      <c r="H60">
        <f>estimated_capacity!C60</f>
        <v>2513.3590817310501</v>
      </c>
      <c r="I60" cm="1">
        <f t="array" ref="I60">_xlfn.IFS(D60= ""," ",D60&lt;&gt; " ",F60*(G60/H60))</f>
        <v>0</v>
      </c>
      <c r="J60" cm="1">
        <f t="array" ref="J60">_xlfn.IFS(D60= ""," ",D60&lt;&gt; " ",(H60-F60)*(G60/H60))</f>
        <v>2333.6999999999998</v>
      </c>
      <c r="K60" cm="1">
        <f t="array" ref="K60">IF(ISNUMBER(H60),_xlfn.IFS(D60= ""," ",D60&lt;&gt; " ",F60*(G60/H60)),"")</f>
        <v>0</v>
      </c>
    </row>
    <row r="61" spans="1:11" hidden="1" x14ac:dyDescent="0.35">
      <c r="A61" t="s">
        <v>31</v>
      </c>
      <c r="B61">
        <v>2017</v>
      </c>
      <c r="D61" t="s">
        <v>137</v>
      </c>
      <c r="E61" t="str" cm="1">
        <f t="array" ref="E61">_xlfn.IFS(D61=policy_name_clustering!$A$2,policy_name_clustering!$C$2,D61=policy_name_clustering!$A$3,policy_name_clustering!$C$3,D61=policy_name_clustering!$A$5,policy_name_clustering!$C$5,D61=policy_name_clustering!$A$6,policy_name_clustering!$C$6,D61=policy_name_clustering!$A$7,policy_name_clustering!$C$7,D61=policy_name_clustering!$A$8,policy_name_clustering!$C$8,D61=policy_name_clustering!$A$9,policy_name_clustering!$C$9,D61=policy_name_clustering!$A$10,policy_name_clustering!$C$10,D61=policy_name_clustering!$A$11,policy_name_clustering!$C$11,D61=policy_name_clustering!$A$12,policy_name_clustering!$C$12,D61=policy_name_clustering!$A$13,policy_name_clustering!$C$13,D61=policy_name_clustering!$A$14,policy_name_clustering!$C$14,D61=policy_name_clustering!$A$15,policy_name_clustering!$C$15,D61=policy_name_clustering!$A$16,policy_name_clustering!$C$16,D61="-","",D61=policy_name_clustering!$A$4,policy_name_clustering!$C$4)</f>
        <v/>
      </c>
      <c r="G61">
        <f>wind_cump_cap!C63</f>
        <v>2779.4</v>
      </c>
      <c r="H61">
        <f>estimated_capacity!C61</f>
        <v>2726.36011122632</v>
      </c>
      <c r="I61" cm="1">
        <f t="array" ref="I61">_xlfn.IFS(D61= ""," ",D61&lt;&gt; " ",F61*(G61/H61))</f>
        <v>0</v>
      </c>
      <c r="J61" cm="1">
        <f t="array" ref="J61">_xlfn.IFS(D61= ""," ",D61&lt;&gt; " ",(H61-F61)*(G61/H61))</f>
        <v>2779.4000000000005</v>
      </c>
      <c r="K61" cm="1">
        <f t="array" ref="K61">IF(ISNUMBER(H61),_xlfn.IFS(D61= ""," ",D61&lt;&gt; " ",F61*(G61/H61)),"")</f>
        <v>0</v>
      </c>
    </row>
    <row r="62" spans="1:11" hidden="1" x14ac:dyDescent="0.35">
      <c r="A62" t="s">
        <v>31</v>
      </c>
      <c r="B62">
        <v>2018</v>
      </c>
      <c r="D62" t="s">
        <v>137</v>
      </c>
      <c r="E62" t="str" cm="1">
        <f t="array" ref="E62">_xlfn.IFS(D62=policy_name_clustering!$A$2,policy_name_clustering!$C$2,D62=policy_name_clustering!$A$3,policy_name_clustering!$C$3,D62=policy_name_clustering!$A$5,policy_name_clustering!$C$5,D62=policy_name_clustering!$A$6,policy_name_clustering!$C$6,D62=policy_name_clustering!$A$7,policy_name_clustering!$C$7,D62=policy_name_clustering!$A$8,policy_name_clustering!$C$8,D62=policy_name_clustering!$A$9,policy_name_clustering!$C$9,D62=policy_name_clustering!$A$10,policy_name_clustering!$C$10,D62=policy_name_clustering!$A$11,policy_name_clustering!$C$11,D62=policy_name_clustering!$A$12,policy_name_clustering!$C$12,D62=policy_name_clustering!$A$13,policy_name_clustering!$C$13,D62=policy_name_clustering!$A$14,policy_name_clustering!$C$14,D62=policy_name_clustering!$A$15,policy_name_clustering!$C$15,D62=policy_name_clustering!$A$16,policy_name_clustering!$C$16,D62="-","",D62=policy_name_clustering!$A$4,policy_name_clustering!$C$4)</f>
        <v/>
      </c>
      <c r="G62">
        <f>wind_cump_cap!C64</f>
        <v>3304.9</v>
      </c>
      <c r="H62">
        <f>estimated_capacity!C62</f>
        <v>2957.1772210447798</v>
      </c>
      <c r="I62" cm="1">
        <f t="array" ref="I62">_xlfn.IFS(D62= ""," ",D62&lt;&gt; " ",F62*(G62/H62))</f>
        <v>0</v>
      </c>
      <c r="J62" cm="1">
        <f t="array" ref="J62">_xlfn.IFS(D62= ""," ",D62&lt;&gt; " ",(H62-F62)*(G62/H62))</f>
        <v>3304.9</v>
      </c>
      <c r="K62" cm="1">
        <f t="array" ref="K62">IF(ISNUMBER(H62),_xlfn.IFS(D62= ""," ",D62&lt;&gt; " ",F62*(G62/H62)),"")</f>
        <v>0</v>
      </c>
    </row>
    <row r="63" spans="1:11" hidden="1" x14ac:dyDescent="0.35">
      <c r="A63" t="s">
        <v>31</v>
      </c>
      <c r="B63">
        <v>2019</v>
      </c>
      <c r="D63" t="s">
        <v>137</v>
      </c>
      <c r="E63" t="str" cm="1">
        <f t="array" ref="E63">_xlfn.IFS(D63=policy_name_clustering!$A$2,policy_name_clustering!$C$2,D63=policy_name_clustering!$A$3,policy_name_clustering!$C$3,D63=policy_name_clustering!$A$5,policy_name_clustering!$C$5,D63=policy_name_clustering!$A$6,policy_name_clustering!$C$6,D63=policy_name_clustering!$A$7,policy_name_clustering!$C$7,D63=policy_name_clustering!$A$8,policy_name_clustering!$C$8,D63=policy_name_clustering!$A$9,policy_name_clustering!$C$9,D63=policy_name_clustering!$A$10,policy_name_clustering!$C$10,D63=policy_name_clustering!$A$11,policy_name_clustering!$C$11,D63=policy_name_clustering!$A$12,policy_name_clustering!$C$12,D63=policy_name_clustering!$A$13,policy_name_clustering!$C$13,D63=policy_name_clustering!$A$14,policy_name_clustering!$C$14,D63=policy_name_clustering!$A$15,policy_name_clustering!$C$15,D63=policy_name_clustering!$A$16,policy_name_clustering!$C$16,D63="-","",D63=policy_name_clustering!$A$4,policy_name_clustering!$C$4)</f>
        <v/>
      </c>
      <c r="G63">
        <f>wind_cump_cap!C65</f>
        <v>3863.7</v>
      </c>
      <c r="H63">
        <f>estimated_capacity!C63</f>
        <v>3229.6772480916702</v>
      </c>
      <c r="I63" cm="1">
        <f t="array" ref="I63">_xlfn.IFS(D63= ""," ",D63&lt;&gt; " ",F63*(G63/H63))</f>
        <v>0</v>
      </c>
      <c r="J63" cm="1">
        <f t="array" ref="J63">_xlfn.IFS(D63= ""," ",D63&lt;&gt; " ",(H63-F63)*(G63/H63))</f>
        <v>3863.6999999999994</v>
      </c>
      <c r="K63" cm="1">
        <f t="array" ref="K63">IF(ISNUMBER(H63),_xlfn.IFS(D63= ""," ",D63&lt;&gt; " ",F63*(G63/H63)),"")</f>
        <v>0</v>
      </c>
    </row>
    <row r="64" spans="1:11" hidden="1" x14ac:dyDescent="0.35">
      <c r="A64" t="s">
        <v>31</v>
      </c>
      <c r="B64">
        <v>2020</v>
      </c>
      <c r="D64" t="s">
        <v>137</v>
      </c>
      <c r="E64" t="str" cm="1">
        <f t="array" ref="E64">_xlfn.IFS(D64=policy_name_clustering!$A$2,policy_name_clustering!$C$2,D64=policy_name_clustering!$A$3,policy_name_clustering!$C$3,D64=policy_name_clustering!$A$5,policy_name_clustering!$C$5,D64=policy_name_clustering!$A$6,policy_name_clustering!$C$6,D64=policy_name_clustering!$A$7,policy_name_clustering!$C$7,D64=policy_name_clustering!$A$8,policy_name_clustering!$C$8,D64=policy_name_clustering!$A$9,policy_name_clustering!$C$9,D64=policy_name_clustering!$A$10,policy_name_clustering!$C$10,D64=policy_name_clustering!$A$11,policy_name_clustering!$C$11,D64=policy_name_clustering!$A$12,policy_name_clustering!$C$12,D64=policy_name_clustering!$A$13,policy_name_clustering!$C$13,D64=policy_name_clustering!$A$14,policy_name_clustering!$C$14,D64=policy_name_clustering!$A$15,policy_name_clustering!$C$15,D64=policy_name_clustering!$A$16,policy_name_clustering!$C$16,D64="-","",D64=policy_name_clustering!$A$4,policy_name_clustering!$C$4)</f>
        <v/>
      </c>
      <c r="G64">
        <f>wind_cump_cap!C66</f>
        <v>4672.8</v>
      </c>
      <c r="H64">
        <f>estimated_capacity!C64</f>
        <v>3567.9473198283699</v>
      </c>
      <c r="I64" cm="1">
        <f t="array" ref="I64">_xlfn.IFS(D64= ""," ",D64&lt;&gt; " ",F64*(G64/H64))</f>
        <v>0</v>
      </c>
      <c r="J64" cm="1">
        <f t="array" ref="J64">_xlfn.IFS(D64= ""," ",D64&lt;&gt; " ",(H64-F64)*(G64/H64))</f>
        <v>4672.8</v>
      </c>
      <c r="K64" cm="1">
        <f t="array" ref="K64">IF(ISNUMBER(H64),_xlfn.IFS(D64= ""," ",D64&lt;&gt; " ",F64*(G64/H64)),"")</f>
        <v>0</v>
      </c>
    </row>
    <row r="65" spans="1:14" hidden="1" x14ac:dyDescent="0.35">
      <c r="A65" t="s">
        <v>31</v>
      </c>
      <c r="B65">
        <v>2021</v>
      </c>
      <c r="D65" t="s">
        <v>137</v>
      </c>
      <c r="E65" t="str" cm="1">
        <f t="array" ref="E65">_xlfn.IFS(D65=policy_name_clustering!$A$2,policy_name_clustering!$C$2,D65=policy_name_clustering!$A$3,policy_name_clustering!$C$3,D65=policy_name_clustering!$A$5,policy_name_clustering!$C$5,D65=policy_name_clustering!$A$6,policy_name_clustering!$C$6,D65=policy_name_clustering!$A$7,policy_name_clustering!$C$7,D65=policy_name_clustering!$A$8,policy_name_clustering!$C$8,D65=policy_name_clustering!$A$9,policy_name_clustering!$C$9,D65=policy_name_clustering!$A$10,policy_name_clustering!$C$10,D65=policy_name_clustering!$A$11,policy_name_clustering!$C$11,D65=policy_name_clustering!$A$12,policy_name_clustering!$C$12,D65=policy_name_clustering!$A$13,policy_name_clustering!$C$13,D65=policy_name_clustering!$A$14,policy_name_clustering!$C$14,D65=policy_name_clustering!$A$15,policy_name_clustering!$C$15,D65=policy_name_clustering!$A$16,policy_name_clustering!$C$16,D65="-","",D65=policy_name_clustering!$A$4,policy_name_clustering!$C$4)</f>
        <v/>
      </c>
      <c r="G65">
        <f>wind_cump_cap!C67</f>
        <v>4948.3999999999996</v>
      </c>
      <c r="H65">
        <f>estimated_capacity!C65</f>
        <v>3929.71123797882</v>
      </c>
      <c r="I65" cm="1">
        <f t="array" ref="I65">_xlfn.IFS(D65= ""," ",D65&lt;&gt; " ",F65*(G65/H65))</f>
        <v>0</v>
      </c>
      <c r="J65" cm="1">
        <f t="array" ref="J65">_xlfn.IFS(D65= ""," ",D65&lt;&gt; " ",(H65-F65)*(G65/H65))</f>
        <v>4948.3999999999996</v>
      </c>
      <c r="K65" cm="1">
        <f t="array" ref="K65">IF(ISNUMBER(H65),_xlfn.IFS(D65= ""," ",D65&lt;&gt; " ",F65*(G65/H65)),"")</f>
        <v>0</v>
      </c>
    </row>
    <row r="66" spans="1:14" hidden="1" x14ac:dyDescent="0.35">
      <c r="A66" t="s">
        <v>31</v>
      </c>
      <c r="B66">
        <v>2022</v>
      </c>
      <c r="D66" t="s">
        <v>137</v>
      </c>
      <c r="E66" t="str" cm="1">
        <f t="array" ref="E66">_xlfn.IFS(D66=policy_name_clustering!$A$2,policy_name_clustering!$C$2,D66=policy_name_clustering!$A$3,policy_name_clustering!$C$3,D66=policy_name_clustering!$A$5,policy_name_clustering!$C$5,D66=policy_name_clustering!$A$6,policy_name_clustering!$C$6,D66=policy_name_clustering!$A$7,policy_name_clustering!$C$7,D66=policy_name_clustering!$A$8,policy_name_clustering!$C$8,D66=policy_name_clustering!$A$9,policy_name_clustering!$C$9,D66=policy_name_clustering!$A$10,policy_name_clustering!$C$10,D66=policy_name_clustering!$A$11,policy_name_clustering!$C$11,D66=policy_name_clustering!$A$12,policy_name_clustering!$C$12,D66=policy_name_clustering!$A$13,policy_name_clustering!$C$13,D66=policy_name_clustering!$A$14,policy_name_clustering!$C$14,D66=policy_name_clustering!$A$15,policy_name_clustering!$C$15,D66=policy_name_clustering!$A$16,policy_name_clustering!$C$16,D66="-","",D66=policy_name_clustering!$A$4,policy_name_clustering!$C$4)</f>
        <v/>
      </c>
      <c r="G66">
        <f>wind_cump_cap!C68</f>
        <v>5303.4</v>
      </c>
      <c r="H66">
        <f>estimated_capacity!C66</f>
        <v>4287.8508986055804</v>
      </c>
      <c r="I66" cm="1">
        <f t="array" ref="I66">_xlfn.IFS(D66= ""," ",D66&lt;&gt; " ",F66*(G66/H66))</f>
        <v>0</v>
      </c>
      <c r="J66" cm="1">
        <f t="array" ref="J66">_xlfn.IFS(D66= ""," ",D66&lt;&gt; " ",(H66-F66)*(G66/H66))</f>
        <v>5303.4</v>
      </c>
      <c r="K66" cm="1">
        <f t="array" ref="K66">IF(ISNUMBER(H66),_xlfn.IFS(D66= ""," ",D66&lt;&gt; " ",F66*(G66/H66)),"")</f>
        <v>0</v>
      </c>
    </row>
    <row r="67" spans="1:14" hidden="1" x14ac:dyDescent="0.35">
      <c r="A67" t="s">
        <v>31</v>
      </c>
      <c r="B67">
        <v>2023</v>
      </c>
      <c r="D67" t="s">
        <v>137</v>
      </c>
      <c r="E67" t="str" cm="1">
        <f t="array" ref="E67">_xlfn.IFS(D67=policy_name_clustering!$A$2,policy_name_clustering!$C$2,D67=policy_name_clustering!$A$3,policy_name_clustering!$C$3,D67=policy_name_clustering!$A$5,policy_name_clustering!$C$5,D67=policy_name_clustering!$A$6,policy_name_clustering!$C$6,D67=policy_name_clustering!$A$7,policy_name_clustering!$C$7,D67=policy_name_clustering!$A$8,policy_name_clustering!$C$8,D67=policy_name_clustering!$A$9,policy_name_clustering!$C$9,D67=policy_name_clustering!$A$10,policy_name_clustering!$C$10,D67=policy_name_clustering!$A$11,policy_name_clustering!$C$11,D67=policy_name_clustering!$A$12,policy_name_clustering!$C$12,D67=policy_name_clustering!$A$13,policy_name_clustering!$C$13,D67=policy_name_clustering!$A$14,policy_name_clustering!$C$14,D67=policy_name_clustering!$A$15,policy_name_clustering!$C$15,D67=policy_name_clustering!$A$16,policy_name_clustering!$C$16,D67="-","",D67=policy_name_clustering!$A$4,policy_name_clustering!$C$4)</f>
        <v/>
      </c>
      <c r="G67">
        <f>wind_cump_cap!C69</f>
        <v>5454.1</v>
      </c>
      <c r="H67">
        <f>estimated_capacity!C67</f>
        <v>4690.2440184475099</v>
      </c>
      <c r="I67" cm="1">
        <f t="array" ref="I67">_xlfn.IFS(D67= ""," ",D67&lt;&gt; " ",F67*(G67/H67))</f>
        <v>0</v>
      </c>
      <c r="J67" cm="1">
        <f t="array" ref="J67">_xlfn.IFS(D67= ""," ",D67&lt;&gt; " ",(H67-F67)*(G67/H67))</f>
        <v>5454.1</v>
      </c>
      <c r="K67" cm="1">
        <f t="array" ref="K67">IF(ISNUMBER(H67),_xlfn.IFS(D67= ""," ",D67&lt;&gt; " ",F67*(G67/H67)),"")</f>
        <v>0</v>
      </c>
      <c r="N67">
        <f>SUM(G34,G67,G105,G138,G184,G217,G255,G346,G315,G379,G420,G442,G475,G503,G536,G589)-SUM(H589,H536,H503,H475,H442,H420,H379,H346,H315,H255,H217,H184,H138,H105,H67,H34)</f>
        <v>1191.1216999578464</v>
      </c>
    </row>
    <row r="68" spans="1:14" x14ac:dyDescent="0.35">
      <c r="A68" t="s">
        <v>6</v>
      </c>
      <c r="B68">
        <v>1991</v>
      </c>
      <c r="D68" t="s">
        <v>137</v>
      </c>
      <c r="E68" t="str" cm="1">
        <f t="array" ref="E68">_xlfn.IFS(D68=policy_name_clustering!$A$2,policy_name_clustering!$C$2,D68=policy_name_clustering!$A$3,policy_name_clustering!$C$3,D68=policy_name_clustering!$A$5,policy_name_clustering!$C$5,D68=policy_name_clustering!$A$6,policy_name_clustering!$C$6,D68=policy_name_clustering!$A$7,policy_name_clustering!$C$7,D68=policy_name_clustering!$A$8,policy_name_clustering!$C$8,D68=policy_name_clustering!$A$9,policy_name_clustering!$C$9,D68=policy_name_clustering!$A$10,policy_name_clustering!$C$10,D68=policy_name_clustering!$A$11,policy_name_clustering!$C$11,D68=policy_name_clustering!$A$12,policy_name_clustering!$C$12,D68=policy_name_clustering!$A$13,policy_name_clustering!$C$13,D68=policy_name_clustering!$A$14,policy_name_clustering!$C$14,D68=policy_name_clustering!$A$15,policy_name_clustering!$C$15,D68=policy_name_clustering!$A$16,policy_name_clustering!$C$16,D68="-","",D68=policy_name_clustering!$A$4,policy_name_clustering!$C$4)</f>
        <v/>
      </c>
      <c r="G68">
        <f>wind_cump_cap!C71</f>
        <v>110</v>
      </c>
      <c r="H68">
        <f>estimated_capacity!C68</f>
        <v>88.425537825931301</v>
      </c>
      <c r="I68" cm="1">
        <f t="array" ref="I68">_xlfn.IFS(D68= ""," ",D68&lt;&gt; " ",F68*(G68/H68))</f>
        <v>0</v>
      </c>
      <c r="J68" cm="1">
        <f t="array" ref="J68">_xlfn.IFS(D68= ""," ",D68&lt;&gt; " ",(H68-F68)*(G68/H68))</f>
        <v>110.00000000000001</v>
      </c>
      <c r="K68" cm="1">
        <f t="array" ref="K68">IF(ISNUMBER(H68),_xlfn.IFS(D68= ""," ",D68&lt;&gt; " ",F68*(G68/H68)),"")</f>
        <v>0</v>
      </c>
    </row>
    <row r="69" spans="1:14" x14ac:dyDescent="0.35">
      <c r="A69" t="s">
        <v>6</v>
      </c>
      <c r="B69">
        <v>1992</v>
      </c>
      <c r="D69" t="s">
        <v>137</v>
      </c>
      <c r="E69" t="str" cm="1">
        <f t="array" ref="E69">_xlfn.IFS(D69=policy_name_clustering!$A$2,policy_name_clustering!$C$2,D69=policy_name_clustering!$A$3,policy_name_clustering!$C$3,D69=policy_name_clustering!$A$5,policy_name_clustering!$C$5,D69=policy_name_clustering!$A$6,policy_name_clustering!$C$6,D69=policy_name_clustering!$A$7,policy_name_clustering!$C$7,D69=policy_name_clustering!$A$8,policy_name_clustering!$C$8,D69=policy_name_clustering!$A$9,policy_name_clustering!$C$9,D69=policy_name_clustering!$A$10,policy_name_clustering!$C$10,D69=policy_name_clustering!$A$11,policy_name_clustering!$C$11,D69=policy_name_clustering!$A$12,policy_name_clustering!$C$12,D69=policy_name_clustering!$A$13,policy_name_clustering!$C$13,D69=policy_name_clustering!$A$14,policy_name_clustering!$C$14,D69=policy_name_clustering!$A$15,policy_name_clustering!$C$15,D69=policy_name_clustering!$A$16,policy_name_clustering!$C$16,D69="-","",D69=policy_name_clustering!$A$4,policy_name_clustering!$C$4)</f>
        <v/>
      </c>
      <c r="G69">
        <f>wind_cump_cap!C72</f>
        <v>183</v>
      </c>
      <c r="H69">
        <f>estimated_capacity!C69</f>
        <v>182.77566345580399</v>
      </c>
      <c r="I69" cm="1">
        <f t="array" ref="I69">_xlfn.IFS(D69= ""," ",D69&lt;&gt; " ",F69*(G69/H69))</f>
        <v>0</v>
      </c>
      <c r="J69" cm="1">
        <f t="array" ref="J69">_xlfn.IFS(D69= ""," ",D69&lt;&gt; " ",(H69-F69)*(G69/H69))</f>
        <v>183</v>
      </c>
      <c r="K69" cm="1">
        <f t="array" ref="K69">IF(ISNUMBER(H69),_xlfn.IFS(D69= ""," ",D69&lt;&gt; " ",F69*(G69/H69)),"")</f>
        <v>0</v>
      </c>
    </row>
    <row r="70" spans="1:14" x14ac:dyDescent="0.35">
      <c r="A70" t="s">
        <v>6</v>
      </c>
      <c r="B70">
        <v>1993</v>
      </c>
      <c r="C70" t="s">
        <v>149</v>
      </c>
      <c r="D70" s="3" t="s">
        <v>40</v>
      </c>
      <c r="E70" t="str" cm="1">
        <f t="array" ref="E70">_xlfn.IFS(D70=policy_name_clustering!$A$2,policy_name_clustering!$C$2,D70=policy_name_clustering!$A$3,policy_name_clustering!$C$3,D70=policy_name_clustering!$A$5,policy_name_clustering!$C$5,D70=policy_name_clustering!$A$6,policy_name_clustering!$C$6,D70=policy_name_clustering!$A$7,policy_name_clustering!$C$7,D70=policy_name_clustering!$A$8,policy_name_clustering!$C$8,D70=policy_name_clustering!$A$9,policy_name_clustering!$C$9,D70=policy_name_clustering!$A$10,policy_name_clustering!$C$10,D70=policy_name_clustering!$A$11,policy_name_clustering!$C$11,D70=policy_name_clustering!$A$12,policy_name_clustering!$C$12,D70=policy_name_clustering!$A$13,policy_name_clustering!$C$13,D70=policy_name_clustering!$A$14,policy_name_clustering!$C$14,D70=policy_name_clustering!$A$15,policy_name_clustering!$C$15,D70=policy_name_clustering!$A$16,policy_name_clustering!$C$16,D70="-","",D70=policy_name_clustering!$A$4,policy_name_clustering!$C$4)</f>
        <v>FiT/FiP-based</v>
      </c>
      <c r="F70">
        <f>policy_contributions_cum!F2</f>
        <v>51.921175136055702</v>
      </c>
      <c r="G70">
        <f>wind_cump_cap!C73</f>
        <v>334</v>
      </c>
      <c r="H70">
        <f>estimated_capacity!C70</f>
        <v>343.949994043716</v>
      </c>
      <c r="I70" cm="1">
        <f t="array" ref="I70">_xlfn.IFS(D70= ""," ",D70&lt;&gt; " ",F70*(G70/H70))</f>
        <v>50.419167889965074</v>
      </c>
      <c r="J70" cm="1">
        <f t="array" ref="J70">_xlfn.IFS(D70= ""," ",D70&lt;&gt; " ",(H70-F70)*(G70/H70))</f>
        <v>283.58083211003492</v>
      </c>
      <c r="K70" cm="1">
        <f t="array" ref="K70">IF(ISNUMBER(H70),_xlfn.IFS(D70= ""," ",D70&lt;&gt; " ",F70*(G70/H70)),"")</f>
        <v>50.419167889965074</v>
      </c>
    </row>
    <row r="71" spans="1:14" x14ac:dyDescent="0.35">
      <c r="A71" t="s">
        <v>6</v>
      </c>
      <c r="B71">
        <v>1994</v>
      </c>
      <c r="C71" t="s">
        <v>149</v>
      </c>
      <c r="D71" s="3" t="s">
        <v>40</v>
      </c>
      <c r="E71" t="str" cm="1">
        <f t="array" ref="E71">_xlfn.IFS(D71=policy_name_clustering!$A$2,policy_name_clustering!$C$2,D71=policy_name_clustering!$A$3,policy_name_clustering!$C$3,D71=policy_name_clustering!$A$5,policy_name_clustering!$C$5,D71=policy_name_clustering!$A$6,policy_name_clustering!$C$6,D71=policy_name_clustering!$A$7,policy_name_clustering!$C$7,D71=policy_name_clustering!$A$8,policy_name_clustering!$C$8,D71=policy_name_clustering!$A$9,policy_name_clustering!$C$9,D71=policy_name_clustering!$A$10,policy_name_clustering!$C$10,D71=policy_name_clustering!$A$11,policy_name_clustering!$C$11,D71=policy_name_clustering!$A$12,policy_name_clustering!$C$12,D71=policy_name_clustering!$A$13,policy_name_clustering!$C$13,D71=policy_name_clustering!$A$14,policy_name_clustering!$C$14,D71=policy_name_clustering!$A$15,policy_name_clustering!$C$15,D71=policy_name_clustering!$A$16,policy_name_clustering!$C$16,D71="-","",D71=policy_name_clustering!$A$4,policy_name_clustering!$C$4)</f>
        <v>FiT/FiP-based</v>
      </c>
      <c r="F71">
        <f>policy_contributions_cum!F3</f>
        <v>172.940213146384</v>
      </c>
      <c r="G71">
        <f>wind_cump_cap!C74</f>
        <v>643</v>
      </c>
      <c r="H71">
        <f>estimated_capacity!C71</f>
        <v>582.14430471694902</v>
      </c>
      <c r="I71" cm="1">
        <f t="array" ref="I71">_xlfn.IFS(D71= ""," ",D71&lt;&gt; " ",F71*(G71/H71))</f>
        <v>191.01888681568909</v>
      </c>
      <c r="J71" cm="1">
        <f t="array" ref="J71">_xlfn.IFS(D71= ""," ",D71&lt;&gt; " ",(H71-F71)*(G71/H71))</f>
        <v>451.98111318431086</v>
      </c>
      <c r="K71" cm="1">
        <f t="array" ref="K71">IF(ISNUMBER(H71),_xlfn.IFS(D71= ""," ",D71&lt;&gt; " ",F71*(G71/H71)),"")</f>
        <v>191.01888681568909</v>
      </c>
    </row>
    <row r="72" spans="1:14" x14ac:dyDescent="0.35">
      <c r="A72" t="s">
        <v>6</v>
      </c>
      <c r="B72">
        <v>1995</v>
      </c>
      <c r="C72" t="s">
        <v>149</v>
      </c>
      <c r="D72" s="3" t="s">
        <v>40</v>
      </c>
      <c r="E72" t="str" cm="1">
        <f t="array" ref="E72">_xlfn.IFS(D72=policy_name_clustering!$A$2,policy_name_clustering!$C$2,D72=policy_name_clustering!$A$3,policy_name_clustering!$C$3,D72=policy_name_clustering!$A$5,policy_name_clustering!$C$5,D72=policy_name_clustering!$A$6,policy_name_clustering!$C$6,D72=policy_name_clustering!$A$7,policy_name_clustering!$C$7,D72=policy_name_clustering!$A$8,policy_name_clustering!$C$8,D72=policy_name_clustering!$A$9,policy_name_clustering!$C$9,D72=policy_name_clustering!$A$10,policy_name_clustering!$C$10,D72=policy_name_clustering!$A$11,policy_name_clustering!$C$11,D72=policy_name_clustering!$A$12,policy_name_clustering!$C$12,D72=policy_name_clustering!$A$13,policy_name_clustering!$C$13,D72=policy_name_clustering!$A$14,policy_name_clustering!$C$14,D72=policy_name_clustering!$A$15,policy_name_clustering!$C$15,D72=policy_name_clustering!$A$16,policy_name_clustering!$C$16,D72="-","",D72=policy_name_clustering!$A$4,policy_name_clustering!$C$4)</f>
        <v>FiT/FiP-based</v>
      </c>
      <c r="F72">
        <f>policy_contributions_cum!F4</f>
        <v>401.54788353273699</v>
      </c>
      <c r="G72">
        <f>wind_cump_cap!C75</f>
        <v>1137</v>
      </c>
      <c r="H72">
        <f>estimated_capacity!C72</f>
        <v>953.45562541411402</v>
      </c>
      <c r="I72" cm="1">
        <f t="array" ref="I72">_xlfn.IFS(D72= ""," ",D72&lt;&gt; " ",F72*(G72/H72))</f>
        <v>478.84760591603248</v>
      </c>
      <c r="J72" cm="1">
        <f t="array" ref="J72">_xlfn.IFS(D72= ""," ",D72&lt;&gt; " ",(H72-F72)*(G72/H72))</f>
        <v>658.15239408396747</v>
      </c>
      <c r="K72" cm="1">
        <f t="array" ref="K72">IF(ISNUMBER(H72),_xlfn.IFS(D72= ""," ",D72&lt;&gt; " ",F72*(G72/H72)),"")</f>
        <v>478.84760591603248</v>
      </c>
    </row>
    <row r="73" spans="1:14" x14ac:dyDescent="0.35">
      <c r="A73" t="s">
        <v>6</v>
      </c>
      <c r="B73">
        <v>1996</v>
      </c>
      <c r="C73" t="s">
        <v>149</v>
      </c>
      <c r="D73" s="3" t="s">
        <v>40</v>
      </c>
      <c r="E73" t="str" cm="1">
        <f t="array" ref="E73">_xlfn.IFS(D73=policy_name_clustering!$A$2,policy_name_clustering!$C$2,D73=policy_name_clustering!$A$3,policy_name_clustering!$C$3,D73=policy_name_clustering!$A$5,policy_name_clustering!$C$5,D73=policy_name_clustering!$A$6,policy_name_clustering!$C$6,D73=policy_name_clustering!$A$7,policy_name_clustering!$C$7,D73=policy_name_clustering!$A$8,policy_name_clustering!$C$8,D73=policy_name_clustering!$A$9,policy_name_clustering!$C$9,D73=policy_name_clustering!$A$10,policy_name_clustering!$C$10,D73=policy_name_clustering!$A$11,policy_name_clustering!$C$11,D73=policy_name_clustering!$A$12,policy_name_clustering!$C$12,D73=policy_name_clustering!$A$13,policy_name_clustering!$C$13,D73=policy_name_clustering!$A$14,policy_name_clustering!$C$14,D73=policy_name_clustering!$A$15,policy_name_clustering!$C$15,D73=policy_name_clustering!$A$16,policy_name_clustering!$C$16,D73="-","",D73=policy_name_clustering!$A$4,policy_name_clustering!$C$4)</f>
        <v>FiT/FiP-based</v>
      </c>
      <c r="F73">
        <f>policy_contributions_cum!F5</f>
        <v>772.96716595214502</v>
      </c>
      <c r="G73">
        <f>wind_cump_cap!C76</f>
        <v>1564</v>
      </c>
      <c r="H73">
        <f>estimated_capacity!C73</f>
        <v>1486.2065528043299</v>
      </c>
      <c r="I73" cm="1">
        <f t="array" ref="I73">_xlfn.IFS(D73= ""," ",D73&lt;&gt; " ",F73*(G73/H73))</f>
        <v>813.42707396090873</v>
      </c>
      <c r="J73" cm="1">
        <f t="array" ref="J73">_xlfn.IFS(D73= ""," ",D73&lt;&gt; " ",(H73-F73)*(G73/H73))</f>
        <v>750.57292603909139</v>
      </c>
      <c r="K73" cm="1">
        <f t="array" ref="K73">IF(ISNUMBER(H73),_xlfn.IFS(D73= ""," ",D73&lt;&gt; " ",F73*(G73/H73)),"")</f>
        <v>813.42707396090873</v>
      </c>
    </row>
    <row r="74" spans="1:14" x14ac:dyDescent="0.35">
      <c r="A74" t="s">
        <v>6</v>
      </c>
      <c r="B74">
        <v>1997</v>
      </c>
      <c r="C74" t="s">
        <v>149</v>
      </c>
      <c r="D74" s="3" t="s">
        <v>40</v>
      </c>
      <c r="E74" t="str" cm="1">
        <f t="array" ref="E74">_xlfn.IFS(D74=policy_name_clustering!$A$2,policy_name_clustering!$C$2,D74=policy_name_clustering!$A$3,policy_name_clustering!$C$3,D74=policy_name_clustering!$A$5,policy_name_clustering!$C$5,D74=policy_name_clustering!$A$6,policy_name_clustering!$C$6,D74=policy_name_clustering!$A$7,policy_name_clustering!$C$7,D74=policy_name_clustering!$A$8,policy_name_clustering!$C$8,D74=policy_name_clustering!$A$9,policy_name_clustering!$C$9,D74=policy_name_clustering!$A$10,policy_name_clustering!$C$10,D74=policy_name_clustering!$A$11,policy_name_clustering!$C$11,D74=policy_name_clustering!$A$12,policy_name_clustering!$C$12,D74=policy_name_clustering!$A$13,policy_name_clustering!$C$13,D74=policy_name_clustering!$A$14,policy_name_clustering!$C$14,D74=policy_name_clustering!$A$15,policy_name_clustering!$C$15,D74=policy_name_clustering!$A$16,policy_name_clustering!$C$16,D74="-","",D74=policy_name_clustering!$A$4,policy_name_clustering!$C$4)</f>
        <v>FiT/FiP-based</v>
      </c>
      <c r="F74">
        <f>policy_contributions_cum!F6</f>
        <v>1352.5842612163499</v>
      </c>
      <c r="G74">
        <f>wind_cump_cap!C77</f>
        <v>1966</v>
      </c>
      <c r="H74">
        <f>estimated_capacity!C74</f>
        <v>2253.02302048295</v>
      </c>
      <c r="I74" cm="1">
        <f t="array" ref="I74">_xlfn.IFS(D74= ""," ",D74&lt;&gt; " ",F74*(G74/H74))</f>
        <v>1180.2722978752927</v>
      </c>
      <c r="J74" cm="1">
        <f t="array" ref="J74">_xlfn.IFS(D74= ""," ",D74&lt;&gt; " ",(H74-F74)*(G74/H74))</f>
        <v>785.72770212470743</v>
      </c>
      <c r="K74" cm="1">
        <f t="array" ref="K74">IF(ISNUMBER(H74),_xlfn.IFS(D74= ""," ",D74&lt;&gt; " ",F74*(G74/H74)),"")</f>
        <v>1180.2722978752927</v>
      </c>
    </row>
    <row r="75" spans="1:14" x14ac:dyDescent="0.35">
      <c r="A75" t="s">
        <v>6</v>
      </c>
      <c r="B75">
        <v>1998</v>
      </c>
      <c r="C75" t="s">
        <v>149</v>
      </c>
      <c r="D75" s="3" t="s">
        <v>40</v>
      </c>
      <c r="E75" t="str" cm="1">
        <f t="array" ref="E75">_xlfn.IFS(D75=policy_name_clustering!$A$2,policy_name_clustering!$C$2,D75=policy_name_clustering!$A$3,policy_name_clustering!$C$3,D75=policy_name_clustering!$A$5,policy_name_clustering!$C$5,D75=policy_name_clustering!$A$6,policy_name_clustering!$C$6,D75=policy_name_clustering!$A$7,policy_name_clustering!$C$7,D75=policy_name_clustering!$A$8,policy_name_clustering!$C$8,D75=policy_name_clustering!$A$9,policy_name_clustering!$C$9,D75=policy_name_clustering!$A$10,policy_name_clustering!$C$10,D75=policy_name_clustering!$A$11,policy_name_clustering!$C$11,D75=policy_name_clustering!$A$12,policy_name_clustering!$C$12,D75=policy_name_clustering!$A$13,policy_name_clustering!$C$13,D75=policy_name_clustering!$A$14,policy_name_clustering!$C$14,D75=policy_name_clustering!$A$15,policy_name_clustering!$C$15,D75=policy_name_clustering!$A$16,policy_name_clustering!$C$16,D75="-","",D75=policy_name_clustering!$A$4,policy_name_clustering!$C$4)</f>
        <v>FiT/FiP-based</v>
      </c>
      <c r="F75">
        <f>policy_contributions_cum!F7</f>
        <v>2165.6655613626899</v>
      </c>
      <c r="G75">
        <f>wind_cump_cap!C78</f>
        <v>2672</v>
      </c>
      <c r="H75">
        <f>estimated_capacity!C75</f>
        <v>3260.41031595409</v>
      </c>
      <c r="I75" cm="1">
        <f t="array" ref="I75">_xlfn.IFS(D75= ""," ",D75&lt;&gt; " ",F75*(G75/H75))</f>
        <v>1774.8251965850391</v>
      </c>
      <c r="J75" cm="1">
        <f t="array" ref="J75">_xlfn.IFS(D75= ""," ",D75&lt;&gt; " ",(H75-F75)*(G75/H75))</f>
        <v>897.17480341496082</v>
      </c>
      <c r="K75" cm="1">
        <f t="array" ref="K75">IF(ISNUMBER(H75),_xlfn.IFS(D75= ""," ",D75&lt;&gt; " ",F75*(G75/H75)),"")</f>
        <v>1774.8251965850391</v>
      </c>
    </row>
    <row r="76" spans="1:14" x14ac:dyDescent="0.35">
      <c r="A76" t="s">
        <v>6</v>
      </c>
      <c r="B76">
        <v>1999</v>
      </c>
      <c r="C76" t="s">
        <v>149</v>
      </c>
      <c r="D76" s="3" t="s">
        <v>40</v>
      </c>
      <c r="E76" t="str" cm="1">
        <f t="array" ref="E76">_xlfn.IFS(D76=policy_name_clustering!$A$2,policy_name_clustering!$C$2,D76=policy_name_clustering!$A$3,policy_name_clustering!$C$3,D76=policy_name_clustering!$A$5,policy_name_clustering!$C$5,D76=policy_name_clustering!$A$6,policy_name_clustering!$C$6,D76=policy_name_clustering!$A$7,policy_name_clustering!$C$7,D76=policy_name_clustering!$A$8,policy_name_clustering!$C$8,D76=policy_name_clustering!$A$9,policy_name_clustering!$C$9,D76=policy_name_clustering!$A$10,policy_name_clustering!$C$10,D76=policy_name_clustering!$A$11,policy_name_clustering!$C$11,D76=policy_name_clustering!$A$12,policy_name_clustering!$C$12,D76=policy_name_clustering!$A$13,policy_name_clustering!$C$13,D76=policy_name_clustering!$A$14,policy_name_clustering!$C$14,D76=policy_name_clustering!$A$15,policy_name_clustering!$C$15,D76=policy_name_clustering!$A$16,policy_name_clustering!$C$16,D76="-","",D76=policy_name_clustering!$A$4,policy_name_clustering!$C$4)</f>
        <v>FiT/FiP-based</v>
      </c>
      <c r="F76">
        <f>policy_contributions_cum!F8</f>
        <v>3347.1256953041702</v>
      </c>
      <c r="G76">
        <f>wind_cump_cap!C79</f>
        <v>4138</v>
      </c>
      <c r="H76">
        <f>estimated_capacity!C76</f>
        <v>4662.0933365503897</v>
      </c>
      <c r="I76" cm="1">
        <f t="array" ref="I76">_xlfn.IFS(D76= ""," ",D76&lt;&gt; " ",F76*(G76/H76))</f>
        <v>2970.8556065539756</v>
      </c>
      <c r="J76" cm="1">
        <f t="array" ref="J76">_xlfn.IFS(D76= ""," ",D76&lt;&gt; " ",(H76-F76)*(G76/H76))</f>
        <v>1167.1443934460242</v>
      </c>
      <c r="K76" cm="1">
        <f t="array" ref="K76">IF(ISNUMBER(H76),_xlfn.IFS(D76= ""," ",D76&lt;&gt; " ",F76*(G76/H76)),"")</f>
        <v>2970.8556065539756</v>
      </c>
    </row>
    <row r="77" spans="1:14" x14ac:dyDescent="0.35">
      <c r="A77" t="s">
        <v>6</v>
      </c>
      <c r="B77">
        <v>2000</v>
      </c>
      <c r="C77" t="s">
        <v>149</v>
      </c>
      <c r="D77" s="3" t="s">
        <v>40</v>
      </c>
      <c r="E77" t="str" cm="1">
        <f t="array" ref="E77">_xlfn.IFS(D77=policy_name_clustering!$A$2,policy_name_clustering!$C$2,D77=policy_name_clustering!$A$3,policy_name_clustering!$C$3,D77=policy_name_clustering!$A$5,policy_name_clustering!$C$5,D77=policy_name_clustering!$A$6,policy_name_clustering!$C$6,D77=policy_name_clustering!$A$7,policy_name_clustering!$C$7,D77=policy_name_clustering!$A$8,policy_name_clustering!$C$8,D77=policy_name_clustering!$A$9,policy_name_clustering!$C$9,D77=policy_name_clustering!$A$10,policy_name_clustering!$C$10,D77=policy_name_clustering!$A$11,policy_name_clustering!$C$11,D77=policy_name_clustering!$A$12,policy_name_clustering!$C$12,D77=policy_name_clustering!$A$13,policy_name_clustering!$C$13,D77=policy_name_clustering!$A$14,policy_name_clustering!$C$14,D77=policy_name_clustering!$A$15,policy_name_clustering!$C$15,D77=policy_name_clustering!$A$16,policy_name_clustering!$C$16,D77="-","",D77=policy_name_clustering!$A$4,policy_name_clustering!$C$4)</f>
        <v>FiT/FiP-based</v>
      </c>
      <c r="F77">
        <f>policy_contributions_cum!F9</f>
        <v>4917.8921934903301</v>
      </c>
      <c r="G77">
        <f>wind_cump_cap!C80</f>
        <v>6095</v>
      </c>
      <c r="H77">
        <f>estimated_capacity!C77</f>
        <v>6457.0135437089302</v>
      </c>
      <c r="I77" cm="1">
        <f t="array" ref="I77">_xlfn.IFS(D77= ""," ",D77&lt;&gt; " ",F77*(G77/H77))</f>
        <v>4642.1697455672484</v>
      </c>
      <c r="J77" cm="1">
        <f t="array" ref="J77">_xlfn.IFS(D77= ""," ",D77&lt;&gt; " ",(H77-F77)*(G77/H77))</f>
        <v>1452.8302544327516</v>
      </c>
      <c r="K77" cm="1">
        <f t="array" ref="K77">IF(ISNUMBER(H77),_xlfn.IFS(D77= ""," ",D77&lt;&gt; " ",F77*(G77/H77)),"")</f>
        <v>4642.1697455672484</v>
      </c>
    </row>
    <row r="78" spans="1:14" x14ac:dyDescent="0.35">
      <c r="A78" t="s">
        <v>6</v>
      </c>
      <c r="B78">
        <v>2001</v>
      </c>
      <c r="C78" t="s">
        <v>149</v>
      </c>
      <c r="D78" s="3" t="s">
        <v>40</v>
      </c>
      <c r="E78" t="str" cm="1">
        <f t="array" ref="E78">_xlfn.IFS(D78=policy_name_clustering!$A$2,policy_name_clustering!$C$2,D78=policy_name_clustering!$A$3,policy_name_clustering!$C$3,D78=policy_name_clustering!$A$5,policy_name_clustering!$C$5,D78=policy_name_clustering!$A$6,policy_name_clustering!$C$6,D78=policy_name_clustering!$A$7,policy_name_clustering!$C$7,D78=policy_name_clustering!$A$8,policy_name_clustering!$C$8,D78=policy_name_clustering!$A$9,policy_name_clustering!$C$9,D78=policy_name_clustering!$A$10,policy_name_clustering!$C$10,D78=policy_name_clustering!$A$11,policy_name_clustering!$C$11,D78=policy_name_clustering!$A$12,policy_name_clustering!$C$12,D78=policy_name_clustering!$A$13,policy_name_clustering!$C$13,D78=policy_name_clustering!$A$14,policy_name_clustering!$C$14,D78=policy_name_clustering!$A$15,policy_name_clustering!$C$15,D78=policy_name_clustering!$A$16,policy_name_clustering!$C$16,D78="-","",D78=policy_name_clustering!$A$4,policy_name_clustering!$C$4)</f>
        <v>FiT/FiP-based</v>
      </c>
      <c r="F78">
        <f>policy_contributions_cum!F10</f>
        <v>7144.8938922318903</v>
      </c>
      <c r="G78">
        <f>wind_cump_cap!C81</f>
        <v>8754</v>
      </c>
      <c r="H78">
        <f>estimated_capacity!C78</f>
        <v>8938.3690164915206</v>
      </c>
      <c r="I78" cm="1">
        <f t="array" ref="I78">_xlfn.IFS(D78= ""," ",D78&lt;&gt; " ",F78*(G78/H78))</f>
        <v>6997.5183411199796</v>
      </c>
      <c r="J78" cm="1">
        <f t="array" ref="J78">_xlfn.IFS(D78= ""," ",D78&lt;&gt; " ",(H78-F78)*(G78/H78))</f>
        <v>1756.4816588800206</v>
      </c>
      <c r="K78" cm="1">
        <f t="array" ref="K78">IF(ISNUMBER(H78),_xlfn.IFS(D78= ""," ",D78&lt;&gt; " ",F78*(G78/H78)),"")</f>
        <v>6997.5183411199796</v>
      </c>
    </row>
    <row r="79" spans="1:14" x14ac:dyDescent="0.35">
      <c r="A79" t="s">
        <v>6</v>
      </c>
      <c r="B79">
        <v>2002</v>
      </c>
      <c r="C79" s="9" t="s">
        <v>59</v>
      </c>
      <c r="D79" s="3" t="s">
        <v>40</v>
      </c>
      <c r="E79" t="str" cm="1">
        <f t="array" ref="E79">_xlfn.IFS(D79=policy_name_clustering!$A$2,policy_name_clustering!$C$2,D79=policy_name_clustering!$A$3,policy_name_clustering!$C$3,D79=policy_name_clustering!$A$5,policy_name_clustering!$C$5,D79=policy_name_clustering!$A$6,policy_name_clustering!$C$6,D79=policy_name_clustering!$A$7,policy_name_clustering!$C$7,D79=policy_name_clustering!$A$8,policy_name_clustering!$C$8,D79=policy_name_clustering!$A$9,policy_name_clustering!$C$9,D79=policy_name_clustering!$A$10,policy_name_clustering!$C$10,D79=policy_name_clustering!$A$11,policy_name_clustering!$C$11,D79=policy_name_clustering!$A$12,policy_name_clustering!$C$12,D79=policy_name_clustering!$A$13,policy_name_clustering!$C$13,D79=policy_name_clustering!$A$14,policy_name_clustering!$C$14,D79=policy_name_clustering!$A$15,policy_name_clustering!$C$15,D79=policy_name_clustering!$A$16,policy_name_clustering!$C$16,D79="-","",D79=policy_name_clustering!$A$4,policy_name_clustering!$C$4)</f>
        <v>FiT/FiP-based</v>
      </c>
      <c r="F79">
        <f>policy_contributions_cum!F11</f>
        <v>9401.13212830066</v>
      </c>
      <c r="G79">
        <f>wind_cump_cap!C82</f>
        <v>12001</v>
      </c>
      <c r="H79">
        <f>estimated_capacity!C79</f>
        <v>11373.5125511442</v>
      </c>
      <c r="I79" cm="1">
        <f t="array" ref="I79">_xlfn.IFS(D79= ""," ",D79&lt;&gt; " ",F79*(G79/H79))</f>
        <v>9919.8014829979656</v>
      </c>
      <c r="J79" cm="1">
        <f t="array" ref="J79">_xlfn.IFS(D79= ""," ",D79&lt;&gt; " ",(H79-F79)*(G79/H79))</f>
        <v>2081.1985170020334</v>
      </c>
      <c r="K79" cm="1">
        <f t="array" ref="K79">IF(ISNUMBER(H79),_xlfn.IFS(D79= ""," ",D79&lt;&gt; " ",F79*(G79/H79)),"")</f>
        <v>9919.8014829979656</v>
      </c>
    </row>
    <row r="80" spans="1:14" x14ac:dyDescent="0.35">
      <c r="A80" t="s">
        <v>6</v>
      </c>
      <c r="B80">
        <v>2003</v>
      </c>
      <c r="D80" s="3" t="s">
        <v>40</v>
      </c>
      <c r="E80" t="str" cm="1">
        <f t="array" ref="E80">_xlfn.IFS(D80=policy_name_clustering!$A$2,policy_name_clustering!$C$2,D80=policy_name_clustering!$A$3,policy_name_clustering!$C$3,D80=policy_name_clustering!$A$5,policy_name_clustering!$C$5,D80=policy_name_clustering!$A$6,policy_name_clustering!$C$6,D80=policy_name_clustering!$A$7,policy_name_clustering!$C$7,D80=policy_name_clustering!$A$8,policy_name_clustering!$C$8,D80=policy_name_clustering!$A$9,policy_name_clustering!$C$9,D80=policy_name_clustering!$A$10,policy_name_clustering!$C$10,D80=policy_name_clustering!$A$11,policy_name_clustering!$C$11,D80=policy_name_clustering!$A$12,policy_name_clustering!$C$12,D80=policy_name_clustering!$A$13,policy_name_clustering!$C$13,D80=policy_name_clustering!$A$14,policy_name_clustering!$C$14,D80=policy_name_clustering!$A$15,policy_name_clustering!$C$15,D80=policy_name_clustering!$A$16,policy_name_clustering!$C$16,D80="-","",D80=policy_name_clustering!$A$4,policy_name_clustering!$C$4)</f>
        <v>FiT/FiP-based</v>
      </c>
      <c r="F80">
        <f>policy_contributions_cum!F12</f>
        <v>11859.2474577597</v>
      </c>
      <c r="G80">
        <f>wind_cump_cap!C83</f>
        <v>14381</v>
      </c>
      <c r="H80">
        <f>estimated_capacity!C80</f>
        <v>13969.3592759435</v>
      </c>
      <c r="I80" cm="1">
        <f t="array" ref="I80">_xlfn.IFS(D80= ""," ",D80&lt;&gt; " ",F80*(G80/H80))</f>
        <v>12208.708668817837</v>
      </c>
      <c r="J80" cm="1">
        <f t="array" ref="J80">_xlfn.IFS(D80= ""," ",D80&lt;&gt; " ",(H80-F80)*(G80/H80))</f>
        <v>2172.291331182164</v>
      </c>
      <c r="K80" cm="1">
        <f t="array" ref="K80">IF(ISNUMBER(H80),_xlfn.IFS(D80= ""," ",D80&lt;&gt; " ",F80*(G80/H80)),"")</f>
        <v>12208.708668817837</v>
      </c>
    </row>
    <row r="81" spans="1:11" x14ac:dyDescent="0.35">
      <c r="A81" t="s">
        <v>6</v>
      </c>
      <c r="B81">
        <v>2004</v>
      </c>
      <c r="D81" s="3" t="s">
        <v>40</v>
      </c>
      <c r="E81" t="str" cm="1">
        <f t="array" ref="E81">_xlfn.IFS(D81=policy_name_clustering!$A$2,policy_name_clustering!$C$2,D81=policy_name_clustering!$A$3,policy_name_clustering!$C$3,D81=policy_name_clustering!$A$5,policy_name_clustering!$C$5,D81=policy_name_clustering!$A$6,policy_name_clustering!$C$6,D81=policy_name_clustering!$A$7,policy_name_clustering!$C$7,D81=policy_name_clustering!$A$8,policy_name_clustering!$C$8,D81=policy_name_clustering!$A$9,policy_name_clustering!$C$9,D81=policy_name_clustering!$A$10,policy_name_clustering!$C$10,D81=policy_name_clustering!$A$11,policy_name_clustering!$C$11,D81=policy_name_clustering!$A$12,policy_name_clustering!$C$12,D81=policy_name_clustering!$A$13,policy_name_clustering!$C$13,D81=policy_name_clustering!$A$14,policy_name_clustering!$C$14,D81=policy_name_clustering!$A$15,policy_name_clustering!$C$15,D81=policy_name_clustering!$A$16,policy_name_clustering!$C$16,D81="-","",D81=policy_name_clustering!$A$4,policy_name_clustering!$C$4)</f>
        <v>FiT/FiP-based</v>
      </c>
      <c r="F81">
        <f>policy_contributions_cum!F13</f>
        <v>14265.980168870799</v>
      </c>
      <c r="G81">
        <f>wind_cump_cap!C84</f>
        <v>16419</v>
      </c>
      <c r="H81">
        <f>estimated_capacity!C81</f>
        <v>16458.977521707999</v>
      </c>
      <c r="I81" cm="1">
        <f t="array" ref="I81">_xlfn.IFS(D81= ""," ",D81&lt;&gt; " ",F81*(G81/H81))</f>
        <v>14231.329259898192</v>
      </c>
      <c r="J81" cm="1">
        <f t="array" ref="J81">_xlfn.IFS(D81= ""," ",D81&lt;&gt; " ",(H81-F81)*(G81/H81))</f>
        <v>2187.6707401018093</v>
      </c>
      <c r="K81" cm="1">
        <f t="array" ref="K81">IF(ISNUMBER(H81),_xlfn.IFS(D81= ""," ",D81&lt;&gt; " ",F81*(G81/H81)),"")</f>
        <v>14231.329259898192</v>
      </c>
    </row>
    <row r="82" spans="1:11" x14ac:dyDescent="0.35">
      <c r="A82" t="s">
        <v>6</v>
      </c>
      <c r="B82">
        <v>2005</v>
      </c>
      <c r="D82" s="3" t="s">
        <v>40</v>
      </c>
      <c r="E82" t="str" cm="1">
        <f t="array" ref="E82">_xlfn.IFS(D82=policy_name_clustering!$A$2,policy_name_clustering!$C$2,D82=policy_name_clustering!$A$3,policy_name_clustering!$C$3,D82=policy_name_clustering!$A$5,policy_name_clustering!$C$5,D82=policy_name_clustering!$A$6,policy_name_clustering!$C$6,D82=policy_name_clustering!$A$7,policy_name_clustering!$C$7,D82=policy_name_clustering!$A$8,policy_name_clustering!$C$8,D82=policy_name_clustering!$A$9,policy_name_clustering!$C$9,D82=policy_name_clustering!$A$10,policy_name_clustering!$C$10,D82=policy_name_clustering!$A$11,policy_name_clustering!$C$11,D82=policy_name_clustering!$A$12,policy_name_clustering!$C$12,D82=policy_name_clustering!$A$13,policy_name_clustering!$C$13,D82=policy_name_clustering!$A$14,policy_name_clustering!$C$14,D82=policy_name_clustering!$A$15,policy_name_clustering!$C$15,D82=policy_name_clustering!$A$16,policy_name_clustering!$C$16,D82="-","",D82=policy_name_clustering!$A$4,policy_name_clustering!$C$4)</f>
        <v>FiT/FiP-based</v>
      </c>
      <c r="F82">
        <f>policy_contributions_cum!F14</f>
        <v>16865.323296278901</v>
      </c>
      <c r="G82">
        <f>wind_cump_cap!C85</f>
        <v>18248</v>
      </c>
      <c r="H82">
        <f>estimated_capacity!C82</f>
        <v>19114.215933598502</v>
      </c>
      <c r="I82" cm="1">
        <f t="array" ref="I82">_xlfn.IFS(D82= ""," ",D82&lt;&gt; " ",F82*(G82/H82))</f>
        <v>16101.022431661826</v>
      </c>
      <c r="J82" cm="1">
        <f t="array" ref="J82">_xlfn.IFS(D82= ""," ",D82&lt;&gt; " ",(H82-F82)*(G82/H82))</f>
        <v>2146.9775683381731</v>
      </c>
      <c r="K82" cm="1">
        <f t="array" ref="K82">IF(ISNUMBER(H82),_xlfn.IFS(D82= ""," ",D82&lt;&gt; " ",F82*(G82/H82)),"")</f>
        <v>16101.022431661826</v>
      </c>
    </row>
    <row r="83" spans="1:11" x14ac:dyDescent="0.35">
      <c r="A83" t="s">
        <v>6</v>
      </c>
      <c r="B83">
        <v>2006</v>
      </c>
      <c r="D83" s="3" t="s">
        <v>40</v>
      </c>
      <c r="E83" t="str" cm="1">
        <f t="array" ref="E83">_xlfn.IFS(D83=policy_name_clustering!$A$2,policy_name_clustering!$C$2,D83=policy_name_clustering!$A$3,policy_name_clustering!$C$3,D83=policy_name_clustering!$A$5,policy_name_clustering!$C$5,D83=policy_name_clustering!$A$6,policy_name_clustering!$C$6,D83=policy_name_clustering!$A$7,policy_name_clustering!$C$7,D83=policy_name_clustering!$A$8,policy_name_clustering!$C$8,D83=policy_name_clustering!$A$9,policy_name_clustering!$C$9,D83=policy_name_clustering!$A$10,policy_name_clustering!$C$10,D83=policy_name_clustering!$A$11,policy_name_clustering!$C$11,D83=policy_name_clustering!$A$12,policy_name_clustering!$C$12,D83=policy_name_clustering!$A$13,policy_name_clustering!$C$13,D83=policy_name_clustering!$A$14,policy_name_clustering!$C$14,D83=policy_name_clustering!$A$15,policy_name_clustering!$C$15,D83=policy_name_clustering!$A$16,policy_name_clustering!$C$16,D83="-","",D83=policy_name_clustering!$A$4,policy_name_clustering!$C$4)</f>
        <v>FiT/FiP-based</v>
      </c>
      <c r="F83">
        <f>policy_contributions_cum!F15</f>
        <v>19323.983934480399</v>
      </c>
      <c r="G83">
        <f>wind_cump_cap!C86</f>
        <v>20474</v>
      </c>
      <c r="H83">
        <f>estimated_capacity!C83</f>
        <v>21589.414976510099</v>
      </c>
      <c r="I83" cm="1">
        <f t="array" ref="I83">_xlfn.IFS(D83= ""," ",D83&lt;&gt; " ",F83*(G83/H83))</f>
        <v>18325.612227335409</v>
      </c>
      <c r="J83" cm="1">
        <f t="array" ref="J83">_xlfn.IFS(D83= ""," ",D83&lt;&gt; " ",(H83-F83)*(G83/H83))</f>
        <v>2148.3877726645906</v>
      </c>
      <c r="K83" cm="1">
        <f t="array" ref="K83">IF(ISNUMBER(H83),_xlfn.IFS(D83= ""," ",D83&lt;&gt; " ",F83*(G83/H83)),"")</f>
        <v>18325.612227335409</v>
      </c>
    </row>
    <row r="84" spans="1:11" x14ac:dyDescent="0.35">
      <c r="A84" t="s">
        <v>6</v>
      </c>
      <c r="B84">
        <v>2007</v>
      </c>
      <c r="D84" s="3" t="s">
        <v>40</v>
      </c>
      <c r="E84" t="str" cm="1">
        <f t="array" ref="E84">_xlfn.IFS(D84=policy_name_clustering!$A$2,policy_name_clustering!$C$2,D84=policy_name_clustering!$A$3,policy_name_clustering!$C$3,D84=policy_name_clustering!$A$5,policy_name_clustering!$C$5,D84=policy_name_clustering!$A$6,policy_name_clustering!$C$6,D84=policy_name_clustering!$A$7,policy_name_clustering!$C$7,D84=policy_name_clustering!$A$8,policy_name_clustering!$C$8,D84=policy_name_clustering!$A$9,policy_name_clustering!$C$9,D84=policy_name_clustering!$A$10,policy_name_clustering!$C$10,D84=policy_name_clustering!$A$11,policy_name_clustering!$C$11,D84=policy_name_clustering!$A$12,policy_name_clustering!$C$12,D84=policy_name_clustering!$A$13,policy_name_clustering!$C$13,D84=policy_name_clustering!$A$14,policy_name_clustering!$C$14,D84=policy_name_clustering!$A$15,policy_name_clustering!$C$15,D84=policy_name_clustering!$A$16,policy_name_clustering!$C$16,D84="-","",D84=policy_name_clustering!$A$4,policy_name_clustering!$C$4)</f>
        <v>FiT/FiP-based</v>
      </c>
      <c r="F84">
        <f>policy_contributions_cum!F16</f>
        <v>21690.3932846565</v>
      </c>
      <c r="G84">
        <f>wind_cump_cap!C87</f>
        <v>22116</v>
      </c>
      <c r="H84">
        <f>estimated_capacity!C84</f>
        <v>23944.622626467601</v>
      </c>
      <c r="I84" cm="1">
        <f t="array" ref="I84">_xlfn.IFS(D84= ""," ",D84&lt;&gt; " ",F84*(G84/H84))</f>
        <v>20033.92349784679</v>
      </c>
      <c r="J84" cm="1">
        <f t="array" ref="J84">_xlfn.IFS(D84= ""," ",D84&lt;&gt; " ",(H84-F84)*(G84/H84))</f>
        <v>2082.0765021532111</v>
      </c>
      <c r="K84" cm="1">
        <f t="array" ref="K84">IF(ISNUMBER(H84),_xlfn.IFS(D84= ""," ",D84&lt;&gt; " ",F84*(G84/H84)),"")</f>
        <v>20033.92349784679</v>
      </c>
    </row>
    <row r="85" spans="1:11" x14ac:dyDescent="0.35">
      <c r="A85" t="s">
        <v>6</v>
      </c>
      <c r="B85">
        <v>2008</v>
      </c>
      <c r="D85" s="3" t="s">
        <v>40</v>
      </c>
      <c r="E85" t="str" cm="1">
        <f t="array" ref="E85">_xlfn.IFS(D85=policy_name_clustering!$A$2,policy_name_clustering!$C$2,D85=policy_name_clustering!$A$3,policy_name_clustering!$C$3,D85=policy_name_clustering!$A$5,policy_name_clustering!$C$5,D85=policy_name_clustering!$A$6,policy_name_clustering!$C$6,D85=policy_name_clustering!$A$7,policy_name_clustering!$C$7,D85=policy_name_clustering!$A$8,policy_name_clustering!$C$8,D85=policy_name_clustering!$A$9,policy_name_clustering!$C$9,D85=policy_name_clustering!$A$10,policy_name_clustering!$C$10,D85=policy_name_clustering!$A$11,policy_name_clustering!$C$11,D85=policy_name_clustering!$A$12,policy_name_clustering!$C$12,D85=policy_name_clustering!$A$13,policy_name_clustering!$C$13,D85=policy_name_clustering!$A$14,policy_name_clustering!$C$14,D85=policy_name_clustering!$A$15,policy_name_clustering!$C$15,D85=policy_name_clustering!$A$16,policy_name_clustering!$C$16,D85="-","",D85=policy_name_clustering!$A$4,policy_name_clustering!$C$4)</f>
        <v>FiT/FiP-based</v>
      </c>
      <c r="F85">
        <f>policy_contributions_cum!F17</f>
        <v>23876.905286351001</v>
      </c>
      <c r="G85">
        <f>wind_cump_cap!C88</f>
        <v>22794</v>
      </c>
      <c r="H85">
        <f>estimated_capacity!C85</f>
        <v>26096.0782717814</v>
      </c>
      <c r="I85" cm="1">
        <f t="array" ref="I85">_xlfn.IFS(D85= ""," ",D85&lt;&gt; " ",F85*(G85/H85))</f>
        <v>20855.631004356754</v>
      </c>
      <c r="J85" cm="1">
        <f t="array" ref="J85">_xlfn.IFS(D85= ""," ",D85&lt;&gt; " ",(H85-F85)*(G85/H85))</f>
        <v>1938.368995643249</v>
      </c>
      <c r="K85" cm="1">
        <f t="array" ref="K85">IF(ISNUMBER(H85),_xlfn.IFS(D85= ""," ",D85&lt;&gt; " ",F85*(G85/H85)),"")</f>
        <v>20855.631004356754</v>
      </c>
    </row>
    <row r="86" spans="1:11" x14ac:dyDescent="0.35">
      <c r="A86" t="s">
        <v>6</v>
      </c>
      <c r="B86">
        <v>2009</v>
      </c>
      <c r="D86" s="3" t="s">
        <v>40</v>
      </c>
      <c r="E86" t="str" cm="1">
        <f t="array" ref="E86">_xlfn.IFS(D86=policy_name_clustering!$A$2,policy_name_clustering!$C$2,D86=policy_name_clustering!$A$3,policy_name_clustering!$C$3,D86=policy_name_clustering!$A$5,policy_name_clustering!$C$5,D86=policy_name_clustering!$A$6,policy_name_clustering!$C$6,D86=policy_name_clustering!$A$7,policy_name_clustering!$C$7,D86=policy_name_clustering!$A$8,policy_name_clustering!$C$8,D86=policy_name_clustering!$A$9,policy_name_clustering!$C$9,D86=policy_name_clustering!$A$10,policy_name_clustering!$C$10,D86=policy_name_clustering!$A$11,policy_name_clustering!$C$11,D86=policy_name_clustering!$A$12,policy_name_clustering!$C$12,D86=policy_name_clustering!$A$13,policy_name_clustering!$C$13,D86=policy_name_clustering!$A$14,policy_name_clustering!$C$14,D86=policy_name_clustering!$A$15,policy_name_clustering!$C$15,D86=policy_name_clustering!$A$16,policy_name_clustering!$C$16,D86="-","",D86=policy_name_clustering!$A$4,policy_name_clustering!$C$4)</f>
        <v>FiT/FiP-based</v>
      </c>
      <c r="F86">
        <f>policy_contributions_cum!F18</f>
        <v>26019.5960391466</v>
      </c>
      <c r="G86">
        <f>wind_cump_cap!C89</f>
        <v>25732</v>
      </c>
      <c r="H86">
        <f>estimated_capacity!C86</f>
        <v>28189.201254913401</v>
      </c>
      <c r="I86" cm="1">
        <f t="array" ref="I86">_xlfn.IFS(D86= ""," ",D86&lt;&gt; " ",F86*(G86/H86))</f>
        <v>23751.515313425902</v>
      </c>
      <c r="J86" cm="1">
        <f t="array" ref="J86">_xlfn.IFS(D86= ""," ",D86&lt;&gt; " ",(H86-F86)*(G86/H86))</f>
        <v>1980.4846865740983</v>
      </c>
      <c r="K86" cm="1">
        <f t="array" ref="K86">IF(ISNUMBER(H86),_xlfn.IFS(D86= ""," ",D86&lt;&gt; " ",F86*(G86/H86)),"")</f>
        <v>23751.515313425902</v>
      </c>
    </row>
    <row r="87" spans="1:11" x14ac:dyDescent="0.35">
      <c r="A87" t="s">
        <v>6</v>
      </c>
      <c r="B87">
        <v>2010</v>
      </c>
      <c r="D87" s="3" t="s">
        <v>40</v>
      </c>
      <c r="E87" t="str" cm="1">
        <f t="array" ref="E87">_xlfn.IFS(D87=policy_name_clustering!$A$2,policy_name_clustering!$C$2,D87=policy_name_clustering!$A$3,policy_name_clustering!$C$3,D87=policy_name_clustering!$A$5,policy_name_clustering!$C$5,D87=policy_name_clustering!$A$6,policy_name_clustering!$C$6,D87=policy_name_clustering!$A$7,policy_name_clustering!$C$7,D87=policy_name_clustering!$A$8,policy_name_clustering!$C$8,D87=policy_name_clustering!$A$9,policy_name_clustering!$C$9,D87=policy_name_clustering!$A$10,policy_name_clustering!$C$10,D87=policy_name_clustering!$A$11,policy_name_clustering!$C$11,D87=policy_name_clustering!$A$12,policy_name_clustering!$C$12,D87=policy_name_clustering!$A$13,policy_name_clustering!$C$13,D87=policy_name_clustering!$A$14,policy_name_clustering!$C$14,D87=policy_name_clustering!$A$15,policy_name_clustering!$C$15,D87=policy_name_clustering!$A$16,policy_name_clustering!$C$16,D87="-","",D87=policy_name_clustering!$A$4,policy_name_clustering!$C$4)</f>
        <v>FiT/FiP-based</v>
      </c>
      <c r="F87">
        <f>policy_contributions_cum!F19</f>
        <v>28292.1106079944</v>
      </c>
      <c r="G87">
        <f>wind_cump_cap!C90</f>
        <v>26903</v>
      </c>
      <c r="H87">
        <f>estimated_capacity!C87</f>
        <v>30404.198422581099</v>
      </c>
      <c r="I87" cm="1">
        <f t="array" ref="I87">_xlfn.IFS(D87= ""," ",D87&lt;&gt; " ",F87*(G87/H87))</f>
        <v>25034.129862853912</v>
      </c>
      <c r="J87" cm="1">
        <f t="array" ref="J87">_xlfn.IFS(D87= ""," ",D87&lt;&gt; " ",(H87-F87)*(G87/H87))</f>
        <v>1868.8701371460863</v>
      </c>
      <c r="K87" cm="1">
        <f t="array" ref="K87">IF(ISNUMBER(H87),_xlfn.IFS(D87= ""," ",D87&lt;&gt; " ",F87*(G87/H87)),"")</f>
        <v>25034.129862853912</v>
      </c>
    </row>
    <row r="88" spans="1:11" x14ac:dyDescent="0.35">
      <c r="A88" t="s">
        <v>6</v>
      </c>
      <c r="B88">
        <v>2011</v>
      </c>
      <c r="C88" t="s">
        <v>60</v>
      </c>
      <c r="D88" s="3" t="s">
        <v>40</v>
      </c>
      <c r="E88" t="str" cm="1">
        <f t="array" ref="E88">_xlfn.IFS(D88=policy_name_clustering!$A$2,policy_name_clustering!$C$2,D88=policy_name_clustering!$A$3,policy_name_clustering!$C$3,D88=policy_name_clustering!$A$5,policy_name_clustering!$C$5,D88=policy_name_clustering!$A$6,policy_name_clustering!$C$6,D88=policy_name_clustering!$A$7,policy_name_clustering!$C$7,D88=policy_name_clustering!$A$8,policy_name_clustering!$C$8,D88=policy_name_clustering!$A$9,policy_name_clustering!$C$9,D88=policy_name_clustering!$A$10,policy_name_clustering!$C$10,D88=policy_name_clustering!$A$11,policy_name_clustering!$C$11,D88=policy_name_clustering!$A$12,policy_name_clustering!$C$12,D88=policy_name_clustering!$A$13,policy_name_clustering!$C$13,D88=policy_name_clustering!$A$14,policy_name_clustering!$C$14,D88=policy_name_clustering!$A$15,policy_name_clustering!$C$15,D88=policy_name_clustering!$A$16,policy_name_clustering!$C$16,D88="-","",D88=policy_name_clustering!$A$4,policy_name_clustering!$C$4)</f>
        <v>FiT/FiP-based</v>
      </c>
      <c r="F88">
        <f>policy_contributions_cum!F20</f>
        <v>30549.634563157499</v>
      </c>
      <c r="G88">
        <f>wind_cump_cap!C91</f>
        <v>28712</v>
      </c>
      <c r="H88">
        <f>estimated_capacity!C88</f>
        <v>32595.147292744099</v>
      </c>
      <c r="I88" cm="1">
        <f t="array" ref="I88">_xlfn.IFS(D88= ""," ",D88&lt;&gt; " ",F88*(G88/H88))</f>
        <v>26910.174686421364</v>
      </c>
      <c r="J88" cm="1">
        <f t="array" ref="J88">_xlfn.IFS(D88= ""," ",D88&lt;&gt; " ",(H88-F88)*(G88/H88))</f>
        <v>1801.8253135786363</v>
      </c>
      <c r="K88" cm="1">
        <f t="array" ref="K88">IF(ISNUMBER(H88),_xlfn.IFS(D88= ""," ",D88&lt;&gt; " ",F88*(G88/H88)),"")</f>
        <v>26910.174686421364</v>
      </c>
    </row>
    <row r="89" spans="1:11" x14ac:dyDescent="0.35">
      <c r="A89" t="s">
        <v>6</v>
      </c>
      <c r="B89">
        <v>2012</v>
      </c>
      <c r="C89" s="9" t="s">
        <v>61</v>
      </c>
      <c r="D89" s="3" t="s">
        <v>40</v>
      </c>
      <c r="E89" t="str" cm="1">
        <f t="array" ref="E89">_xlfn.IFS(D89=policy_name_clustering!$A$2,policy_name_clustering!$C$2,D89=policy_name_clustering!$A$3,policy_name_clustering!$C$3,D89=policy_name_clustering!$A$5,policy_name_clustering!$C$5,D89=policy_name_clustering!$A$6,policy_name_clustering!$C$6,D89=policy_name_clustering!$A$7,policy_name_clustering!$C$7,D89=policy_name_clustering!$A$8,policy_name_clustering!$C$8,D89=policy_name_clustering!$A$9,policy_name_clustering!$C$9,D89=policy_name_clustering!$A$10,policy_name_clustering!$C$10,D89=policy_name_clustering!$A$11,policy_name_clustering!$C$11,D89=policy_name_clustering!$A$12,policy_name_clustering!$C$12,D89=policy_name_clustering!$A$13,policy_name_clustering!$C$13,D89=policy_name_clustering!$A$14,policy_name_clustering!$C$14,D89=policy_name_clustering!$A$15,policy_name_clustering!$C$15,D89=policy_name_clustering!$A$16,policy_name_clustering!$C$16,D89="-","",D89=policy_name_clustering!$A$4,policy_name_clustering!$C$4)</f>
        <v>FiT/FiP-based</v>
      </c>
      <c r="F89">
        <f>policy_contributions_cum!F21</f>
        <v>33055.909100223798</v>
      </c>
      <c r="G89">
        <f>wind_cump_cap!C92</f>
        <v>30979</v>
      </c>
      <c r="H89">
        <f>estimated_capacity!C89</f>
        <v>35030.937328708802</v>
      </c>
      <c r="I89" cm="1">
        <f t="array" ref="I89">_xlfn.IFS(D89= ""," ",D89&lt;&gt; " ",F89*(G89/H89))</f>
        <v>29232.418145334792</v>
      </c>
      <c r="J89" cm="1">
        <f t="array" ref="J89">_xlfn.IFS(D89= ""," ",D89&lt;&gt; " ",(H89-F89)*(G89/H89))</f>
        <v>1746.5818546652092</v>
      </c>
      <c r="K89" cm="1">
        <f t="array" ref="K89">IF(ISNUMBER(H89),_xlfn.IFS(D89= ""," ",D89&lt;&gt; " ",F89*(G89/H89)),"")</f>
        <v>29232.418145334792</v>
      </c>
    </row>
    <row r="90" spans="1:11" x14ac:dyDescent="0.35">
      <c r="A90" t="s">
        <v>6</v>
      </c>
      <c r="B90">
        <v>2013</v>
      </c>
      <c r="C90" s="9" t="s">
        <v>62</v>
      </c>
      <c r="D90" s="3" t="s">
        <v>40</v>
      </c>
      <c r="E90" t="str" cm="1">
        <f t="array" ref="E90">_xlfn.IFS(D90=policy_name_clustering!$A$2,policy_name_clustering!$C$2,D90=policy_name_clustering!$A$3,policy_name_clustering!$C$3,D90=policy_name_clustering!$A$5,policy_name_clustering!$C$5,D90=policy_name_clustering!$A$6,policy_name_clustering!$C$6,D90=policy_name_clustering!$A$7,policy_name_clustering!$C$7,D90=policy_name_clustering!$A$8,policy_name_clustering!$C$8,D90=policy_name_clustering!$A$9,policy_name_clustering!$C$9,D90=policy_name_clustering!$A$10,policy_name_clustering!$C$10,D90=policy_name_clustering!$A$11,policy_name_clustering!$C$11,D90=policy_name_clustering!$A$12,policy_name_clustering!$C$12,D90=policy_name_clustering!$A$13,policy_name_clustering!$C$13,D90=policy_name_clustering!$A$14,policy_name_clustering!$C$14,D90=policy_name_clustering!$A$15,policy_name_clustering!$C$15,D90=policy_name_clustering!$A$16,policy_name_clustering!$C$16,D90="-","",D90=policy_name_clustering!$A$4,policy_name_clustering!$C$4)</f>
        <v>FiT/FiP-based</v>
      </c>
      <c r="F90">
        <f>policy_contributions_cum!F22</f>
        <v>35392.390032638898</v>
      </c>
      <c r="G90">
        <f>wind_cump_cap!C93</f>
        <v>33477</v>
      </c>
      <c r="H90">
        <f>estimated_capacity!C90</f>
        <v>37289.063901123103</v>
      </c>
      <c r="I90" cm="1">
        <f t="array" ref="I90">_xlfn.IFS(D90= ""," ",D90&lt;&gt; " ",F90*(G90/H90))</f>
        <v>31774.223248521041</v>
      </c>
      <c r="J90" cm="1">
        <f t="array" ref="J90">_xlfn.IFS(D90= ""," ",D90&lt;&gt; " ",(H90-F90)*(G90/H90))</f>
        <v>1702.77675147896</v>
      </c>
      <c r="K90" cm="1">
        <f t="array" ref="K90">IF(ISNUMBER(H90),_xlfn.IFS(D90= ""," ",D90&lt;&gt; " ",F90*(G90/H90)),"")</f>
        <v>31774.223248521041</v>
      </c>
    </row>
    <row r="91" spans="1:11" x14ac:dyDescent="0.35">
      <c r="A91" t="s">
        <v>6</v>
      </c>
      <c r="B91">
        <v>2014</v>
      </c>
      <c r="C91" t="s">
        <v>63</v>
      </c>
      <c r="D91" s="3" t="s">
        <v>40</v>
      </c>
      <c r="E91" t="str" cm="1">
        <f t="array" ref="E91">_xlfn.IFS(D91=policy_name_clustering!$A$2,policy_name_clustering!$C$2,D91=policy_name_clustering!$A$3,policy_name_clustering!$C$3,D91=policy_name_clustering!$A$5,policy_name_clustering!$C$5,D91=policy_name_clustering!$A$6,policy_name_clustering!$C$6,D91=policy_name_clustering!$A$7,policy_name_clustering!$C$7,D91=policy_name_clustering!$A$8,policy_name_clustering!$C$8,D91=policy_name_clustering!$A$9,policy_name_clustering!$C$9,D91=policy_name_clustering!$A$10,policy_name_clustering!$C$10,D91=policy_name_clustering!$A$11,policy_name_clustering!$C$11,D91=policy_name_clustering!$A$12,policy_name_clustering!$C$12,D91=policy_name_clustering!$A$13,policy_name_clustering!$C$13,D91=policy_name_clustering!$A$14,policy_name_clustering!$C$14,D91=policy_name_clustering!$A$15,policy_name_clustering!$C$15,D91=policy_name_clustering!$A$16,policy_name_clustering!$C$16,D91="-","",D91=policy_name_clustering!$A$4,policy_name_clustering!$C$4)</f>
        <v>FiT/FiP-based</v>
      </c>
      <c r="F91">
        <f>policy_contributions_cum!F23</f>
        <v>37831.6554693652</v>
      </c>
      <c r="G91">
        <f>wind_cump_cap!C94</f>
        <v>38614</v>
      </c>
      <c r="H91">
        <f>estimated_capacity!C91</f>
        <v>39646.181041658703</v>
      </c>
      <c r="I91" cm="1">
        <f t="array" ref="I91">_xlfn.IFS(D91= ""," ",D91&lt;&gt; " ",F91*(G91/H91))</f>
        <v>36846.715267709682</v>
      </c>
      <c r="J91" cm="1">
        <f t="array" ref="J91">_xlfn.IFS(D91= ""," ",D91&lt;&gt; " ",(H91-F91)*(G91/H91))</f>
        <v>1767.2847322903197</v>
      </c>
      <c r="K91" cm="1">
        <f t="array" ref="K91">IF(ISNUMBER(H91),_xlfn.IFS(D91= ""," ",D91&lt;&gt; " ",F91*(G91/H91)),"")</f>
        <v>36846.715267709682</v>
      </c>
    </row>
    <row r="92" spans="1:11" x14ac:dyDescent="0.35">
      <c r="A92" t="s">
        <v>6</v>
      </c>
      <c r="B92">
        <v>2015</v>
      </c>
      <c r="C92" t="s">
        <v>64</v>
      </c>
      <c r="D92" s="3" t="s">
        <v>40</v>
      </c>
      <c r="E92" t="str" cm="1">
        <f t="array" ref="E92">_xlfn.IFS(D92=policy_name_clustering!$A$2,policy_name_clustering!$C$2,D92=policy_name_clustering!$A$3,policy_name_clustering!$C$3,D92=policy_name_clustering!$A$5,policy_name_clustering!$C$5,D92=policy_name_clustering!$A$6,policy_name_clustering!$C$6,D92=policy_name_clustering!$A$7,policy_name_clustering!$C$7,D92=policy_name_clustering!$A$8,policy_name_clustering!$C$8,D92=policy_name_clustering!$A$9,policy_name_clustering!$C$9,D92=policy_name_clustering!$A$10,policy_name_clustering!$C$10,D92=policy_name_clustering!$A$11,policy_name_clustering!$C$11,D92=policy_name_clustering!$A$12,policy_name_clustering!$C$12,D92=policy_name_clustering!$A$13,policy_name_clustering!$C$13,D92=policy_name_clustering!$A$14,policy_name_clustering!$C$14,D92=policy_name_clustering!$A$15,policy_name_clustering!$C$15,D92=policy_name_clustering!$A$16,policy_name_clustering!$C$16,D92="-","",D92=policy_name_clustering!$A$4,policy_name_clustering!$C$4)</f>
        <v>FiT/FiP-based</v>
      </c>
      <c r="F92">
        <f>policy_contributions_cum!F24</f>
        <v>40646.365580704303</v>
      </c>
      <c r="G92">
        <f>wind_cump_cap!C95</f>
        <v>44580</v>
      </c>
      <c r="H92">
        <f>estimated_capacity!C92</f>
        <v>42377.280324405503</v>
      </c>
      <c r="I92" cm="1">
        <f t="array" ref="I92">_xlfn.IFS(D92= ""," ",D92&lt;&gt; " ",F92*(G92/H92))</f>
        <v>42759.114405561326</v>
      </c>
      <c r="J92" cm="1">
        <f t="array" ref="J92">_xlfn.IFS(D92= ""," ",D92&lt;&gt; " ",(H92-F92)*(G92/H92))</f>
        <v>1820.8855944386751</v>
      </c>
      <c r="K92" cm="1">
        <f t="array" ref="K92">IF(ISNUMBER(H92),_xlfn.IFS(D92= ""," ",D92&lt;&gt; " ",F92*(G92/H92)),"")</f>
        <v>42759.114405561326</v>
      </c>
    </row>
    <row r="93" spans="1:11" x14ac:dyDescent="0.35">
      <c r="A93" t="s">
        <v>6</v>
      </c>
      <c r="B93">
        <v>2016</v>
      </c>
      <c r="C93" t="s">
        <v>65</v>
      </c>
      <c r="D93" s="3" t="s">
        <v>40</v>
      </c>
      <c r="E93" t="str" cm="1">
        <f t="array" ref="E93">_xlfn.IFS(D93=policy_name_clustering!$A$2,policy_name_clustering!$C$2,D93=policy_name_clustering!$A$3,policy_name_clustering!$C$3,D93=policy_name_clustering!$A$5,policy_name_clustering!$C$5,D93=policy_name_clustering!$A$6,policy_name_clustering!$C$6,D93=policy_name_clustering!$A$7,policy_name_clustering!$C$7,D93=policy_name_clustering!$A$8,policy_name_clustering!$C$8,D93=policy_name_clustering!$A$9,policy_name_clustering!$C$9,D93=policy_name_clustering!$A$10,policy_name_clustering!$C$10,D93=policy_name_clustering!$A$11,policy_name_clustering!$C$11,D93=policy_name_clustering!$A$12,policy_name_clustering!$C$12,D93=policy_name_clustering!$A$13,policy_name_clustering!$C$13,D93=policy_name_clustering!$A$14,policy_name_clustering!$C$14,D93=policy_name_clustering!$A$15,policy_name_clustering!$C$15,D93=policy_name_clustering!$A$16,policy_name_clustering!$C$16,D93="-","",D93=policy_name_clustering!$A$4,policy_name_clustering!$C$4)</f>
        <v>FiT/FiP-based</v>
      </c>
      <c r="F93">
        <f>policy_contributions_cum!F25</f>
        <v>43491.638190702302</v>
      </c>
      <c r="G93">
        <f>wind_cump_cap!C96</f>
        <v>49435</v>
      </c>
      <c r="H93">
        <f>estimated_capacity!C93</f>
        <v>45135.546192907001</v>
      </c>
      <c r="I93" cm="1">
        <f t="array" ref="I93">_xlfn.IFS(D93= ""," ",D93&lt;&gt; " ",F93*(G93/H93))</f>
        <v>47634.499087888296</v>
      </c>
      <c r="J93" cm="1">
        <f t="array" ref="J93">_xlfn.IFS(D93= ""," ",D93&lt;&gt; " ",(H93-F93)*(G93/H93))</f>
        <v>1800.5009121117098</v>
      </c>
      <c r="K93" cm="1">
        <f t="array" ref="K93">IF(ISNUMBER(H93),_xlfn.IFS(D93= ""," ",D93&lt;&gt; " ",F93*(G93/H93)),"")</f>
        <v>47634.499087888296</v>
      </c>
    </row>
    <row r="94" spans="1:11" x14ac:dyDescent="0.35">
      <c r="A94" t="s">
        <v>6</v>
      </c>
      <c r="B94">
        <v>2017</v>
      </c>
      <c r="C94" s="9" t="s">
        <v>66</v>
      </c>
      <c r="D94" s="3" t="s">
        <v>40</v>
      </c>
      <c r="E94" t="str" cm="1">
        <f t="array" ref="E94">_xlfn.IFS(D94=policy_name_clustering!$A$2,policy_name_clustering!$C$2,D94=policy_name_clustering!$A$3,policy_name_clustering!$C$3,D94=policy_name_clustering!$A$5,policy_name_clustering!$C$5,D94=policy_name_clustering!$A$6,policy_name_clustering!$C$6,D94=policy_name_clustering!$A$7,policy_name_clustering!$C$7,D94=policy_name_clustering!$A$8,policy_name_clustering!$C$8,D94=policy_name_clustering!$A$9,policy_name_clustering!$C$9,D94=policy_name_clustering!$A$10,policy_name_clustering!$C$10,D94=policy_name_clustering!$A$11,policy_name_clustering!$C$11,D94=policy_name_clustering!$A$12,policy_name_clustering!$C$12,D94=policy_name_clustering!$A$13,policy_name_clustering!$C$13,D94=policy_name_clustering!$A$14,policy_name_clustering!$C$14,D94=policy_name_clustering!$A$15,policy_name_clustering!$C$15,D94=policy_name_clustering!$A$16,policy_name_clustering!$C$16,D94="-","",D94=policy_name_clustering!$A$4,policy_name_clustering!$C$4)</f>
        <v>FiT/FiP-based</v>
      </c>
      <c r="F94">
        <f>policy_contributions_cum!F26</f>
        <v>46199.475696004098</v>
      </c>
      <c r="G94">
        <f>wind_cump_cap!C97</f>
        <v>55580</v>
      </c>
      <c r="H94">
        <f>estimated_capacity!C94</f>
        <v>47752.942530647699</v>
      </c>
      <c r="I94" cm="1">
        <f t="array" ref="I94">_xlfn.IFS(D94= ""," ",D94&lt;&gt; " ",F94*(G94/H94))</f>
        <v>53771.90855905733</v>
      </c>
      <c r="J94" cm="1">
        <f t="array" ref="J94">_xlfn.IFS(D94= ""," ",D94&lt;&gt; " ",(H94-F94)*(G94/H94))</f>
        <v>1808.0914409426709</v>
      </c>
      <c r="K94" cm="1">
        <f t="array" ref="K94">IF(ISNUMBER(H94),_xlfn.IFS(D94= ""," ",D94&lt;&gt; " ",F94*(G94/H94)),"")</f>
        <v>53771.90855905733</v>
      </c>
    </row>
    <row r="95" spans="1:11" x14ac:dyDescent="0.35">
      <c r="A95" t="s">
        <v>6</v>
      </c>
      <c r="B95">
        <v>2018</v>
      </c>
      <c r="C95" t="s">
        <v>67</v>
      </c>
      <c r="D95" s="3" t="s">
        <v>40</v>
      </c>
      <c r="E95" t="str" cm="1">
        <f t="array" ref="E95">_xlfn.IFS(D95=policy_name_clustering!$A$2,policy_name_clustering!$C$2,D95=policy_name_clustering!$A$3,policy_name_clustering!$C$3,D95=policy_name_clustering!$A$5,policy_name_clustering!$C$5,D95=policy_name_clustering!$A$6,policy_name_clustering!$C$6,D95=policy_name_clustering!$A$7,policy_name_clustering!$C$7,D95=policy_name_clustering!$A$8,policy_name_clustering!$C$8,D95=policy_name_clustering!$A$9,policy_name_clustering!$C$9,D95=policy_name_clustering!$A$10,policy_name_clustering!$C$10,D95=policy_name_clustering!$A$11,policy_name_clustering!$C$11,D95=policy_name_clustering!$A$12,policy_name_clustering!$C$12,D95=policy_name_clustering!$A$13,policy_name_clustering!$C$13,D95=policy_name_clustering!$A$14,policy_name_clustering!$C$14,D95=policy_name_clustering!$A$15,policy_name_clustering!$C$15,D95=policy_name_clustering!$A$16,policy_name_clustering!$C$16,D95="-","",D95=policy_name_clustering!$A$4,policy_name_clustering!$C$4)</f>
        <v>FiT/FiP-based</v>
      </c>
      <c r="F95">
        <f>policy_contributions_cum!F27</f>
        <v>48978.936532527798</v>
      </c>
      <c r="G95">
        <f>wind_cump_cap!C98</f>
        <v>58721</v>
      </c>
      <c r="H95">
        <f>estimated_capacity!C95</f>
        <v>50440.005984493597</v>
      </c>
      <c r="I95" cm="1">
        <f t="array" ref="I95">_xlfn.IFS(D95= ""," ",D95&lt;&gt; " ",F95*(G95/H95))</f>
        <v>57020.059296002881</v>
      </c>
      <c r="J95" cm="1">
        <f t="array" ref="J95">_xlfn.IFS(D95= ""," ",D95&lt;&gt; " ",(H95-F95)*(G95/H95))</f>
        <v>1700.940703997124</v>
      </c>
      <c r="K95" cm="1">
        <f t="array" ref="K95">IF(ISNUMBER(H95),_xlfn.IFS(D95= ""," ",D95&lt;&gt; " ",F95*(G95/H95)),"")</f>
        <v>57020.059296002881</v>
      </c>
    </row>
    <row r="96" spans="1:11" x14ac:dyDescent="0.35">
      <c r="A96" t="s">
        <v>6</v>
      </c>
      <c r="B96">
        <v>2019</v>
      </c>
      <c r="D96" s="12" t="s">
        <v>40</v>
      </c>
      <c r="E96" t="str" cm="1">
        <f t="array" ref="E96">_xlfn.IFS(D96=policy_name_clustering!$A$2,policy_name_clustering!$C$2,D96=policy_name_clustering!$A$3,policy_name_clustering!$C$3,D96=policy_name_clustering!$A$5,policy_name_clustering!$C$5,D96=policy_name_clustering!$A$6,policy_name_clustering!$C$6,D96=policy_name_clustering!$A$7,policy_name_clustering!$C$7,D96=policy_name_clustering!$A$8,policy_name_clustering!$C$8,D96=policy_name_clustering!$A$9,policy_name_clustering!$C$9,D96=policy_name_clustering!$A$10,policy_name_clustering!$C$10,D96=policy_name_clustering!$A$11,policy_name_clustering!$C$11,D96=policy_name_clustering!$A$12,policy_name_clustering!$C$12,D96=policy_name_clustering!$A$13,policy_name_clustering!$C$13,D96=policy_name_clustering!$A$14,policy_name_clustering!$C$14,D96=policy_name_clustering!$A$15,policy_name_clustering!$C$15,D96=policy_name_clustering!$A$16,policy_name_clustering!$C$16,D96="-","",D96=policy_name_clustering!$A$4,policy_name_clustering!$C$4)</f>
        <v>FiT/FiP-based</v>
      </c>
      <c r="I96">
        <f>I95</f>
        <v>57020.059296002881</v>
      </c>
      <c r="K96" t="str" cm="1">
        <f t="array" ref="K96">IF(ISNUMBER(H96),_xlfn.IFS(D96= ""," ",D96&lt;&gt; " ",F96*(G96/H96)),"")</f>
        <v/>
      </c>
    </row>
    <row r="97" spans="1:11" x14ac:dyDescent="0.35">
      <c r="A97" t="s">
        <v>6</v>
      </c>
      <c r="B97">
        <v>2020</v>
      </c>
      <c r="D97" s="12" t="s">
        <v>40</v>
      </c>
      <c r="E97" t="str" cm="1">
        <f t="array" ref="E97">_xlfn.IFS(D97=policy_name_clustering!$A$2,policy_name_clustering!$C$2,D97=policy_name_clustering!$A$3,policy_name_clustering!$C$3,D97=policy_name_clustering!$A$5,policy_name_clustering!$C$5,D97=policy_name_clustering!$A$6,policy_name_clustering!$C$6,D97=policy_name_clustering!$A$7,policy_name_clustering!$C$7,D97=policy_name_clustering!$A$8,policy_name_clustering!$C$8,D97=policy_name_clustering!$A$9,policy_name_clustering!$C$9,D97=policy_name_clustering!$A$10,policy_name_clustering!$C$10,D97=policy_name_clustering!$A$11,policy_name_clustering!$C$11,D97=policy_name_clustering!$A$12,policy_name_clustering!$C$12,D97=policy_name_clustering!$A$13,policy_name_clustering!$C$13,D97=policy_name_clustering!$A$14,policy_name_clustering!$C$14,D97=policy_name_clustering!$A$15,policy_name_clustering!$C$15,D97=policy_name_clustering!$A$16,policy_name_clustering!$C$16,D97="-","",D97=policy_name_clustering!$A$4,policy_name_clustering!$C$4)</f>
        <v>FiT/FiP-based</v>
      </c>
      <c r="I97">
        <f t="shared" ref="I97:I100" si="0">I96</f>
        <v>57020.059296002881</v>
      </c>
      <c r="K97" t="str" cm="1">
        <f t="array" ref="K97">IF(ISNUMBER(H97),_xlfn.IFS(D97= ""," ",D97&lt;&gt; " ",F97*(G97/H97)),"")</f>
        <v/>
      </c>
    </row>
    <row r="98" spans="1:11" x14ac:dyDescent="0.35">
      <c r="A98" t="s">
        <v>6</v>
      </c>
      <c r="B98">
        <v>2021</v>
      </c>
      <c r="D98" s="12" t="s">
        <v>40</v>
      </c>
      <c r="E98" t="str" cm="1">
        <f t="array" ref="E98">_xlfn.IFS(D98=policy_name_clustering!$A$2,policy_name_clustering!$C$2,D98=policy_name_clustering!$A$3,policy_name_clustering!$C$3,D98=policy_name_clustering!$A$5,policy_name_clustering!$C$5,D98=policy_name_clustering!$A$6,policy_name_clustering!$C$6,D98=policy_name_clustering!$A$7,policy_name_clustering!$C$7,D98=policy_name_clustering!$A$8,policy_name_clustering!$C$8,D98=policy_name_clustering!$A$9,policy_name_clustering!$C$9,D98=policy_name_clustering!$A$10,policy_name_clustering!$C$10,D98=policy_name_clustering!$A$11,policy_name_clustering!$C$11,D98=policy_name_clustering!$A$12,policy_name_clustering!$C$12,D98=policy_name_clustering!$A$13,policy_name_clustering!$C$13,D98=policy_name_clustering!$A$14,policy_name_clustering!$C$14,D98=policy_name_clustering!$A$15,policy_name_clustering!$C$15,D98=policy_name_clustering!$A$16,policy_name_clustering!$C$16,D98="-","",D98=policy_name_clustering!$A$4,policy_name_clustering!$C$4)</f>
        <v>FiT/FiP-based</v>
      </c>
      <c r="I98">
        <f t="shared" si="0"/>
        <v>57020.059296002881</v>
      </c>
      <c r="K98" t="str" cm="1">
        <f t="array" ref="K98">IF(ISNUMBER(H98),_xlfn.IFS(D98= ""," ",D98&lt;&gt; " ",F98*(G98/H98)),"")</f>
        <v/>
      </c>
    </row>
    <row r="99" spans="1:11" x14ac:dyDescent="0.35">
      <c r="A99" t="s">
        <v>6</v>
      </c>
      <c r="B99">
        <v>2022</v>
      </c>
      <c r="D99" s="12" t="s">
        <v>40</v>
      </c>
      <c r="E99" t="str" cm="1">
        <f t="array" ref="E99">_xlfn.IFS(D99=policy_name_clustering!$A$2,policy_name_clustering!$C$2,D99=policy_name_clustering!$A$3,policy_name_clustering!$C$3,D99=policy_name_clustering!$A$5,policy_name_clustering!$C$5,D99=policy_name_clustering!$A$6,policy_name_clustering!$C$6,D99=policy_name_clustering!$A$7,policy_name_clustering!$C$7,D99=policy_name_clustering!$A$8,policy_name_clustering!$C$8,D99=policy_name_clustering!$A$9,policy_name_clustering!$C$9,D99=policy_name_clustering!$A$10,policy_name_clustering!$C$10,D99=policy_name_clustering!$A$11,policy_name_clustering!$C$11,D99=policy_name_clustering!$A$12,policy_name_clustering!$C$12,D99=policy_name_clustering!$A$13,policy_name_clustering!$C$13,D99=policy_name_clustering!$A$14,policy_name_clustering!$C$14,D99=policy_name_clustering!$A$15,policy_name_clustering!$C$15,D99=policy_name_clustering!$A$16,policy_name_clustering!$C$16,D99="-","",D99=policy_name_clustering!$A$4,policy_name_clustering!$C$4)</f>
        <v>FiT/FiP-based</v>
      </c>
      <c r="I99">
        <f t="shared" si="0"/>
        <v>57020.059296002881</v>
      </c>
      <c r="K99" t="str" cm="1">
        <f t="array" ref="K99">IF(ISNUMBER(H99),_xlfn.IFS(D99= ""," ",D99&lt;&gt; " ",F99*(G99/H99)),"")</f>
        <v/>
      </c>
    </row>
    <row r="100" spans="1:11" x14ac:dyDescent="0.35">
      <c r="A100" t="s">
        <v>6</v>
      </c>
      <c r="B100">
        <v>2023</v>
      </c>
      <c r="D100" s="12" t="s">
        <v>40</v>
      </c>
      <c r="E100" t="str" cm="1">
        <f t="array" ref="E100">_xlfn.IFS(D100=policy_name_clustering!$A$2,policy_name_clustering!$C$2,D100=policy_name_clustering!$A$3,policy_name_clustering!$C$3,D100=policy_name_clustering!$A$5,policy_name_clustering!$C$5,D100=policy_name_clustering!$A$6,policy_name_clustering!$C$6,D100=policy_name_clustering!$A$7,policy_name_clustering!$C$7,D100=policy_name_clustering!$A$8,policy_name_clustering!$C$8,D100=policy_name_clustering!$A$9,policy_name_clustering!$C$9,D100=policy_name_clustering!$A$10,policy_name_clustering!$C$10,D100=policy_name_clustering!$A$11,policy_name_clustering!$C$11,D100=policy_name_clustering!$A$12,policy_name_clustering!$C$12,D100=policy_name_clustering!$A$13,policy_name_clustering!$C$13,D100=policy_name_clustering!$A$14,policy_name_clustering!$C$14,D100=policy_name_clustering!$A$15,policy_name_clustering!$C$15,D100=policy_name_clustering!$A$16,policy_name_clustering!$C$16,D100="-","",D100=policy_name_clustering!$A$4,policy_name_clustering!$C$4)</f>
        <v>FiT/FiP-based</v>
      </c>
      <c r="I100">
        <f t="shared" si="0"/>
        <v>57020.059296002881</v>
      </c>
      <c r="K100" t="str" cm="1">
        <f t="array" ref="K100">IF(ISNUMBER(H100),_xlfn.IFS(D100= ""," ",D100&lt;&gt; " ",F100*(G100/H100)),"")</f>
        <v/>
      </c>
    </row>
    <row r="101" spans="1:11" x14ac:dyDescent="0.35">
      <c r="A101" t="s">
        <v>6</v>
      </c>
      <c r="B101">
        <v>2019</v>
      </c>
      <c r="D101" s="12" t="s">
        <v>157</v>
      </c>
      <c r="E101" t="str" cm="1">
        <f t="array" ref="E101">_xlfn.IFS(D101=policy_name_clustering!$A$2,policy_name_clustering!$C$2,D101=policy_name_clustering!$A$3,policy_name_clustering!$C$3,D101=policy_name_clustering!$A$5,policy_name_clustering!$C$5,D101=policy_name_clustering!$A$6,policy_name_clustering!$C$6,D101=policy_name_clustering!$A$7,policy_name_clustering!$C$7,D101=policy_name_clustering!$A$8,policy_name_clustering!$C$8,D101=policy_name_clustering!$A$9,policy_name_clustering!$C$9,D101=policy_name_clustering!$A$10,policy_name_clustering!$C$10,D101=policy_name_clustering!$A$11,policy_name_clustering!$C$11,D101=policy_name_clustering!$A$12,policy_name_clustering!$C$12,D101=policy_name_clustering!$A$13,policy_name_clustering!$C$13,D101=policy_name_clustering!$A$14,policy_name_clustering!$C$14,D101=policy_name_clustering!$A$15,policy_name_clustering!$C$15,D101=policy_name_clustering!$A$16,policy_name_clustering!$C$16,D101="-","",D101=policy_name_clustering!$A$4,policy_name_clustering!$C$4)</f>
        <v>Tender-based</v>
      </c>
      <c r="F101">
        <f>policy_contributions_cum!F28</f>
        <v>52064.968057368103</v>
      </c>
      <c r="G101">
        <f>wind_cump_cap!C99</f>
        <v>60742</v>
      </c>
      <c r="H101">
        <f>estimated_capacity!C96</f>
        <v>53432.6426124766</v>
      </c>
      <c r="I101" cm="1">
        <f t="array" ref="I101">_xlfn.IFS(D101= ""," ",D101&lt;&gt; " ",F101*(G101/H101)-$I$95)</f>
        <v>2167.1741088109411</v>
      </c>
      <c r="J101" cm="1">
        <f t="array" ref="J101">_xlfn.IFS(D101= ""," ",D101&lt;&gt; " ",(H101-F101)*(G101/H101))</f>
        <v>1554.7665951861816</v>
      </c>
      <c r="K101" cm="1">
        <f t="array" ref="K101">IF(ISNUMBER(H101),_xlfn.IFS(D101= ""," ",D101&lt;&gt; " ",F101*(G101/H101)),"")</f>
        <v>59187.233404813822</v>
      </c>
    </row>
    <row r="102" spans="1:11" x14ac:dyDescent="0.35">
      <c r="A102" t="s">
        <v>6</v>
      </c>
      <c r="B102">
        <v>2020</v>
      </c>
      <c r="D102" s="12" t="s">
        <v>157</v>
      </c>
      <c r="E102" t="str" cm="1">
        <f t="array" ref="E102">_xlfn.IFS(D102=policy_name_clustering!$A$2,policy_name_clustering!$C$2,D102=policy_name_clustering!$A$3,policy_name_clustering!$C$3,D102=policy_name_clustering!$A$5,policy_name_clustering!$C$5,D102=policy_name_clustering!$A$6,policy_name_clustering!$C$6,D102=policy_name_clustering!$A$7,policy_name_clustering!$C$7,D102=policy_name_clustering!$A$8,policy_name_clustering!$C$8,D102=policy_name_clustering!$A$9,policy_name_clustering!$C$9,D102=policy_name_clustering!$A$10,policy_name_clustering!$C$10,D102=policy_name_clustering!$A$11,policy_name_clustering!$C$11,D102=policy_name_clustering!$A$12,policy_name_clustering!$C$12,D102=policy_name_clustering!$A$13,policy_name_clustering!$C$13,D102=policy_name_clustering!$A$14,policy_name_clustering!$C$14,D102=policy_name_clustering!$A$15,policy_name_clustering!$C$15,D102=policy_name_clustering!$A$16,policy_name_clustering!$C$16,D102="-","",D102=policy_name_clustering!$A$4,policy_name_clustering!$C$4)</f>
        <v>Tender-based</v>
      </c>
      <c r="F102">
        <f>policy_contributions_cum!F29</f>
        <v>55638.659172274398</v>
      </c>
      <c r="G102">
        <f>wind_cump_cap!C100</f>
        <v>62201</v>
      </c>
      <c r="H102">
        <f>estimated_capacity!C97</f>
        <v>56912.3613627675</v>
      </c>
      <c r="I102" cm="1">
        <f t="array" ref="I102">_xlfn.IFS(D102= ""," ",D102&lt;&gt; " ",F102*(G102/H102)-$I$95)</f>
        <v>3788.8784515478401</v>
      </c>
      <c r="J102" cm="1">
        <f t="array" ref="J102">_xlfn.IFS(D102= ""," ",D102&lt;&gt; " ",(H102-F102)*(G102/H102))</f>
        <v>1392.0622524492794</v>
      </c>
      <c r="K102" cm="1">
        <f t="array" ref="K102">IF(ISNUMBER(H102),_xlfn.IFS(D102= ""," ",D102&lt;&gt; " ",F102*(G102/H102)),"")</f>
        <v>60808.937747550721</v>
      </c>
    </row>
    <row r="103" spans="1:11" x14ac:dyDescent="0.35">
      <c r="A103" t="s">
        <v>6</v>
      </c>
      <c r="B103">
        <v>2021</v>
      </c>
      <c r="D103" s="12" t="s">
        <v>157</v>
      </c>
      <c r="E103" t="str" cm="1">
        <f t="array" ref="E103">_xlfn.IFS(D103=policy_name_clustering!$A$2,policy_name_clustering!$C$2,D103=policy_name_clustering!$A$3,policy_name_clustering!$C$3,D103=policy_name_clustering!$A$5,policy_name_clustering!$C$5,D103=policy_name_clustering!$A$6,policy_name_clustering!$C$6,D103=policy_name_clustering!$A$7,policy_name_clustering!$C$7,D103=policy_name_clustering!$A$8,policy_name_clustering!$C$8,D103=policy_name_clustering!$A$9,policy_name_clustering!$C$9,D103=policy_name_clustering!$A$10,policy_name_clustering!$C$10,D103=policy_name_clustering!$A$11,policy_name_clustering!$C$11,D103=policy_name_clustering!$A$12,policy_name_clustering!$C$12,D103=policy_name_clustering!$A$13,policy_name_clustering!$C$13,D103=policy_name_clustering!$A$14,policy_name_clustering!$C$14,D103=policy_name_clustering!$A$15,policy_name_clustering!$C$15,D103=policy_name_clustering!$A$16,policy_name_clustering!$C$16,D103="-","",D103=policy_name_clustering!$A$4,policy_name_clustering!$C$4)</f>
        <v>Tender-based</v>
      </c>
      <c r="F103">
        <f>policy_contributions_cum!F30</f>
        <v>59283.282485420597</v>
      </c>
      <c r="G103">
        <f>wind_cump_cap!C101</f>
        <v>63711</v>
      </c>
      <c r="H103">
        <f>estimated_capacity!C98</f>
        <v>60461.6441592146</v>
      </c>
      <c r="I103" cm="1">
        <f t="array" ref="I103">_xlfn.IFS(D103= ""," ",D103&lt;&gt; " ",F103*(G103/H103)-$I$95)</f>
        <v>5449.2510072797377</v>
      </c>
      <c r="J103" cm="1">
        <f t="array" ref="J103">_xlfn.IFS(D103= ""," ",D103&lt;&gt; " ",(H103-F103)*(G103/H103))</f>
        <v>1241.6896967173866</v>
      </c>
      <c r="K103" cm="1">
        <f t="array" ref="K103">IF(ISNUMBER(H103),_xlfn.IFS(D103= ""," ",D103&lt;&gt; " ",F103*(G103/H103)),"")</f>
        <v>62469.310303282618</v>
      </c>
    </row>
    <row r="104" spans="1:11" x14ac:dyDescent="0.35">
      <c r="A104" t="s">
        <v>6</v>
      </c>
      <c r="B104">
        <v>2022</v>
      </c>
      <c r="D104" s="12" t="s">
        <v>157</v>
      </c>
      <c r="E104" t="str" cm="1">
        <f t="array" ref="E104">_xlfn.IFS(D104=policy_name_clustering!$A$2,policy_name_clustering!$C$2,D104=policy_name_clustering!$A$3,policy_name_clustering!$C$3,D104=policy_name_clustering!$A$5,policy_name_clustering!$C$5,D104=policy_name_clustering!$A$6,policy_name_clustering!$C$6,D104=policy_name_clustering!$A$7,policy_name_clustering!$C$7,D104=policy_name_clustering!$A$8,policy_name_clustering!$C$8,D104=policy_name_clustering!$A$9,policy_name_clustering!$C$9,D104=policy_name_clustering!$A$10,policy_name_clustering!$C$10,D104=policy_name_clustering!$A$11,policy_name_clustering!$C$11,D104=policy_name_clustering!$A$12,policy_name_clustering!$C$12,D104=policy_name_clustering!$A$13,policy_name_clustering!$C$13,D104=policy_name_clustering!$A$14,policy_name_clustering!$C$14,D104=policy_name_clustering!$A$15,policy_name_clustering!$C$15,D104=policy_name_clustering!$A$16,policy_name_clustering!$C$16,D104="-","",D104=policy_name_clustering!$A$4,policy_name_clustering!$C$4)</f>
        <v>Tender-based</v>
      </c>
      <c r="F104">
        <f>policy_contributions_cum!F31</f>
        <v>62736.198718215601</v>
      </c>
      <c r="G104">
        <f>wind_cump_cap!C102</f>
        <v>66202</v>
      </c>
      <c r="H104">
        <f>estimated_capacity!C99</f>
        <v>63817.7441616039</v>
      </c>
      <c r="I104" cm="1">
        <f t="array" ref="I104">_xlfn.IFS(D104= ""," ",D104&lt;&gt; " ",F104*(G104/H104)-$I$95)</f>
        <v>8059.9883005733864</v>
      </c>
      <c r="J104" cm="1">
        <f t="array" ref="J104">_xlfn.IFS(D104= ""," ",D104&lt;&gt; " ",(H104-F104)*(G104/H104))</f>
        <v>1121.952403423729</v>
      </c>
      <c r="K104" cm="1">
        <f t="array" ref="K104">IF(ISNUMBER(H104),_xlfn.IFS(D104= ""," ",D104&lt;&gt; " ",F104*(G104/H104)),"")</f>
        <v>65080.047596576267</v>
      </c>
    </row>
    <row r="105" spans="1:11" x14ac:dyDescent="0.35">
      <c r="A105" t="s">
        <v>6</v>
      </c>
      <c r="B105">
        <v>2023</v>
      </c>
      <c r="D105" s="12" t="s">
        <v>157</v>
      </c>
      <c r="E105" t="str" cm="1">
        <f t="array" ref="E105">_xlfn.IFS(D105=policy_name_clustering!$A$2,policy_name_clustering!$C$2,D105=policy_name_clustering!$A$3,policy_name_clustering!$C$3,D105=policy_name_clustering!$A$5,policy_name_clustering!$C$5,D105=policy_name_clustering!$A$6,policy_name_clustering!$C$6,D105=policy_name_clustering!$A$7,policy_name_clustering!$C$7,D105=policy_name_clustering!$A$8,policy_name_clustering!$C$8,D105=policy_name_clustering!$A$9,policy_name_clustering!$C$9,D105=policy_name_clustering!$A$10,policy_name_clustering!$C$10,D105=policy_name_clustering!$A$11,policy_name_clustering!$C$11,D105=policy_name_clustering!$A$12,policy_name_clustering!$C$12,D105=policy_name_clustering!$A$13,policy_name_clustering!$C$13,D105=policy_name_clustering!$A$14,policy_name_clustering!$C$14,D105=policy_name_clustering!$A$15,policy_name_clustering!$C$15,D105=policy_name_clustering!$A$16,policy_name_clustering!$C$16,D105="-","",D105=policy_name_clustering!$A$4,policy_name_clustering!$C$4)</f>
        <v>Tender-based</v>
      </c>
      <c r="F105">
        <f>policy_contributions_cum!F32</f>
        <v>66389.682575652303</v>
      </c>
      <c r="G105">
        <f>wind_cump_cap!C103</f>
        <v>69486</v>
      </c>
      <c r="H105">
        <f>estimated_capacity!C100</f>
        <v>67373.7052671805</v>
      </c>
      <c r="I105" cm="1">
        <f t="array" ref="I105">_xlfn.IFS(D105= ""," ",D105&lt;&gt; " ",F105*(G105/H105)-$I$95)</f>
        <v>11451.067015925881</v>
      </c>
      <c r="J105" cm="1">
        <f t="array" ref="J105">_xlfn.IFS(D105= ""," ",D105&lt;&gt; " ",(H105-F105)*(G105/H105))</f>
        <v>1014.8736880712407</v>
      </c>
      <c r="K105" cm="1">
        <f t="array" ref="K105">IF(ISNUMBER(H105),_xlfn.IFS(D105= ""," ",D105&lt;&gt; " ",F105*(G105/H105)),"")</f>
        <v>68471.126311928761</v>
      </c>
    </row>
    <row r="106" spans="1:11" x14ac:dyDescent="0.35">
      <c r="A106" t="s">
        <v>20</v>
      </c>
      <c r="B106">
        <v>1991</v>
      </c>
      <c r="D106" s="12" t="s">
        <v>137</v>
      </c>
      <c r="E106" t="str" cm="1">
        <f t="array" ref="E106">_xlfn.IFS(D106=policy_name_clustering!$A$2,policy_name_clustering!$C$2,D106=policy_name_clustering!$A$3,policy_name_clustering!$C$3,D106=policy_name_clustering!$A$5,policy_name_clustering!$C$5,D106=policy_name_clustering!$A$6,policy_name_clustering!$C$6,D106=policy_name_clustering!$A$7,policy_name_clustering!$C$7,D106=policy_name_clustering!$A$8,policy_name_clustering!$C$8,D106=policy_name_clustering!$A$9,policy_name_clustering!$C$9,D106=policy_name_clustering!$A$10,policy_name_clustering!$C$10,D106=policy_name_clustering!$A$11,policy_name_clustering!$C$11,D106=policy_name_clustering!$A$12,policy_name_clustering!$C$12,D106=policy_name_clustering!$A$13,policy_name_clustering!$C$13,D106=policy_name_clustering!$A$14,policy_name_clustering!$C$14,D106=policy_name_clustering!$A$15,policy_name_clustering!$C$15,D106=policy_name_clustering!$A$16,policy_name_clustering!$C$16,D106="-","",D106=policy_name_clustering!$A$4,policy_name_clustering!$C$4)</f>
        <v/>
      </c>
      <c r="G106">
        <f>wind_cump_cap!C105</f>
        <v>392.85899999999998</v>
      </c>
      <c r="H106">
        <f>estimated_capacity!C101</f>
        <v>102.89493763413</v>
      </c>
      <c r="I106" cm="1">
        <f t="array" ref="I106">_xlfn.IFS(D106= ""," ",D106&lt;&gt; " ",F106*(G106/H106))</f>
        <v>0</v>
      </c>
      <c r="J106" cm="1">
        <f t="array" ref="J106">_xlfn.IFS(D106= ""," ",D106&lt;&gt; " ",(H106-F106)*(G106/H106))</f>
        <v>392.85899999999998</v>
      </c>
      <c r="K106" cm="1">
        <f t="array" ref="K106">IF(ISNUMBER(H106),_xlfn.IFS(D106= ""," ",D106&lt;&gt; " ",F106*(G106/H106)),"")</f>
        <v>0</v>
      </c>
    </row>
    <row r="107" spans="1:11" x14ac:dyDescent="0.35">
      <c r="A107" t="s">
        <v>20</v>
      </c>
      <c r="B107">
        <v>1992</v>
      </c>
      <c r="D107" s="12" t="s">
        <v>137</v>
      </c>
      <c r="E107" t="str" cm="1">
        <f t="array" ref="E107">_xlfn.IFS(D107=policy_name_clustering!$A$2,policy_name_clustering!$C$2,D107=policy_name_clustering!$A$3,policy_name_clustering!$C$3,D107=policy_name_clustering!$A$5,policy_name_clustering!$C$5,D107=policy_name_clustering!$A$6,policy_name_clustering!$C$6,D107=policy_name_clustering!$A$7,policy_name_clustering!$C$7,D107=policy_name_clustering!$A$8,policy_name_clustering!$C$8,D107=policy_name_clustering!$A$9,policy_name_clustering!$C$9,D107=policy_name_clustering!$A$10,policy_name_clustering!$C$10,D107=policy_name_clustering!$A$11,policy_name_clustering!$C$11,D107=policy_name_clustering!$A$12,policy_name_clustering!$C$12,D107=policy_name_clustering!$A$13,policy_name_clustering!$C$13,D107=policy_name_clustering!$A$14,policy_name_clustering!$C$14,D107=policy_name_clustering!$A$15,policy_name_clustering!$C$15,D107=policy_name_clustering!$A$16,policy_name_clustering!$C$16,D107="-","",D107=policy_name_clustering!$A$4,policy_name_clustering!$C$4)</f>
        <v/>
      </c>
      <c r="G107">
        <f>wind_cump_cap!C106</f>
        <v>435.94900000000001</v>
      </c>
      <c r="H107">
        <f>estimated_capacity!C102</f>
        <v>210.86781492253201</v>
      </c>
      <c r="I107" cm="1">
        <f t="array" ref="I107">_xlfn.IFS(D107= ""," ",D107&lt;&gt; " ",F107*(G107/H107))</f>
        <v>0</v>
      </c>
      <c r="J107" cm="1">
        <f t="array" ref="J107">_xlfn.IFS(D107= ""," ",D107&lt;&gt; " ",(H107-F107)*(G107/H107))</f>
        <v>435.94899999999996</v>
      </c>
      <c r="K107" cm="1">
        <f t="array" ref="K107">IF(ISNUMBER(H107),_xlfn.IFS(D107= ""," ",D107&lt;&gt; " ",F107*(G107/H107)),"")</f>
        <v>0</v>
      </c>
    </row>
    <row r="108" spans="1:11" x14ac:dyDescent="0.35">
      <c r="A108" t="s">
        <v>20</v>
      </c>
      <c r="B108">
        <v>1993</v>
      </c>
      <c r="D108" s="12" t="s">
        <v>137</v>
      </c>
      <c r="E108" t="str" cm="1">
        <f t="array" ref="E108">_xlfn.IFS(D108=policy_name_clustering!$A$2,policy_name_clustering!$C$2,D108=policy_name_clustering!$A$3,policy_name_clustering!$C$3,D108=policy_name_clustering!$A$5,policy_name_clustering!$C$5,D108=policy_name_clustering!$A$6,policy_name_clustering!$C$6,D108=policy_name_clustering!$A$7,policy_name_clustering!$C$7,D108=policy_name_clustering!$A$8,policy_name_clustering!$C$8,D108=policy_name_clustering!$A$9,policy_name_clustering!$C$9,D108=policy_name_clustering!$A$10,policy_name_clustering!$C$10,D108=policy_name_clustering!$A$11,policy_name_clustering!$C$11,D108=policy_name_clustering!$A$12,policy_name_clustering!$C$12,D108=policy_name_clustering!$A$13,policy_name_clustering!$C$13,D108=policy_name_clustering!$A$14,policy_name_clustering!$C$14,D108=policy_name_clustering!$A$15,policy_name_clustering!$C$15,D108=policy_name_clustering!$A$16,policy_name_clustering!$C$16,D108="-","",D108=policy_name_clustering!$A$4,policy_name_clustering!$C$4)</f>
        <v/>
      </c>
      <c r="G108">
        <f>wind_cump_cap!C107</f>
        <v>468.09899999999999</v>
      </c>
      <c r="H108">
        <f>estimated_capacity!C103</f>
        <v>335.83896826800202</v>
      </c>
      <c r="I108" cm="1">
        <f t="array" ref="I108">_xlfn.IFS(D108= ""," ",D108&lt;&gt; " ",F108*(G108/H108))</f>
        <v>0</v>
      </c>
      <c r="J108" cm="1">
        <f t="array" ref="J108">_xlfn.IFS(D108= ""," ",D108&lt;&gt; " ",(H108-F108)*(G108/H108))</f>
        <v>468.09899999999999</v>
      </c>
      <c r="K108" cm="1">
        <f t="array" ref="K108">IF(ISNUMBER(H108),_xlfn.IFS(D108= ""," ",D108&lt;&gt; " ",F108*(G108/H108)),"")</f>
        <v>0</v>
      </c>
    </row>
    <row r="109" spans="1:11" x14ac:dyDescent="0.35">
      <c r="A109" t="s">
        <v>20</v>
      </c>
      <c r="B109">
        <v>1994</v>
      </c>
      <c r="D109" s="12" t="s">
        <v>137</v>
      </c>
      <c r="E109" t="str" cm="1">
        <f t="array" ref="E109">_xlfn.IFS(D109=policy_name_clustering!$A$2,policy_name_clustering!$C$2,D109=policy_name_clustering!$A$3,policy_name_clustering!$C$3,D109=policy_name_clustering!$A$5,policy_name_clustering!$C$5,D109=policy_name_clustering!$A$6,policy_name_clustering!$C$6,D109=policy_name_clustering!$A$7,policy_name_clustering!$C$7,D109=policy_name_clustering!$A$8,policy_name_clustering!$C$8,D109=policy_name_clustering!$A$9,policy_name_clustering!$C$9,D109=policy_name_clustering!$A$10,policy_name_clustering!$C$10,D109=policy_name_clustering!$A$11,policy_name_clustering!$C$11,D109=policy_name_clustering!$A$12,policy_name_clustering!$C$12,D109=policy_name_clustering!$A$13,policy_name_clustering!$C$13,D109=policy_name_clustering!$A$14,policy_name_clustering!$C$14,D109=policy_name_clustering!$A$15,policy_name_clustering!$C$15,D109=policy_name_clustering!$A$16,policy_name_clustering!$C$16,D109="-","",D109=policy_name_clustering!$A$4,policy_name_clustering!$C$4)</f>
        <v/>
      </c>
      <c r="G109">
        <f>wind_cump_cap!C108</f>
        <v>521.23699999999997</v>
      </c>
      <c r="H109">
        <f>estimated_capacity!C104</f>
        <v>469.04973415710799</v>
      </c>
      <c r="I109" cm="1">
        <f t="array" ref="I109">_xlfn.IFS(D109= ""," ",D109&lt;&gt; " ",F109*(G109/H109))</f>
        <v>0</v>
      </c>
      <c r="J109" cm="1">
        <f t="array" ref="J109">_xlfn.IFS(D109= ""," ",D109&lt;&gt; " ",(H109-F109)*(G109/H109))</f>
        <v>521.23699999999997</v>
      </c>
      <c r="K109" cm="1">
        <f t="array" ref="K109">IF(ISNUMBER(H109),_xlfn.IFS(D109= ""," ",D109&lt;&gt; " ",F109*(G109/H109)),"")</f>
        <v>0</v>
      </c>
    </row>
    <row r="110" spans="1:11" x14ac:dyDescent="0.35">
      <c r="A110" t="s">
        <v>20</v>
      </c>
      <c r="B110">
        <v>1995</v>
      </c>
      <c r="D110" s="12" t="s">
        <v>137</v>
      </c>
      <c r="E110" t="str" cm="1">
        <f t="array" ref="E110">_xlfn.IFS(D110=policy_name_clustering!$A$2,policy_name_clustering!$C$2,D110=policy_name_clustering!$A$3,policy_name_clustering!$C$3,D110=policy_name_clustering!$A$5,policy_name_clustering!$C$5,D110=policy_name_clustering!$A$6,policy_name_clustering!$C$6,D110=policy_name_clustering!$A$7,policy_name_clustering!$C$7,D110=policy_name_clustering!$A$8,policy_name_clustering!$C$8,D110=policy_name_clustering!$A$9,policy_name_clustering!$C$9,D110=policy_name_clustering!$A$10,policy_name_clustering!$C$10,D110=policy_name_clustering!$A$11,policy_name_clustering!$C$11,D110=policy_name_clustering!$A$12,policy_name_clustering!$C$12,D110=policy_name_clustering!$A$13,policy_name_clustering!$C$13,D110=policy_name_clustering!$A$14,policy_name_clustering!$C$14,D110=policy_name_clustering!$A$15,policy_name_clustering!$C$15,D110=policy_name_clustering!$A$16,policy_name_clustering!$C$16,D110="-","",D110=policy_name_clustering!$A$4,policy_name_clustering!$C$4)</f>
        <v/>
      </c>
      <c r="G110">
        <f>wind_cump_cap!C109</f>
        <v>599.49900000000002</v>
      </c>
      <c r="H110">
        <f>estimated_capacity!C105</f>
        <v>626.645289397086</v>
      </c>
      <c r="I110" cm="1">
        <f t="array" ref="I110">_xlfn.IFS(D110= ""," ",D110&lt;&gt; " ",F110*(G110/H110))</f>
        <v>0</v>
      </c>
      <c r="J110" cm="1">
        <f t="array" ref="J110">_xlfn.IFS(D110= ""," ",D110&lt;&gt; " ",(H110-F110)*(G110/H110))</f>
        <v>599.49900000000002</v>
      </c>
      <c r="K110" cm="1">
        <f t="array" ref="K110">IF(ISNUMBER(H110),_xlfn.IFS(D110= ""," ",D110&lt;&gt; " ",F110*(G110/H110)),"")</f>
        <v>0</v>
      </c>
    </row>
    <row r="111" spans="1:11" x14ac:dyDescent="0.35">
      <c r="A111" t="s">
        <v>20</v>
      </c>
      <c r="B111">
        <v>1996</v>
      </c>
      <c r="D111" s="12" t="s">
        <v>137</v>
      </c>
      <c r="E111" t="str" cm="1">
        <f t="array" ref="E111">_xlfn.IFS(D111=policy_name_clustering!$A$2,policy_name_clustering!$C$2,D111=policy_name_clustering!$A$3,policy_name_clustering!$C$3,D111=policy_name_clustering!$A$5,policy_name_clustering!$C$5,D111=policy_name_clustering!$A$6,policy_name_clustering!$C$6,D111=policy_name_clustering!$A$7,policy_name_clustering!$C$7,D111=policy_name_clustering!$A$8,policy_name_clustering!$C$8,D111=policy_name_clustering!$A$9,policy_name_clustering!$C$9,D111=policy_name_clustering!$A$10,policy_name_clustering!$C$10,D111=policy_name_clustering!$A$11,policy_name_clustering!$C$11,D111=policy_name_clustering!$A$12,policy_name_clustering!$C$12,D111=policy_name_clustering!$A$13,policy_name_clustering!$C$13,D111=policy_name_clustering!$A$14,policy_name_clustering!$C$14,D111=policy_name_clustering!$A$15,policy_name_clustering!$C$15,D111=policy_name_clustering!$A$16,policy_name_clustering!$C$16,D111="-","",D111=policy_name_clustering!$A$4,policy_name_clustering!$C$4)</f>
        <v/>
      </c>
      <c r="G111">
        <f>wind_cump_cap!C110</f>
        <v>814.221</v>
      </c>
      <c r="H111">
        <f>estimated_capacity!C106</f>
        <v>806.22155083572602</v>
      </c>
      <c r="I111" cm="1">
        <f t="array" ref="I111">_xlfn.IFS(D111= ""," ",D111&lt;&gt; " ",F111*(G111/H111))</f>
        <v>0</v>
      </c>
      <c r="J111" cm="1">
        <f t="array" ref="J111">_xlfn.IFS(D111= ""," ",D111&lt;&gt; " ",(H111-F111)*(G111/H111))</f>
        <v>814.221</v>
      </c>
      <c r="K111" cm="1">
        <f t="array" ref="K111">IF(ISNUMBER(H111),_xlfn.IFS(D111= ""," ",D111&lt;&gt; " ",F111*(G111/H111)),"")</f>
        <v>0</v>
      </c>
    </row>
    <row r="112" spans="1:11" x14ac:dyDescent="0.35">
      <c r="A112" t="s">
        <v>20</v>
      </c>
      <c r="B112">
        <v>1997</v>
      </c>
      <c r="D112" s="12" t="s">
        <v>137</v>
      </c>
      <c r="E112" t="str" cm="1">
        <f t="array" ref="E112">_xlfn.IFS(D112=policy_name_clustering!$A$2,policy_name_clustering!$C$2,D112=policy_name_clustering!$A$3,policy_name_clustering!$C$3,D112=policy_name_clustering!$A$5,policy_name_clustering!$C$5,D112=policy_name_clustering!$A$6,policy_name_clustering!$C$6,D112=policy_name_clustering!$A$7,policy_name_clustering!$C$7,D112=policy_name_clustering!$A$8,policy_name_clustering!$C$8,D112=policy_name_clustering!$A$9,policy_name_clustering!$C$9,D112=policy_name_clustering!$A$10,policy_name_clustering!$C$10,D112=policy_name_clustering!$A$11,policy_name_clustering!$C$11,D112=policy_name_clustering!$A$12,policy_name_clustering!$C$12,D112=policy_name_clustering!$A$13,policy_name_clustering!$C$13,D112=policy_name_clustering!$A$14,policy_name_clustering!$C$14,D112=policy_name_clustering!$A$15,policy_name_clustering!$C$15,D112=policy_name_clustering!$A$16,policy_name_clustering!$C$16,D112="-","",D112=policy_name_clustering!$A$4,policy_name_clustering!$C$4)</f>
        <v/>
      </c>
      <c r="G112">
        <f>wind_cump_cap!C111</f>
        <v>1123.347</v>
      </c>
      <c r="H112">
        <f>estimated_capacity!C107</f>
        <v>1015.0240406087599</v>
      </c>
      <c r="I112" cm="1">
        <f t="array" ref="I112">_xlfn.IFS(D112= ""," ",D112&lt;&gt; " ",F112*(G112/H112))</f>
        <v>0</v>
      </c>
      <c r="J112" cm="1">
        <f t="array" ref="J112">_xlfn.IFS(D112= ""," ",D112&lt;&gt; " ",(H112-F112)*(G112/H112))</f>
        <v>1123.347</v>
      </c>
      <c r="K112" cm="1">
        <f t="array" ref="K112">IF(ISNUMBER(H112),_xlfn.IFS(D112= ""," ",D112&lt;&gt; " ",F112*(G112/H112)),"")</f>
        <v>0</v>
      </c>
    </row>
    <row r="113" spans="1:11" x14ac:dyDescent="0.35">
      <c r="A113" t="s">
        <v>20</v>
      </c>
      <c r="B113">
        <v>1998</v>
      </c>
      <c r="D113" s="12" t="s">
        <v>137</v>
      </c>
      <c r="E113" t="str" cm="1">
        <f t="array" ref="E113">_xlfn.IFS(D113=policy_name_clustering!$A$2,policy_name_clustering!$C$2,D113=policy_name_clustering!$A$3,policy_name_clustering!$C$3,D113=policy_name_clustering!$A$5,policy_name_clustering!$C$5,D113=policy_name_clustering!$A$6,policy_name_clustering!$C$6,D113=policy_name_clustering!$A$7,policy_name_clustering!$C$7,D113=policy_name_clustering!$A$8,policy_name_clustering!$C$8,D113=policy_name_clustering!$A$9,policy_name_clustering!$C$9,D113=policy_name_clustering!$A$10,policy_name_clustering!$C$10,D113=policy_name_clustering!$A$11,policy_name_clustering!$C$11,D113=policy_name_clustering!$A$12,policy_name_clustering!$C$12,D113=policy_name_clustering!$A$13,policy_name_clustering!$C$13,D113=policy_name_clustering!$A$14,policy_name_clustering!$C$14,D113=policy_name_clustering!$A$15,policy_name_clustering!$C$15,D113=policy_name_clustering!$A$16,policy_name_clustering!$C$16,D113="-","",D113=policy_name_clustering!$A$4,policy_name_clustering!$C$4)</f>
        <v/>
      </c>
      <c r="G113">
        <f>wind_cump_cap!C112</f>
        <v>1438.482</v>
      </c>
      <c r="H113">
        <f>estimated_capacity!C108</f>
        <v>1234.1073585397701</v>
      </c>
      <c r="I113" cm="1">
        <f t="array" ref="I113">_xlfn.IFS(D113= ""," ",D113&lt;&gt; " ",F113*(G113/H113))</f>
        <v>0</v>
      </c>
      <c r="J113" cm="1">
        <f t="array" ref="J113">_xlfn.IFS(D113= ""," ",D113&lt;&gt; " ",(H113-F113)*(G113/H113))</f>
        <v>1438.482</v>
      </c>
      <c r="K113" cm="1">
        <f t="array" ref="K113">IF(ISNUMBER(H113),_xlfn.IFS(D113= ""," ",D113&lt;&gt; " ",F113*(G113/H113)),"")</f>
        <v>0</v>
      </c>
    </row>
    <row r="114" spans="1:11" x14ac:dyDescent="0.35">
      <c r="A114" t="s">
        <v>20</v>
      </c>
      <c r="B114">
        <v>1999</v>
      </c>
      <c r="D114" s="12" t="s">
        <v>137</v>
      </c>
      <c r="E114" t="str" cm="1">
        <f t="array" ref="E114">_xlfn.IFS(D114=policy_name_clustering!$A$2,policy_name_clustering!$C$2,D114=policy_name_clustering!$A$3,policy_name_clustering!$C$3,D114=policy_name_clustering!$A$5,policy_name_clustering!$C$5,D114=policy_name_clustering!$A$6,policy_name_clustering!$C$6,D114=policy_name_clustering!$A$7,policy_name_clustering!$C$7,D114=policy_name_clustering!$A$8,policy_name_clustering!$C$8,D114=policy_name_clustering!$A$9,policy_name_clustering!$C$9,D114=policy_name_clustering!$A$10,policy_name_clustering!$C$10,D114=policy_name_clustering!$A$11,policy_name_clustering!$C$11,D114=policy_name_clustering!$A$12,policy_name_clustering!$C$12,D114=policy_name_clustering!$A$13,policy_name_clustering!$C$13,D114=policy_name_clustering!$A$14,policy_name_clustering!$C$14,D114=policy_name_clustering!$A$15,policy_name_clustering!$C$15,D114=policy_name_clustering!$A$16,policy_name_clustering!$C$16,D114="-","",D114=policy_name_clustering!$A$4,policy_name_clustering!$C$4)</f>
        <v/>
      </c>
      <c r="G114">
        <f>wind_cump_cap!C113</f>
        <v>1753.4449999999999</v>
      </c>
      <c r="H114">
        <f>estimated_capacity!C109</f>
        <v>1480.2435337112099</v>
      </c>
      <c r="I114" cm="1">
        <f t="array" ref="I114">_xlfn.IFS(D114= ""," ",D114&lt;&gt; " ",F114*(G114/H114))</f>
        <v>0</v>
      </c>
      <c r="J114" cm="1">
        <f t="array" ref="J114">_xlfn.IFS(D114= ""," ",D114&lt;&gt; " ",(H114-F114)*(G114/H114))</f>
        <v>1753.4449999999999</v>
      </c>
      <c r="K114" cm="1">
        <f t="array" ref="K114">IF(ISNUMBER(H114),_xlfn.IFS(D114= ""," ",D114&lt;&gt; " ",F114*(G114/H114)),"")</f>
        <v>0</v>
      </c>
    </row>
    <row r="115" spans="1:11" x14ac:dyDescent="0.35">
      <c r="A115" t="s">
        <v>20</v>
      </c>
      <c r="B115">
        <v>2000</v>
      </c>
      <c r="D115" s="12" t="s">
        <v>137</v>
      </c>
      <c r="E115" t="str" cm="1">
        <f t="array" ref="E115">_xlfn.IFS(D115=policy_name_clustering!$A$2,policy_name_clustering!$C$2,D115=policy_name_clustering!$A$3,policy_name_clustering!$C$3,D115=policy_name_clustering!$A$5,policy_name_clustering!$C$5,D115=policy_name_clustering!$A$6,policy_name_clustering!$C$6,D115=policy_name_clustering!$A$7,policy_name_clustering!$C$7,D115=policy_name_clustering!$A$8,policy_name_clustering!$C$8,D115=policy_name_clustering!$A$9,policy_name_clustering!$C$9,D115=policy_name_clustering!$A$10,policy_name_clustering!$C$10,D115=policy_name_clustering!$A$11,policy_name_clustering!$C$11,D115=policy_name_clustering!$A$12,policy_name_clustering!$C$12,D115=policy_name_clustering!$A$13,policy_name_clustering!$C$13,D115=policy_name_clustering!$A$14,policy_name_clustering!$C$14,D115=policy_name_clustering!$A$15,policy_name_clustering!$C$15,D115=policy_name_clustering!$A$16,policy_name_clustering!$C$16,D115="-","",D115=policy_name_clustering!$A$4,policy_name_clustering!$C$4)</f>
        <v/>
      </c>
      <c r="G115">
        <f>wind_cump_cap!C114</f>
        <v>2390.0149999999999</v>
      </c>
      <c r="H115">
        <f>estimated_capacity!C110</f>
        <v>1731.9819539145401</v>
      </c>
      <c r="I115" cm="1">
        <f t="array" ref="I115">_xlfn.IFS(D115= ""," ",D115&lt;&gt; " ",F115*(G115/H115))</f>
        <v>0</v>
      </c>
      <c r="J115" cm="1">
        <f t="array" ref="J115">_xlfn.IFS(D115= ""," ",D115&lt;&gt; " ",(H115-F115)*(G115/H115))</f>
        <v>2390.0149999999999</v>
      </c>
      <c r="K115" cm="1">
        <f t="array" ref="K115">IF(ISNUMBER(H115),_xlfn.IFS(D115= ""," ",D115&lt;&gt; " ",F115*(G115/H115)),"")</f>
        <v>0</v>
      </c>
    </row>
    <row r="116" spans="1:11" x14ac:dyDescent="0.35">
      <c r="A116" t="s">
        <v>20</v>
      </c>
      <c r="B116">
        <v>2001</v>
      </c>
      <c r="D116" s="12" t="s">
        <v>137</v>
      </c>
      <c r="E116" t="str" cm="1">
        <f t="array" ref="E116">_xlfn.IFS(D116=policy_name_clustering!$A$2,policy_name_clustering!$C$2,D116=policy_name_clustering!$A$3,policy_name_clustering!$C$3,D116=policy_name_clustering!$A$5,policy_name_clustering!$C$5,D116=policy_name_clustering!$A$6,policy_name_clustering!$C$6,D116=policy_name_clustering!$A$7,policy_name_clustering!$C$7,D116=policy_name_clustering!$A$8,policy_name_clustering!$C$8,D116=policy_name_clustering!$A$9,policy_name_clustering!$C$9,D116=policy_name_clustering!$A$10,policy_name_clustering!$C$10,D116=policy_name_clustering!$A$11,policy_name_clustering!$C$11,D116=policy_name_clustering!$A$12,policy_name_clustering!$C$12,D116=policy_name_clustering!$A$13,policy_name_clustering!$C$13,D116=policy_name_clustering!$A$14,policy_name_clustering!$C$14,D116=policy_name_clustering!$A$15,policy_name_clustering!$C$15,D116=policy_name_clustering!$A$16,policy_name_clustering!$C$16,D116="-","",D116=policy_name_clustering!$A$4,policy_name_clustering!$C$4)</f>
        <v/>
      </c>
      <c r="G116">
        <f>wind_cump_cap!C115</f>
        <v>2497.1529999999998</v>
      </c>
      <c r="H116">
        <f>estimated_capacity!C111</f>
        <v>2016.24632204723</v>
      </c>
      <c r="I116" cm="1">
        <f t="array" ref="I116">_xlfn.IFS(D116= ""," ",D116&lt;&gt; " ",F116*(G116/H116))</f>
        <v>0</v>
      </c>
      <c r="J116" cm="1">
        <f t="array" ref="J116">_xlfn.IFS(D116= ""," ",D116&lt;&gt; " ",(H116-F116)*(G116/H116))</f>
        <v>2497.1529999999998</v>
      </c>
      <c r="K116" cm="1">
        <f t="array" ref="K116">IF(ISNUMBER(H116),_xlfn.IFS(D116= ""," ",D116&lt;&gt; " ",F116*(G116/H116)),"")</f>
        <v>0</v>
      </c>
    </row>
    <row r="117" spans="1:11" x14ac:dyDescent="0.35">
      <c r="A117" t="s">
        <v>20</v>
      </c>
      <c r="B117">
        <v>2002</v>
      </c>
      <c r="D117" s="12" t="s">
        <v>137</v>
      </c>
      <c r="E117" t="str" cm="1">
        <f t="array" ref="E117">_xlfn.IFS(D117=policy_name_clustering!$A$2,policy_name_clustering!$C$2,D117=policy_name_clustering!$A$3,policy_name_clustering!$C$3,D117=policy_name_clustering!$A$5,policy_name_clustering!$C$5,D117=policy_name_clustering!$A$6,policy_name_clustering!$C$6,D117=policy_name_clustering!$A$7,policy_name_clustering!$C$7,D117=policy_name_clustering!$A$8,policy_name_clustering!$C$8,D117=policy_name_clustering!$A$9,policy_name_clustering!$C$9,D117=policy_name_clustering!$A$10,policy_name_clustering!$C$10,D117=policy_name_clustering!$A$11,policy_name_clustering!$C$11,D117=policy_name_clustering!$A$12,policy_name_clustering!$C$12,D117=policy_name_clustering!$A$13,policy_name_clustering!$C$13,D117=policy_name_clustering!$A$14,policy_name_clustering!$C$14,D117=policy_name_clustering!$A$15,policy_name_clustering!$C$15,D117=policy_name_clustering!$A$16,policy_name_clustering!$C$16,D117="-","",D117=policy_name_clustering!$A$4,policy_name_clustering!$C$4)</f>
        <v/>
      </c>
      <c r="G117">
        <f>wind_cump_cap!C116</f>
        <v>2894.5309999999999</v>
      </c>
      <c r="H117">
        <f>estimated_capacity!C112</f>
        <v>2304.3956246093499</v>
      </c>
      <c r="I117" cm="1">
        <f t="array" ref="I117">_xlfn.IFS(D117= ""," ",D117&lt;&gt; " ",F117*(G117/H117))</f>
        <v>0</v>
      </c>
      <c r="J117" cm="1">
        <f t="array" ref="J117">_xlfn.IFS(D117= ""," ",D117&lt;&gt; " ",(H117-F117)*(G117/H117))</f>
        <v>2894.5309999999995</v>
      </c>
      <c r="K117" cm="1">
        <f t="array" ref="K117">IF(ISNUMBER(H117),_xlfn.IFS(D117= ""," ",D117&lt;&gt; " ",F117*(G117/H117)),"")</f>
        <v>0</v>
      </c>
    </row>
    <row r="118" spans="1:11" x14ac:dyDescent="0.35">
      <c r="A118" t="s">
        <v>20</v>
      </c>
      <c r="B118">
        <v>2003</v>
      </c>
      <c r="D118" s="12" t="s">
        <v>137</v>
      </c>
      <c r="E118" t="str" cm="1">
        <f t="array" ref="E118">_xlfn.IFS(D118=policy_name_clustering!$A$2,policy_name_clustering!$C$2,D118=policy_name_clustering!$A$3,policy_name_clustering!$C$3,D118=policy_name_clustering!$A$5,policy_name_clustering!$C$5,D118=policy_name_clustering!$A$6,policy_name_clustering!$C$6,D118=policy_name_clustering!$A$7,policy_name_clustering!$C$7,D118=policy_name_clustering!$A$8,policy_name_clustering!$C$8,D118=policy_name_clustering!$A$9,policy_name_clustering!$C$9,D118=policy_name_clustering!$A$10,policy_name_clustering!$C$10,D118=policy_name_clustering!$A$11,policy_name_clustering!$C$11,D118=policy_name_clustering!$A$12,policy_name_clustering!$C$12,D118=policy_name_clustering!$A$13,policy_name_clustering!$C$13,D118=policy_name_clustering!$A$14,policy_name_clustering!$C$14,D118=policy_name_clustering!$A$15,policy_name_clustering!$C$15,D118=policy_name_clustering!$A$16,policy_name_clustering!$C$16,D118="-","",D118=policy_name_clustering!$A$4,policy_name_clustering!$C$4)</f>
        <v/>
      </c>
      <c r="G118">
        <f>wind_cump_cap!C117</f>
        <v>3119.9160000000002</v>
      </c>
      <c r="H118">
        <f>estimated_capacity!C113</f>
        <v>2629.9030018788999</v>
      </c>
      <c r="I118" cm="1">
        <f t="array" ref="I118">_xlfn.IFS(D118= ""," ",D118&lt;&gt; " ",F118*(G118/H118))</f>
        <v>0</v>
      </c>
      <c r="J118" cm="1">
        <f t="array" ref="J118">_xlfn.IFS(D118= ""," ",D118&lt;&gt; " ",(H118-F118)*(G118/H118))</f>
        <v>3119.9159999999997</v>
      </c>
      <c r="K118" cm="1">
        <f t="array" ref="K118">IF(ISNUMBER(H118),_xlfn.IFS(D118= ""," ",D118&lt;&gt; " ",F118*(G118/H118)),"")</f>
        <v>0</v>
      </c>
    </row>
    <row r="119" spans="1:11" x14ac:dyDescent="0.35">
      <c r="A119" t="s">
        <v>20</v>
      </c>
      <c r="B119">
        <v>2004</v>
      </c>
      <c r="D119" s="12" t="s">
        <v>137</v>
      </c>
      <c r="E119" t="str" cm="1">
        <f t="array" ref="E119">_xlfn.IFS(D119=policy_name_clustering!$A$2,policy_name_clustering!$C$2,D119=policy_name_clustering!$A$3,policy_name_clustering!$C$3,D119=policy_name_clustering!$A$5,policy_name_clustering!$C$5,D119=policy_name_clustering!$A$6,policy_name_clustering!$C$6,D119=policy_name_clustering!$A$7,policy_name_clustering!$C$7,D119=policy_name_clustering!$A$8,policy_name_clustering!$C$8,D119=policy_name_clustering!$A$9,policy_name_clustering!$C$9,D119=policy_name_clustering!$A$10,policy_name_clustering!$C$10,D119=policy_name_clustering!$A$11,policy_name_clustering!$C$11,D119=policy_name_clustering!$A$12,policy_name_clustering!$C$12,D119=policy_name_clustering!$A$13,policy_name_clustering!$C$13,D119=policy_name_clustering!$A$14,policy_name_clustering!$C$14,D119=policy_name_clustering!$A$15,policy_name_clustering!$C$15,D119=policy_name_clustering!$A$16,policy_name_clustering!$C$16,D119="-","",D119=policy_name_clustering!$A$4,policy_name_clustering!$C$4)</f>
        <v/>
      </c>
      <c r="G119">
        <f>wind_cump_cap!C118</f>
        <v>3123.712</v>
      </c>
      <c r="H119">
        <f>estimated_capacity!C114</f>
        <v>2629.65417725935</v>
      </c>
      <c r="I119" cm="1">
        <f t="array" ref="I119">_xlfn.IFS(D119= ""," ",D119&lt;&gt; " ",F119*(G119/H119))</f>
        <v>0</v>
      </c>
      <c r="J119" cm="1">
        <f t="array" ref="J119">_xlfn.IFS(D119= ""," ",D119&lt;&gt; " ",(H119-F119)*(G119/H119))</f>
        <v>3123.712</v>
      </c>
      <c r="K119" cm="1">
        <f t="array" ref="K119">IF(ISNUMBER(H119),_xlfn.IFS(D119= ""," ",D119&lt;&gt; " ",F119*(G119/H119)),"")</f>
        <v>0</v>
      </c>
    </row>
    <row r="120" spans="1:11" x14ac:dyDescent="0.35">
      <c r="A120" t="s">
        <v>20</v>
      </c>
      <c r="B120">
        <v>2005</v>
      </c>
      <c r="D120" s="12" t="s">
        <v>137</v>
      </c>
      <c r="E120" t="str" cm="1">
        <f t="array" ref="E120">_xlfn.IFS(D120=policy_name_clustering!$A$2,policy_name_clustering!$C$2,D120=policy_name_clustering!$A$3,policy_name_clustering!$C$3,D120=policy_name_clustering!$A$5,policy_name_clustering!$C$5,D120=policy_name_clustering!$A$6,policy_name_clustering!$C$6,D120=policy_name_clustering!$A$7,policy_name_clustering!$C$7,D120=policy_name_clustering!$A$8,policy_name_clustering!$C$8,D120=policy_name_clustering!$A$9,policy_name_clustering!$C$9,D120=policy_name_clustering!$A$10,policy_name_clustering!$C$10,D120=policy_name_clustering!$A$11,policy_name_clustering!$C$11,D120=policy_name_clustering!$A$12,policy_name_clustering!$C$12,D120=policy_name_clustering!$A$13,policy_name_clustering!$C$13,D120=policy_name_clustering!$A$14,policy_name_clustering!$C$14,D120=policy_name_clustering!$A$15,policy_name_clustering!$C$15,D120=policy_name_clustering!$A$16,policy_name_clustering!$C$16,D120="-","",D120=policy_name_clustering!$A$4,policy_name_clustering!$C$4)</f>
        <v/>
      </c>
      <c r="G120">
        <f>wind_cump_cap!C119</f>
        <v>3127.8359999999998</v>
      </c>
      <c r="H120">
        <f>estimated_capacity!C115</f>
        <v>2640.0062323512998</v>
      </c>
      <c r="I120" cm="1">
        <f t="array" ref="I120">_xlfn.IFS(D120= ""," ",D120&lt;&gt; " ",F120*(G120/H120))</f>
        <v>0</v>
      </c>
      <c r="J120" cm="1">
        <f t="array" ref="J120">_xlfn.IFS(D120= ""," ",D120&lt;&gt; " ",(H120-F120)*(G120/H120))</f>
        <v>3127.8359999999998</v>
      </c>
      <c r="K120" cm="1">
        <f t="array" ref="K120">IF(ISNUMBER(H120),_xlfn.IFS(D120= ""," ",D120&lt;&gt; " ",F120*(G120/H120)),"")</f>
        <v>0</v>
      </c>
    </row>
    <row r="121" spans="1:11" x14ac:dyDescent="0.35">
      <c r="A121" t="s">
        <v>20</v>
      </c>
      <c r="B121">
        <v>2006</v>
      </c>
      <c r="D121" s="12" t="s">
        <v>137</v>
      </c>
      <c r="E121" t="str" cm="1">
        <f t="array" ref="E121">_xlfn.IFS(D121=policy_name_clustering!$A$2,policy_name_clustering!$C$2,D121=policy_name_clustering!$A$3,policy_name_clustering!$C$3,D121=policy_name_clustering!$A$5,policy_name_clustering!$C$5,D121=policy_name_clustering!$A$6,policy_name_clustering!$C$6,D121=policy_name_clustering!$A$7,policy_name_clustering!$C$7,D121=policy_name_clustering!$A$8,policy_name_clustering!$C$8,D121=policy_name_clustering!$A$9,policy_name_clustering!$C$9,D121=policy_name_clustering!$A$10,policy_name_clustering!$C$10,D121=policy_name_clustering!$A$11,policy_name_clustering!$C$11,D121=policy_name_clustering!$A$12,policy_name_clustering!$C$12,D121=policy_name_clustering!$A$13,policy_name_clustering!$C$13,D121=policy_name_clustering!$A$14,policy_name_clustering!$C$14,D121=policy_name_clustering!$A$15,policy_name_clustering!$C$15,D121=policy_name_clustering!$A$16,policy_name_clustering!$C$16,D121="-","",D121=policy_name_clustering!$A$4,policy_name_clustering!$C$4)</f>
        <v/>
      </c>
      <c r="G121">
        <f>wind_cump_cap!C120</f>
        <v>3135.6959999999999</v>
      </c>
      <c r="H121">
        <f>estimated_capacity!C116</f>
        <v>2646.0305751128399</v>
      </c>
      <c r="I121" cm="1">
        <f t="array" ref="I121">_xlfn.IFS(D121= ""," ",D121&lt;&gt; " ",F121*(G121/H121))</f>
        <v>0</v>
      </c>
      <c r="J121" cm="1">
        <f t="array" ref="J121">_xlfn.IFS(D121= ""," ",D121&lt;&gt; " ",(H121-F121)*(G121/H121))</f>
        <v>3135.6959999999999</v>
      </c>
      <c r="K121" cm="1">
        <f t="array" ref="K121">IF(ISNUMBER(H121),_xlfn.IFS(D121= ""," ",D121&lt;&gt; " ",F121*(G121/H121)),"")</f>
        <v>0</v>
      </c>
    </row>
    <row r="122" spans="1:11" x14ac:dyDescent="0.35">
      <c r="A122" t="s">
        <v>20</v>
      </c>
      <c r="B122">
        <v>2007</v>
      </c>
      <c r="D122" s="12" t="s">
        <v>137</v>
      </c>
      <c r="E122" t="str" cm="1">
        <f t="array" ref="E122">_xlfn.IFS(D122=policy_name_clustering!$A$2,policy_name_clustering!$C$2,D122=policy_name_clustering!$A$3,policy_name_clustering!$C$3,D122=policy_name_clustering!$A$5,policy_name_clustering!$C$5,D122=policy_name_clustering!$A$6,policy_name_clustering!$C$6,D122=policy_name_clustering!$A$7,policy_name_clustering!$C$7,D122=policy_name_clustering!$A$8,policy_name_clustering!$C$8,D122=policy_name_clustering!$A$9,policy_name_clustering!$C$9,D122=policy_name_clustering!$A$10,policy_name_clustering!$C$10,D122=policy_name_clustering!$A$11,policy_name_clustering!$C$11,D122=policy_name_clustering!$A$12,policy_name_clustering!$C$12,D122=policy_name_clustering!$A$13,policy_name_clustering!$C$13,D122=policy_name_clustering!$A$14,policy_name_clustering!$C$14,D122=policy_name_clustering!$A$15,policy_name_clustering!$C$15,D122=policy_name_clustering!$A$16,policy_name_clustering!$C$16,D122="-","",D122=policy_name_clustering!$A$4,policy_name_clustering!$C$4)</f>
        <v/>
      </c>
      <c r="G122">
        <f>wind_cump_cap!C121</f>
        <v>3124.2139999999999</v>
      </c>
      <c r="H122">
        <f>estimated_capacity!C117</f>
        <v>2649.63764589926</v>
      </c>
      <c r="I122" cm="1">
        <f t="array" ref="I122">_xlfn.IFS(D122= ""," ",D122&lt;&gt; " ",F122*(G122/H122))</f>
        <v>0</v>
      </c>
      <c r="J122" cm="1">
        <f t="array" ref="J122">_xlfn.IFS(D122= ""," ",D122&lt;&gt; " ",(H122-F122)*(G122/H122))</f>
        <v>3124.2139999999999</v>
      </c>
      <c r="K122" cm="1">
        <f t="array" ref="K122">IF(ISNUMBER(H122),_xlfn.IFS(D122= ""," ",D122&lt;&gt; " ",F122*(G122/H122)),"")</f>
        <v>0</v>
      </c>
    </row>
    <row r="123" spans="1:11" x14ac:dyDescent="0.35">
      <c r="A123" t="s">
        <v>20</v>
      </c>
      <c r="B123">
        <v>2008</v>
      </c>
      <c r="C123" s="4" t="s">
        <v>69</v>
      </c>
      <c r="D123" s="3" t="s">
        <v>158</v>
      </c>
      <c r="E123" t="str" cm="1">
        <f t="array" ref="E123">_xlfn.IFS(D123=policy_name_clustering!$A$2,policy_name_clustering!$C$2,D123=policy_name_clustering!$A$3,policy_name_clustering!$C$3,D123=policy_name_clustering!$A$5,policy_name_clustering!$C$5,D123=policy_name_clustering!$A$6,policy_name_clustering!$C$6,D123=policy_name_clustering!$A$7,policy_name_clustering!$C$7,D123=policy_name_clustering!$A$8,policy_name_clustering!$C$8,D123=policy_name_clustering!$A$9,policy_name_clustering!$C$9,D123=policy_name_clustering!$A$10,policy_name_clustering!$C$10,D123=policy_name_clustering!$A$11,policy_name_clustering!$C$11,D123=policy_name_clustering!$A$12,policy_name_clustering!$C$12,D123=policy_name_clustering!$A$13,policy_name_clustering!$C$13,D123=policy_name_clustering!$A$14,policy_name_clustering!$C$14,D123=policy_name_clustering!$A$15,policy_name_clustering!$C$15,D123=policy_name_clustering!$A$16,policy_name_clustering!$C$16,D123="-","",D123=policy_name_clustering!$A$4,policy_name_clustering!$C$4)</f>
        <v>Policy mix</v>
      </c>
      <c r="F123">
        <f>policy_contributions_cum!F33</f>
        <v>97.0088548026241</v>
      </c>
      <c r="G123">
        <f>wind_cump_cap!C122</f>
        <v>3162.87</v>
      </c>
      <c r="H123">
        <f>estimated_capacity!C118</f>
        <v>2743.6467733211498</v>
      </c>
      <c r="I123" cm="1">
        <f t="array" ref="I123">_xlfn.IFS(D123= ""," ",D123&lt;&gt; " ",F123*(G123/H123))</f>
        <v>111.83159566060546</v>
      </c>
      <c r="J123" cm="1">
        <f t="array" ref="J123">_xlfn.IFS(D123= ""," ",D123&lt;&gt; " ",(H123-F123)*(G123/H123))</f>
        <v>3051.0384043393942</v>
      </c>
      <c r="K123" cm="1">
        <f t="array" ref="K123">IF(ISNUMBER(H123),_xlfn.IFS(D123= ""," ",D123&lt;&gt; " ",F123*(G123/H123)),"")</f>
        <v>111.83159566060546</v>
      </c>
    </row>
    <row r="124" spans="1:11" x14ac:dyDescent="0.35">
      <c r="A124" t="s">
        <v>20</v>
      </c>
      <c r="B124">
        <v>2009</v>
      </c>
      <c r="C124" s="4" t="s">
        <v>70</v>
      </c>
      <c r="D124" s="3" t="s">
        <v>158</v>
      </c>
      <c r="E124" t="str" cm="1">
        <f t="array" ref="E124">_xlfn.IFS(D124=policy_name_clustering!$A$2,policy_name_clustering!$C$2,D124=policy_name_clustering!$A$3,policy_name_clustering!$C$3,D124=policy_name_clustering!$A$5,policy_name_clustering!$C$5,D124=policy_name_clustering!$A$6,policy_name_clustering!$C$6,D124=policy_name_clustering!$A$7,policy_name_clustering!$C$7,D124=policy_name_clustering!$A$8,policy_name_clustering!$C$8,D124=policy_name_clustering!$A$9,policy_name_clustering!$C$9,D124=policy_name_clustering!$A$10,policy_name_clustering!$C$10,D124=policy_name_clustering!$A$11,policy_name_clustering!$C$11,D124=policy_name_clustering!$A$12,policy_name_clustering!$C$12,D124=policy_name_clustering!$A$13,policy_name_clustering!$C$13,D124=policy_name_clustering!$A$14,policy_name_clustering!$C$14,D124=policy_name_clustering!$A$15,policy_name_clustering!$C$15,D124=policy_name_clustering!$A$16,policy_name_clustering!$C$16,D124="-","",D124=policy_name_clustering!$A$4,policy_name_clustering!$C$4)</f>
        <v>Policy mix</v>
      </c>
      <c r="F124">
        <f>policy_contributions_cum!F34</f>
        <v>385.627180961063</v>
      </c>
      <c r="G124">
        <f>wind_cump_cap!C123</f>
        <v>3482.087</v>
      </c>
      <c r="H124">
        <f>estimated_capacity!C119</f>
        <v>3028.9412522873999</v>
      </c>
      <c r="I124" cm="1">
        <f t="array" ref="I124">_xlfn.IFS(D124= ""," ",D124&lt;&gt; " ",F124*(G124/H124))</f>
        <v>443.31906162165313</v>
      </c>
      <c r="J124" cm="1">
        <f t="array" ref="J124">_xlfn.IFS(D124= ""," ",D124&lt;&gt; " ",(H124-F124)*(G124/H124))</f>
        <v>3038.767938378347</v>
      </c>
      <c r="K124" cm="1">
        <f t="array" ref="K124">IF(ISNUMBER(H124),_xlfn.IFS(D124= ""," ",D124&lt;&gt; " ",F124*(G124/H124)),"")</f>
        <v>443.31906162165313</v>
      </c>
    </row>
    <row r="125" spans="1:11" x14ac:dyDescent="0.35">
      <c r="A125" t="s">
        <v>20</v>
      </c>
      <c r="B125">
        <v>2010</v>
      </c>
      <c r="C125" s="10" t="s">
        <v>71</v>
      </c>
      <c r="D125" s="3" t="s">
        <v>158</v>
      </c>
      <c r="E125" t="str" cm="1">
        <f t="array" ref="E125">_xlfn.IFS(D125=policy_name_clustering!$A$2,policy_name_clustering!$C$2,D125=policy_name_clustering!$A$3,policy_name_clustering!$C$3,D125=policy_name_clustering!$A$5,policy_name_clustering!$C$5,D125=policy_name_clustering!$A$6,policy_name_clustering!$C$6,D125=policy_name_clustering!$A$7,policy_name_clustering!$C$7,D125=policy_name_clustering!$A$8,policy_name_clustering!$C$8,D125=policy_name_clustering!$A$9,policy_name_clustering!$C$9,D125=policy_name_clustering!$A$10,policy_name_clustering!$C$10,D125=policy_name_clustering!$A$11,policy_name_clustering!$C$11,D125=policy_name_clustering!$A$12,policy_name_clustering!$C$12,D125=policy_name_clustering!$A$13,policy_name_clustering!$C$13,D125=policy_name_clustering!$A$14,policy_name_clustering!$C$14,D125=policy_name_clustering!$A$15,policy_name_clustering!$C$15,D125=policy_name_clustering!$A$16,policy_name_clustering!$C$16,D125="-","",D125=policy_name_clustering!$A$4,policy_name_clustering!$C$4)</f>
        <v>Policy mix</v>
      </c>
      <c r="F125">
        <f>policy_contributions_cum!F35</f>
        <v>725.08372994011904</v>
      </c>
      <c r="G125">
        <f>wind_cump_cap!C124</f>
        <v>3801.8290000000002</v>
      </c>
      <c r="H125">
        <f>estimated_capacity!C120</f>
        <v>3316.6757711458699</v>
      </c>
      <c r="I125" cm="1">
        <f t="array" ref="I125">_xlfn.IFS(D125= ""," ",D125&lt;&gt; " ",F125*(G125/H125))</f>
        <v>831.14676927317714</v>
      </c>
      <c r="J125" cm="1">
        <f t="array" ref="J125">_xlfn.IFS(D125= ""," ",D125&lt;&gt; " ",(H125-F125)*(G125/H125))</f>
        <v>2970.682230726823</v>
      </c>
      <c r="K125" cm="1">
        <f t="array" ref="K125">IF(ISNUMBER(H125),_xlfn.IFS(D125= ""," ",D125&lt;&gt; " ",F125*(G125/H125)),"")</f>
        <v>831.14676927317714</v>
      </c>
    </row>
    <row r="126" spans="1:11" x14ac:dyDescent="0.35">
      <c r="A126" t="s">
        <v>20</v>
      </c>
      <c r="B126">
        <v>2011</v>
      </c>
      <c r="C126" s="4" t="s">
        <v>72</v>
      </c>
      <c r="D126" s="3" t="s">
        <v>158</v>
      </c>
      <c r="E126" t="str" cm="1">
        <f t="array" ref="E126">_xlfn.IFS(D126=policy_name_clustering!$A$2,policy_name_clustering!$C$2,D126=policy_name_clustering!$A$3,policy_name_clustering!$C$3,D126=policy_name_clustering!$A$5,policy_name_clustering!$C$5,D126=policy_name_clustering!$A$6,policy_name_clustering!$C$6,D126=policy_name_clustering!$A$7,policy_name_clustering!$C$7,D126=policy_name_clustering!$A$8,policy_name_clustering!$C$8,D126=policy_name_clustering!$A$9,policy_name_clustering!$C$9,D126=policy_name_clustering!$A$10,policy_name_clustering!$C$10,D126=policy_name_clustering!$A$11,policy_name_clustering!$C$11,D126=policy_name_clustering!$A$12,policy_name_clustering!$C$12,D126=policy_name_clustering!$A$13,policy_name_clustering!$C$13,D126=policy_name_clustering!$A$14,policy_name_clustering!$C$14,D126=policy_name_clustering!$A$15,policy_name_clustering!$C$15,D126=policy_name_clustering!$A$16,policy_name_clustering!$C$16,D126="-","",D126=policy_name_clustering!$A$4,policy_name_clustering!$C$4)</f>
        <v>Policy mix</v>
      </c>
      <c r="F126">
        <f>policy_contributions_cum!F36</f>
        <v>1067.8619001413799</v>
      </c>
      <c r="G126">
        <f>wind_cump_cap!C125</f>
        <v>3951.9810000000002</v>
      </c>
      <c r="H126">
        <f>estimated_capacity!C121</f>
        <v>3581.5665846670399</v>
      </c>
      <c r="I126" cm="1">
        <f t="array" ref="I126">_xlfn.IFS(D126= ""," ",D126&lt;&gt; " ",F126*(G126/H126))</f>
        <v>1178.3028013633757</v>
      </c>
      <c r="J126" cm="1">
        <f t="array" ref="J126">_xlfn.IFS(D126= ""," ",D126&lt;&gt; " ",(H126-F126)*(G126/H126))</f>
        <v>2773.6781986366245</v>
      </c>
      <c r="K126" cm="1">
        <f t="array" ref="K126">IF(ISNUMBER(H126),_xlfn.IFS(D126= ""," ",D126&lt;&gt; " ",F126*(G126/H126)),"")</f>
        <v>1178.3028013633757</v>
      </c>
    </row>
    <row r="127" spans="1:11" x14ac:dyDescent="0.35">
      <c r="A127" t="s">
        <v>20</v>
      </c>
      <c r="B127">
        <v>2012</v>
      </c>
      <c r="C127" s="4"/>
      <c r="D127" s="3" t="s">
        <v>158</v>
      </c>
      <c r="E127" t="str" cm="1">
        <f t="array" ref="E127">_xlfn.IFS(D127=policy_name_clustering!$A$2,policy_name_clustering!$C$2,D127=policy_name_clustering!$A$3,policy_name_clustering!$C$3,D127=policy_name_clustering!$A$5,policy_name_clustering!$C$5,D127=policy_name_clustering!$A$6,policy_name_clustering!$C$6,D127=policy_name_clustering!$A$7,policy_name_clustering!$C$7,D127=policy_name_clustering!$A$8,policy_name_clustering!$C$8,D127=policy_name_clustering!$A$9,policy_name_clustering!$C$9,D127=policy_name_clustering!$A$10,policy_name_clustering!$C$10,D127=policy_name_clustering!$A$11,policy_name_clustering!$C$11,D127=policy_name_clustering!$A$12,policy_name_clustering!$C$12,D127=policy_name_clustering!$A$13,policy_name_clustering!$C$13,D127=policy_name_clustering!$A$14,policy_name_clustering!$C$14,D127=policy_name_clustering!$A$15,policy_name_clustering!$C$15,D127=policy_name_clustering!$A$16,policy_name_clustering!$C$16,D127="-","",D127=policy_name_clustering!$A$4,policy_name_clustering!$C$4)</f>
        <v>Policy mix</v>
      </c>
      <c r="F127">
        <f>policy_contributions_cum!F37</f>
        <v>1443.4535844583399</v>
      </c>
      <c r="G127">
        <f>wind_cump_cap!C126</f>
        <v>4161.9409999999998</v>
      </c>
      <c r="H127">
        <f>estimated_capacity!C122</f>
        <v>3868.2685063858698</v>
      </c>
      <c r="I127" cm="1">
        <f t="array" ref="I127">_xlfn.IFS(D127= ""," ",D127&lt;&gt; " ",F127*(G127/H127))</f>
        <v>1553.0381732386538</v>
      </c>
      <c r="J127" cm="1">
        <f t="array" ref="J127">_xlfn.IFS(D127= ""," ",D127&lt;&gt; " ",(H127-F127)*(G127/H127))</f>
        <v>2608.9028267613462</v>
      </c>
      <c r="K127" cm="1">
        <f t="array" ref="K127">IF(ISNUMBER(H127),_xlfn.IFS(D127= ""," ",D127&lt;&gt; " ",F127*(G127/H127)),"")</f>
        <v>1553.0381732386538</v>
      </c>
    </row>
    <row r="128" spans="1:11" x14ac:dyDescent="0.35">
      <c r="A128" t="s">
        <v>20</v>
      </c>
      <c r="B128">
        <v>2013</v>
      </c>
      <c r="C128" s="4" t="s">
        <v>73</v>
      </c>
      <c r="D128" s="3" t="s">
        <v>158</v>
      </c>
      <c r="E128" t="str" cm="1">
        <f t="array" ref="E128">_xlfn.IFS(D128=policy_name_clustering!$A$2,policy_name_clustering!$C$2,D128=policy_name_clustering!$A$3,policy_name_clustering!$C$3,D128=policy_name_clustering!$A$5,policy_name_clustering!$C$5,D128=policy_name_clustering!$A$6,policy_name_clustering!$C$6,D128=policy_name_clustering!$A$7,policy_name_clustering!$C$7,D128=policy_name_clustering!$A$8,policy_name_clustering!$C$8,D128=policy_name_clustering!$A$9,policy_name_clustering!$C$9,D128=policy_name_clustering!$A$10,policy_name_clustering!$C$10,D128=policy_name_clustering!$A$11,policy_name_clustering!$C$11,D128=policy_name_clustering!$A$12,policy_name_clustering!$C$12,D128=policy_name_clustering!$A$13,policy_name_clustering!$C$13,D128=policy_name_clustering!$A$14,policy_name_clustering!$C$14,D128=policy_name_clustering!$A$15,policy_name_clustering!$C$15,D128=policy_name_clustering!$A$16,policy_name_clustering!$C$16,D128="-","",D128=policy_name_clustering!$A$4,policy_name_clustering!$C$4)</f>
        <v>Policy mix</v>
      </c>
      <c r="F128">
        <f>policy_contributions_cum!F38</f>
        <v>1774.08053585167</v>
      </c>
      <c r="G128">
        <f>wind_cump_cap!C127</f>
        <v>4818.9229999999998</v>
      </c>
      <c r="H128">
        <f>estimated_capacity!C123</f>
        <v>4102.9040431184503</v>
      </c>
      <c r="I128" cm="1">
        <f t="array" ref="I128">_xlfn.IFS(D128= ""," ",D128&lt;&gt; " ",F128*(G128/H128))</f>
        <v>2083.6844849946988</v>
      </c>
      <c r="J128" cm="1">
        <f t="array" ref="J128">_xlfn.IFS(D128= ""," ",D128&lt;&gt; " ",(H128-F128)*(G128/H128))</f>
        <v>2735.2385150053005</v>
      </c>
      <c r="K128" cm="1">
        <f t="array" ref="K128">IF(ISNUMBER(H128),_xlfn.IFS(D128= ""," ",D128&lt;&gt; " ",F128*(G128/H128)),"")</f>
        <v>2083.6844849946988</v>
      </c>
    </row>
    <row r="129" spans="1:11" x14ac:dyDescent="0.35">
      <c r="A129" t="s">
        <v>20</v>
      </c>
      <c r="B129">
        <v>2014</v>
      </c>
      <c r="C129" s="4"/>
      <c r="D129" s="3" t="s">
        <v>158</v>
      </c>
      <c r="E129" t="str" cm="1">
        <f t="array" ref="E129">_xlfn.IFS(D129=policy_name_clustering!$A$2,policy_name_clustering!$C$2,D129=policy_name_clustering!$A$3,policy_name_clustering!$C$3,D129=policy_name_clustering!$A$5,policy_name_clustering!$C$5,D129=policy_name_clustering!$A$6,policy_name_clustering!$C$6,D129=policy_name_clustering!$A$7,policy_name_clustering!$C$7,D129=policy_name_clustering!$A$8,policy_name_clustering!$C$8,D129=policy_name_clustering!$A$9,policy_name_clustering!$C$9,D129=policy_name_clustering!$A$10,policy_name_clustering!$C$10,D129=policy_name_clustering!$A$11,policy_name_clustering!$C$11,D129=policy_name_clustering!$A$12,policy_name_clustering!$C$12,D129=policy_name_clustering!$A$13,policy_name_clustering!$C$13,D129=policy_name_clustering!$A$14,policy_name_clustering!$C$14,D129=policy_name_clustering!$A$15,policy_name_clustering!$C$15,D129=policy_name_clustering!$A$16,policy_name_clustering!$C$16,D129="-","",D129=policy_name_clustering!$A$4,policy_name_clustering!$C$4)</f>
        <v>Policy mix</v>
      </c>
      <c r="F129">
        <f>policy_contributions_cum!F39</f>
        <v>2104.6848349758102</v>
      </c>
      <c r="G129">
        <f>wind_cump_cap!C128</f>
        <v>4886.4030000000002</v>
      </c>
      <c r="H129">
        <f>estimated_capacity!C124</f>
        <v>4334.7675687759602</v>
      </c>
      <c r="I129" cm="1">
        <f t="array" ref="I129">_xlfn.IFS(D129= ""," ",D129&lt;&gt; " ",F129*(G129/H129))</f>
        <v>2372.5235848307243</v>
      </c>
      <c r="J129" cm="1">
        <f t="array" ref="J129">_xlfn.IFS(D129= ""," ",D129&lt;&gt; " ",(H129-F129)*(G129/H129))</f>
        <v>2513.8794151692759</v>
      </c>
      <c r="K129" cm="1">
        <f t="array" ref="K129">IF(ISNUMBER(H129),_xlfn.IFS(D129= ""," ",D129&lt;&gt; " ",F129*(G129/H129)),"")</f>
        <v>2372.5235848307243</v>
      </c>
    </row>
    <row r="130" spans="1:11" x14ac:dyDescent="0.35">
      <c r="A130" t="s">
        <v>20</v>
      </c>
      <c r="B130">
        <v>2015</v>
      </c>
      <c r="C130" s="4" t="s">
        <v>74</v>
      </c>
      <c r="D130" s="3" t="s">
        <v>158</v>
      </c>
      <c r="E130" t="str" cm="1">
        <f t="array" ref="E130">_xlfn.IFS(D130=policy_name_clustering!$A$2,policy_name_clustering!$C$2,D130=policy_name_clustering!$A$3,policy_name_clustering!$C$3,D130=policy_name_clustering!$A$5,policy_name_clustering!$C$5,D130=policy_name_clustering!$A$6,policy_name_clustering!$C$6,D130=policy_name_clustering!$A$7,policy_name_clustering!$C$7,D130=policy_name_clustering!$A$8,policy_name_clustering!$C$8,D130=policy_name_clustering!$A$9,policy_name_clustering!$C$9,D130=policy_name_clustering!$A$10,policy_name_clustering!$C$10,D130=policy_name_clustering!$A$11,policy_name_clustering!$C$11,D130=policy_name_clustering!$A$12,policy_name_clustering!$C$12,D130=policy_name_clustering!$A$13,policy_name_clustering!$C$13,D130=policy_name_clustering!$A$14,policy_name_clustering!$C$14,D130=policy_name_clustering!$A$15,policy_name_clustering!$C$15,D130=policy_name_clustering!$A$16,policy_name_clustering!$C$16,D130="-","",D130=policy_name_clustering!$A$4,policy_name_clustering!$C$4)</f>
        <v>Policy mix</v>
      </c>
      <c r="F130">
        <f>policy_contributions_cum!F40</f>
        <v>2463.19193783838</v>
      </c>
      <c r="G130">
        <f>wind_cump_cap!C129</f>
        <v>5076.9660000000003</v>
      </c>
      <c r="H130">
        <f>estimated_capacity!C125</f>
        <v>4593.2822272753801</v>
      </c>
      <c r="I130" cm="1">
        <f t="array" ref="I130">_xlfn.IFS(D130= ""," ",D130&lt;&gt; " ",F130*(G130/H130))</f>
        <v>2722.5720304361839</v>
      </c>
      <c r="J130" cm="1">
        <f t="array" ref="J130">_xlfn.IFS(D130= ""," ",D130&lt;&gt; " ",(H130-F130)*(G130/H130))</f>
        <v>2354.393969563816</v>
      </c>
      <c r="K130" cm="1">
        <f t="array" ref="K130">IF(ISNUMBER(H130),_xlfn.IFS(D130= ""," ",D130&lt;&gt; " ",F130*(G130/H130)),"")</f>
        <v>2722.5720304361839</v>
      </c>
    </row>
    <row r="131" spans="1:11" x14ac:dyDescent="0.35">
      <c r="A131" t="s">
        <v>20</v>
      </c>
      <c r="B131">
        <v>2016</v>
      </c>
      <c r="C131" s="4" t="s">
        <v>75</v>
      </c>
      <c r="D131" s="3" t="s">
        <v>158</v>
      </c>
      <c r="E131" t="str" cm="1">
        <f t="array" ref="E131">_xlfn.IFS(D131=policy_name_clustering!$A$2,policy_name_clustering!$C$2,D131=policy_name_clustering!$A$3,policy_name_clustering!$C$3,D131=policy_name_clustering!$A$5,policy_name_clustering!$C$5,D131=policy_name_clustering!$A$6,policy_name_clustering!$C$6,D131=policy_name_clustering!$A$7,policy_name_clustering!$C$7,D131=policy_name_clustering!$A$8,policy_name_clustering!$C$8,D131=policy_name_clustering!$A$9,policy_name_clustering!$C$9,D131=policy_name_clustering!$A$10,policy_name_clustering!$C$10,D131=policy_name_clustering!$A$11,policy_name_clustering!$C$11,D131=policy_name_clustering!$A$12,policy_name_clustering!$C$12,D131=policy_name_clustering!$A$13,policy_name_clustering!$C$13,D131=policy_name_clustering!$A$14,policy_name_clustering!$C$14,D131=policy_name_clustering!$A$15,policy_name_clustering!$C$15,D131=policy_name_clustering!$A$16,policy_name_clustering!$C$16,D131="-","",D131=policy_name_clustering!$A$4,policy_name_clustering!$C$4)</f>
        <v>Policy mix</v>
      </c>
      <c r="F131">
        <f>policy_contributions_cum!F41</f>
        <v>2805.4057860497801</v>
      </c>
      <c r="G131">
        <f>wind_cump_cap!C130</f>
        <v>5245.1419999999998</v>
      </c>
      <c r="H131">
        <f>estimated_capacity!C126</f>
        <v>4834.7268195483803</v>
      </c>
      <c r="I131" cm="1">
        <f t="array" ref="I131">_xlfn.IFS(D131= ""," ",D131&lt;&gt; " ",F131*(G131/H131))</f>
        <v>3043.5539100071105</v>
      </c>
      <c r="J131" cm="1">
        <f t="array" ref="J131">_xlfn.IFS(D131= ""," ",D131&lt;&gt; " ",(H131-F131)*(G131/H131))</f>
        <v>2201.5880899928893</v>
      </c>
      <c r="K131" cm="1">
        <f t="array" ref="K131">IF(ISNUMBER(H131),_xlfn.IFS(D131= ""," ",D131&lt;&gt; " ",F131*(G131/H131)),"")</f>
        <v>3043.5539100071105</v>
      </c>
    </row>
    <row r="132" spans="1:11" x14ac:dyDescent="0.35">
      <c r="A132" t="s">
        <v>20</v>
      </c>
      <c r="B132">
        <v>2017</v>
      </c>
      <c r="D132" s="3" t="s">
        <v>158</v>
      </c>
      <c r="E132" t="str" cm="1">
        <f t="array" ref="E132">_xlfn.IFS(D132=policy_name_clustering!$A$2,policy_name_clustering!$C$2,D132=policy_name_clustering!$A$3,policy_name_clustering!$C$3,D132=policy_name_clustering!$A$5,policy_name_clustering!$C$5,D132=policy_name_clustering!$A$6,policy_name_clustering!$C$6,D132=policy_name_clustering!$A$7,policy_name_clustering!$C$7,D132=policy_name_clustering!$A$8,policy_name_clustering!$C$8,D132=policy_name_clustering!$A$9,policy_name_clustering!$C$9,D132=policy_name_clustering!$A$10,policy_name_clustering!$C$10,D132=policy_name_clustering!$A$11,policy_name_clustering!$C$11,D132=policy_name_clustering!$A$12,policy_name_clustering!$C$12,D132=policy_name_clustering!$A$13,policy_name_clustering!$C$13,D132=policy_name_clustering!$A$14,policy_name_clustering!$C$14,D132=policy_name_clustering!$A$15,policy_name_clustering!$C$15,D132=policy_name_clustering!$A$16,policy_name_clustering!$C$16,D132="-","",D132=policy_name_clustering!$A$4,policy_name_clustering!$C$4)</f>
        <v>Policy mix</v>
      </c>
      <c r="F132">
        <f>policy_contributions_cum!F42</f>
        <v>3114.6446439796</v>
      </c>
      <c r="G132">
        <f>wind_cump_cap!C131</f>
        <v>5488.9489999999996</v>
      </c>
      <c r="H132">
        <f>estimated_capacity!C127</f>
        <v>5042.8056261524498</v>
      </c>
      <c r="I132" cm="1">
        <f t="array" ref="I132">_xlfn.IFS(D132= ""," ",D132&lt;&gt; " ",F132*(G132/H132))</f>
        <v>3390.2011838935682</v>
      </c>
      <c r="J132" cm="1">
        <f t="array" ref="J132">_xlfn.IFS(D132= ""," ",D132&lt;&gt; " ",(H132-F132)*(G132/H132))</f>
        <v>2098.7478161064319</v>
      </c>
      <c r="K132" cm="1">
        <f t="array" ref="K132">IF(ISNUMBER(H132),_xlfn.IFS(D132= ""," ",D132&lt;&gt; " ",F132*(G132/H132)),"")</f>
        <v>3390.2011838935682</v>
      </c>
    </row>
    <row r="133" spans="1:11" x14ac:dyDescent="0.35">
      <c r="A133" t="s">
        <v>20</v>
      </c>
      <c r="B133">
        <v>2018</v>
      </c>
      <c r="D133" s="3" t="s">
        <v>158</v>
      </c>
      <c r="E133" t="str" cm="1">
        <f t="array" ref="E133">_xlfn.IFS(D133=policy_name_clustering!$A$2,policy_name_clustering!$C$2,D133=policy_name_clustering!$A$3,policy_name_clustering!$C$3,D133=policy_name_clustering!$A$5,policy_name_clustering!$C$5,D133=policy_name_clustering!$A$6,policy_name_clustering!$C$6,D133=policy_name_clustering!$A$7,policy_name_clustering!$C$7,D133=policy_name_clustering!$A$8,policy_name_clustering!$C$8,D133=policy_name_clustering!$A$9,policy_name_clustering!$C$9,D133=policy_name_clustering!$A$10,policy_name_clustering!$C$10,D133=policy_name_clustering!$A$11,policy_name_clustering!$C$11,D133=policy_name_clustering!$A$12,policy_name_clustering!$C$12,D133=policy_name_clustering!$A$13,policy_name_clustering!$C$13,D133=policy_name_clustering!$A$14,policy_name_clustering!$C$14,D133=policy_name_clustering!$A$15,policy_name_clustering!$C$15,D133=policy_name_clustering!$A$16,policy_name_clustering!$C$16,D133="-","",D133=policy_name_clustering!$A$4,policy_name_clustering!$C$4)</f>
        <v>Policy mix</v>
      </c>
      <c r="F133">
        <f>policy_contributions_cum!F43</f>
        <v>3418.2051666457401</v>
      </c>
      <c r="G133">
        <f>wind_cump_cap!C132</f>
        <v>6122.66</v>
      </c>
      <c r="H133">
        <f>estimated_capacity!C128</f>
        <v>5245.0412553406204</v>
      </c>
      <c r="I133" cm="1">
        <f t="array" ref="I133">_xlfn.IFS(D133= ""," ",D133&lt;&gt; " ",F133*(G133/H133))</f>
        <v>3990.1512737016747</v>
      </c>
      <c r="J133" cm="1">
        <f t="array" ref="J133">_xlfn.IFS(D133= ""," ",D133&lt;&gt; " ",(H133-F133)*(G133/H133))</f>
        <v>2132.5087262983257</v>
      </c>
      <c r="K133" cm="1">
        <f t="array" ref="K133">IF(ISNUMBER(H133),_xlfn.IFS(D133= ""," ",D133&lt;&gt; " ",F133*(G133/H133)),"")</f>
        <v>3990.1512737016747</v>
      </c>
    </row>
    <row r="134" spans="1:11" x14ac:dyDescent="0.35">
      <c r="A134" t="s">
        <v>20</v>
      </c>
      <c r="B134">
        <v>2019</v>
      </c>
      <c r="D134" s="3" t="s">
        <v>158</v>
      </c>
      <c r="E134" t="str" cm="1">
        <f t="array" ref="E134">_xlfn.IFS(D134=policy_name_clustering!$A$2,policy_name_clustering!$C$2,D134=policy_name_clustering!$A$3,policy_name_clustering!$C$3,D134=policy_name_clustering!$A$5,policy_name_clustering!$C$5,D134=policy_name_clustering!$A$6,policy_name_clustering!$C$6,D134=policy_name_clustering!$A$7,policy_name_clustering!$C$7,D134=policy_name_clustering!$A$8,policy_name_clustering!$C$8,D134=policy_name_clustering!$A$9,policy_name_clustering!$C$9,D134=policy_name_clustering!$A$10,policy_name_clustering!$C$10,D134=policy_name_clustering!$A$11,policy_name_clustering!$C$11,D134=policy_name_clustering!$A$12,policy_name_clustering!$C$12,D134=policy_name_clustering!$A$13,policy_name_clustering!$C$13,D134=policy_name_clustering!$A$14,policy_name_clustering!$C$14,D134=policy_name_clustering!$A$15,policy_name_clustering!$C$15,D134=policy_name_clustering!$A$16,policy_name_clustering!$C$16,D134="-","",D134=policy_name_clustering!$A$4,policy_name_clustering!$C$4)</f>
        <v>Policy mix</v>
      </c>
      <c r="F134">
        <f>policy_contributions_cum!F44</f>
        <v>3740.3404900901301</v>
      </c>
      <c r="G134">
        <f>wind_cump_cap!C133</f>
        <v>6110.5429999999997</v>
      </c>
      <c r="H134">
        <f>estimated_capacity!C129</f>
        <v>5465.7766844221396</v>
      </c>
      <c r="I134" cm="1">
        <f t="array" ref="I134">_xlfn.IFS(D134= ""," ",D134&lt;&gt; " ",F134*(G134/H134))</f>
        <v>4181.5669975095543</v>
      </c>
      <c r="J134" cm="1">
        <f t="array" ref="J134">_xlfn.IFS(D134= ""," ",D134&lt;&gt; " ",(H134-F134)*(G134/H134))</f>
        <v>1928.9760024904456</v>
      </c>
      <c r="K134" cm="1">
        <f t="array" ref="K134">IF(ISNUMBER(H134),_xlfn.IFS(D134= ""," ",D134&lt;&gt; " ",F134*(G134/H134)),"")</f>
        <v>4181.5669975095543</v>
      </c>
    </row>
    <row r="135" spans="1:11" x14ac:dyDescent="0.35">
      <c r="A135" t="s">
        <v>20</v>
      </c>
      <c r="B135">
        <v>2020</v>
      </c>
      <c r="D135" s="3" t="s">
        <v>158</v>
      </c>
      <c r="E135" t="str" cm="1">
        <f t="array" ref="E135">_xlfn.IFS(D135=policy_name_clustering!$A$2,policy_name_clustering!$C$2,D135=policy_name_clustering!$A$3,policy_name_clustering!$C$3,D135=policy_name_clustering!$A$5,policy_name_clustering!$C$5,D135=policy_name_clustering!$A$6,policy_name_clustering!$C$6,D135=policy_name_clustering!$A$7,policy_name_clustering!$C$7,D135=policy_name_clustering!$A$8,policy_name_clustering!$C$8,D135=policy_name_clustering!$A$9,policy_name_clustering!$C$9,D135=policy_name_clustering!$A$10,policy_name_clustering!$C$10,D135=policy_name_clustering!$A$11,policy_name_clustering!$C$11,D135=policy_name_clustering!$A$12,policy_name_clustering!$C$12,D135=policy_name_clustering!$A$13,policy_name_clustering!$C$13,D135=policy_name_clustering!$A$14,policy_name_clustering!$C$14,D135=policy_name_clustering!$A$15,policy_name_clustering!$C$15,D135=policy_name_clustering!$A$16,policy_name_clustering!$C$16,D135="-","",D135=policy_name_clustering!$A$4,policy_name_clustering!$C$4)</f>
        <v>Policy mix</v>
      </c>
      <c r="F135">
        <f>policy_contributions_cum!F45</f>
        <v>4087.60128601821</v>
      </c>
      <c r="G135">
        <f>wind_cump_cap!C134</f>
        <v>6258.5370000000003</v>
      </c>
      <c r="H135">
        <f>estimated_capacity!C130</f>
        <v>5711.5982356832701</v>
      </c>
      <c r="I135" cm="1">
        <f t="array" ref="I135">_xlfn.IFS(D135= ""," ",D135&lt;&gt; " ",F135*(G135/H135))</f>
        <v>4479.0272064246774</v>
      </c>
      <c r="J135" cm="1">
        <f t="array" ref="J135">_xlfn.IFS(D135= ""," ",D135&lt;&gt; " ",(H135-F135)*(G135/H135))</f>
        <v>1779.5097935753236</v>
      </c>
      <c r="K135" cm="1">
        <f t="array" ref="K135">IF(ISNUMBER(H135),_xlfn.IFS(D135= ""," ",D135&lt;&gt; " ",F135*(G135/H135)),"")</f>
        <v>4479.0272064246774</v>
      </c>
    </row>
    <row r="136" spans="1:11" x14ac:dyDescent="0.35">
      <c r="A136" t="s">
        <v>20</v>
      </c>
      <c r="B136">
        <v>2021</v>
      </c>
      <c r="C136" t="s">
        <v>76</v>
      </c>
      <c r="D136" s="3" t="s">
        <v>158</v>
      </c>
      <c r="E136" t="str" cm="1">
        <f t="array" ref="E136">_xlfn.IFS(D136=policy_name_clustering!$A$2,policy_name_clustering!$C$2,D136=policy_name_clustering!$A$3,policy_name_clustering!$C$3,D136=policy_name_clustering!$A$5,policy_name_clustering!$C$5,D136=policy_name_clustering!$A$6,policy_name_clustering!$C$6,D136=policy_name_clustering!$A$7,policy_name_clustering!$C$7,D136=policy_name_clustering!$A$8,policy_name_clustering!$C$8,D136=policy_name_clustering!$A$9,policy_name_clustering!$C$9,D136=policy_name_clustering!$A$10,policy_name_clustering!$C$10,D136=policy_name_clustering!$A$11,policy_name_clustering!$C$11,D136=policy_name_clustering!$A$12,policy_name_clustering!$C$12,D136=policy_name_clustering!$A$13,policy_name_clustering!$C$13,D136=policy_name_clustering!$A$14,policy_name_clustering!$C$14,D136=policy_name_clustering!$A$15,policy_name_clustering!$C$15,D136=policy_name_clustering!$A$16,policy_name_clustering!$C$16,D136="-","",D136=policy_name_clustering!$A$4,policy_name_clustering!$C$4)</f>
        <v>Policy mix</v>
      </c>
      <c r="F136">
        <f>policy_contributions_cum!F46</f>
        <v>4414.3096559145397</v>
      </c>
      <c r="G136">
        <f>wind_cump_cap!C135</f>
        <v>7003.9480000000003</v>
      </c>
      <c r="H136">
        <f>estimated_capacity!C131</f>
        <v>5936.8427643882897</v>
      </c>
      <c r="I136" cm="1">
        <f t="array" ref="I136">_xlfn.IFS(D136= ""," ",D136&lt;&gt; " ",F136*(G136/H136))</f>
        <v>5207.750400832615</v>
      </c>
      <c r="J136" cm="1">
        <f t="array" ref="J136">_xlfn.IFS(D136= ""," ",D136&lt;&gt; " ",(H136-F136)*(G136/H136))</f>
        <v>1796.1975991673844</v>
      </c>
      <c r="K136" cm="1">
        <f t="array" ref="K136">IF(ISNUMBER(H136),_xlfn.IFS(D136= ""," ",D136&lt;&gt; " ",F136*(G136/H136)),"")</f>
        <v>5207.750400832615</v>
      </c>
    </row>
    <row r="137" spans="1:11" x14ac:dyDescent="0.35">
      <c r="A137" t="s">
        <v>20</v>
      </c>
      <c r="B137">
        <v>2022</v>
      </c>
      <c r="C137" t="s">
        <v>67</v>
      </c>
      <c r="D137" s="3" t="s">
        <v>158</v>
      </c>
      <c r="E137" t="str" cm="1">
        <f t="array" ref="E137">_xlfn.IFS(D137=policy_name_clustering!$A$2,policy_name_clustering!$C$2,D137=policy_name_clustering!$A$3,policy_name_clustering!$C$3,D137=policy_name_clustering!$A$5,policy_name_clustering!$C$5,D137=policy_name_clustering!$A$6,policy_name_clustering!$C$6,D137=policy_name_clustering!$A$7,policy_name_clustering!$C$7,D137=policy_name_clustering!$A$8,policy_name_clustering!$C$8,D137=policy_name_clustering!$A$9,policy_name_clustering!$C$9,D137=policy_name_clustering!$A$10,policy_name_clustering!$C$10,D137=policy_name_clustering!$A$11,policy_name_clustering!$C$11,D137=policy_name_clustering!$A$12,policy_name_clustering!$C$12,D137=policy_name_clustering!$A$13,policy_name_clustering!$C$13,D137=policy_name_clustering!$A$14,policy_name_clustering!$C$14,D137=policy_name_clustering!$A$15,policy_name_clustering!$C$15,D137=policy_name_clustering!$A$16,policy_name_clustering!$C$16,D137="-","",D137=policy_name_clustering!$A$4,policy_name_clustering!$C$4)</f>
        <v>Policy mix</v>
      </c>
      <c r="F137">
        <f>policy_contributions_cum!F47</f>
        <v>4712.6666049242403</v>
      </c>
      <c r="G137">
        <f>wind_cump_cap!C136</f>
        <v>7083.8180000000002</v>
      </c>
      <c r="H137">
        <f>estimated_capacity!C132</f>
        <v>6133.7239074642603</v>
      </c>
      <c r="I137" cm="1">
        <f t="array" ref="I137">_xlfn.IFS(D137= ""," ",D137&lt;&gt; " ",F137*(G137/H137))</f>
        <v>5442.6434948165697</v>
      </c>
      <c r="J137" cm="1">
        <f t="array" ref="J137">_xlfn.IFS(D137= ""," ",D137&lt;&gt; " ",(H137-F137)*(G137/H137))</f>
        <v>1641.1745051834312</v>
      </c>
      <c r="K137" cm="1">
        <f t="array" ref="K137">IF(ISNUMBER(H137),_xlfn.IFS(D137= ""," ",D137&lt;&gt; " ",F137*(G137/H137)),"")</f>
        <v>5442.6434948165697</v>
      </c>
    </row>
    <row r="138" spans="1:11" x14ac:dyDescent="0.35">
      <c r="A138" t="s">
        <v>20</v>
      </c>
      <c r="B138">
        <v>2023</v>
      </c>
      <c r="D138" s="3" t="s">
        <v>158</v>
      </c>
      <c r="E138" t="str" cm="1">
        <f t="array" ref="E138">_xlfn.IFS(D138=policy_name_clustering!$A$2,policy_name_clustering!$C$2,D138=policy_name_clustering!$A$3,policy_name_clustering!$C$3,D138=policy_name_clustering!$A$5,policy_name_clustering!$C$5,D138=policy_name_clustering!$A$6,policy_name_clustering!$C$6,D138=policy_name_clustering!$A$7,policy_name_clustering!$C$7,D138=policy_name_clustering!$A$8,policy_name_clustering!$C$8,D138=policy_name_clustering!$A$9,policy_name_clustering!$C$9,D138=policy_name_clustering!$A$10,policy_name_clustering!$C$10,D138=policy_name_clustering!$A$11,policy_name_clustering!$C$11,D138=policy_name_clustering!$A$12,policy_name_clustering!$C$12,D138=policy_name_clustering!$A$13,policy_name_clustering!$C$13,D138=policy_name_clustering!$A$14,policy_name_clustering!$C$14,D138=policy_name_clustering!$A$15,policy_name_clustering!$C$15,D138=policy_name_clustering!$A$16,policy_name_clustering!$C$16,D138="-","",D138=policy_name_clustering!$A$4,policy_name_clustering!$C$4)</f>
        <v>Policy mix</v>
      </c>
      <c r="F138">
        <f>policy_contributions_cum!F48</f>
        <v>5016.7081483878501</v>
      </c>
      <c r="G138">
        <f>wind_cump_cap!C137</f>
        <v>7277.0060000000003</v>
      </c>
      <c r="H138">
        <f>estimated_capacity!C133</f>
        <v>6336.2846842398203</v>
      </c>
      <c r="I138" cm="1">
        <f t="array" ref="I138">_xlfn.IFS(D138= ""," ",D138&lt;&gt; " ",F138*(G138/H138))</f>
        <v>5761.5175320120688</v>
      </c>
      <c r="J138" cm="1">
        <f t="array" ref="J138">_xlfn.IFS(D138= ""," ",D138&lt;&gt; " ",(H138-F138)*(G138/H138))</f>
        <v>1515.4884679879322</v>
      </c>
      <c r="K138" cm="1">
        <f t="array" ref="K138">IF(ISNUMBER(H138),_xlfn.IFS(D138= ""," ",D138&lt;&gt; " ",F138*(G138/H138)),"")</f>
        <v>5761.5175320120688</v>
      </c>
    </row>
    <row r="139" spans="1:11" x14ac:dyDescent="0.35">
      <c r="A139" t="s">
        <v>8</v>
      </c>
      <c r="B139">
        <v>1991</v>
      </c>
      <c r="D139" s="3" t="s">
        <v>137</v>
      </c>
      <c r="E139" t="str" cm="1">
        <f t="array" ref="E139">_xlfn.IFS(D139=policy_name_clustering!$A$2,policy_name_clustering!$C$2,D139=policy_name_clustering!$A$3,policy_name_clustering!$C$3,D139=policy_name_clustering!$A$5,policy_name_clustering!$C$5,D139=policy_name_clustering!$A$6,policy_name_clustering!$C$6,D139=policy_name_clustering!$A$7,policy_name_clustering!$C$7,D139=policy_name_clustering!$A$8,policy_name_clustering!$C$8,D139=policy_name_clustering!$A$9,policy_name_clustering!$C$9,D139=policy_name_clustering!$A$10,policy_name_clustering!$C$10,D139=policy_name_clustering!$A$11,policy_name_clustering!$C$11,D139=policy_name_clustering!$A$12,policy_name_clustering!$C$12,D139=policy_name_clustering!$A$13,policy_name_clustering!$C$13,D139=policy_name_clustering!$A$14,policy_name_clustering!$C$14,D139=policy_name_clustering!$A$15,policy_name_clustering!$C$15,D139=policy_name_clustering!$A$16,policy_name_clustering!$C$16,D139="-","",D139=policy_name_clustering!$A$4,policy_name_clustering!$C$4)</f>
        <v/>
      </c>
      <c r="G139">
        <f>wind_cump_cap!C139</f>
        <v>3</v>
      </c>
      <c r="H139">
        <f>estimated_capacity!C134</f>
        <v>2.63679788261175</v>
      </c>
      <c r="I139" cm="1">
        <f t="array" ref="I139">_xlfn.IFS(D139= ""," ",D139&lt;&gt; " ",F139*(G139/H139))</f>
        <v>0</v>
      </c>
      <c r="J139" cm="1">
        <f t="array" ref="J139">_xlfn.IFS(D139= ""," ",D139&lt;&gt; " ",(H139-F139)*(G139/H139))</f>
        <v>3</v>
      </c>
      <c r="K139" cm="1">
        <f t="array" ref="K139">IF(ISNUMBER(H139),_xlfn.IFS(D139= ""," ",D139&lt;&gt; " ",F139*(G139/H139)),"")</f>
        <v>0</v>
      </c>
    </row>
    <row r="140" spans="1:11" x14ac:dyDescent="0.35">
      <c r="A140" t="s">
        <v>8</v>
      </c>
      <c r="B140">
        <v>1992</v>
      </c>
      <c r="D140" s="3" t="s">
        <v>137</v>
      </c>
      <c r="E140" t="str" cm="1">
        <f t="array" ref="E140">_xlfn.IFS(D140=policy_name_clustering!$A$2,policy_name_clustering!$C$2,D140=policy_name_clustering!$A$3,policy_name_clustering!$C$3,D140=policy_name_clustering!$A$5,policy_name_clustering!$C$5,D140=policy_name_clustering!$A$6,policy_name_clustering!$C$6,D140=policy_name_clustering!$A$7,policy_name_clustering!$C$7,D140=policy_name_clustering!$A$8,policy_name_clustering!$C$8,D140=policy_name_clustering!$A$9,policy_name_clustering!$C$9,D140=policy_name_clustering!$A$10,policy_name_clustering!$C$10,D140=policy_name_clustering!$A$11,policy_name_clustering!$C$11,D140=policy_name_clustering!$A$12,policy_name_clustering!$C$12,D140=policy_name_clustering!$A$13,policy_name_clustering!$C$13,D140=policy_name_clustering!$A$14,policy_name_clustering!$C$14,D140=policy_name_clustering!$A$15,policy_name_clustering!$C$15,D140=policy_name_clustering!$A$16,policy_name_clustering!$C$16,D140="-","",D140=policy_name_clustering!$A$4,policy_name_clustering!$C$4)</f>
        <v/>
      </c>
      <c r="G140">
        <f>wind_cump_cap!C140</f>
        <v>33</v>
      </c>
      <c r="H140">
        <f>estimated_capacity!C135</f>
        <v>6.88318113951948</v>
      </c>
      <c r="I140" cm="1">
        <f t="array" ref="I140">_xlfn.IFS(D140= ""," ",D140&lt;&gt; " ",F140*(G140/H140))</f>
        <v>0</v>
      </c>
      <c r="J140" cm="1">
        <f t="array" ref="J140">_xlfn.IFS(D140= ""," ",D140&lt;&gt; " ",(H140-F140)*(G140/H140))</f>
        <v>33</v>
      </c>
      <c r="K140" cm="1">
        <f t="array" ref="K140">IF(ISNUMBER(H140),_xlfn.IFS(D140= ""," ",D140&lt;&gt; " ",F140*(G140/H140)),"")</f>
        <v>0</v>
      </c>
    </row>
    <row r="141" spans="1:11" x14ac:dyDescent="0.35">
      <c r="A141" t="s">
        <v>8</v>
      </c>
      <c r="B141">
        <v>1993</v>
      </c>
      <c r="D141" s="3" t="s">
        <v>137</v>
      </c>
      <c r="E141" t="str" cm="1">
        <f t="array" ref="E141">_xlfn.IFS(D141=policy_name_clustering!$A$2,policy_name_clustering!$C$2,D141=policy_name_clustering!$A$3,policy_name_clustering!$C$3,D141=policy_name_clustering!$A$5,policy_name_clustering!$C$5,D141=policy_name_clustering!$A$6,policy_name_clustering!$C$6,D141=policy_name_clustering!$A$7,policy_name_clustering!$C$7,D141=policy_name_clustering!$A$8,policy_name_clustering!$C$8,D141=policy_name_clustering!$A$9,policy_name_clustering!$C$9,D141=policy_name_clustering!$A$10,policy_name_clustering!$C$10,D141=policy_name_clustering!$A$11,policy_name_clustering!$C$11,D141=policy_name_clustering!$A$12,policy_name_clustering!$C$12,D141=policy_name_clustering!$A$13,policy_name_clustering!$C$13,D141=policy_name_clustering!$A$14,policy_name_clustering!$C$14,D141=policy_name_clustering!$A$15,policy_name_clustering!$C$15,D141=policy_name_clustering!$A$16,policy_name_clustering!$C$16,D141="-","",D141=policy_name_clustering!$A$4,policy_name_clustering!$C$4)</f>
        <v/>
      </c>
      <c r="G141">
        <f>wind_cump_cap!C141</f>
        <v>34</v>
      </c>
      <c r="H141">
        <f>estimated_capacity!C136</f>
        <v>18.564603227044</v>
      </c>
      <c r="I141" cm="1">
        <f t="array" ref="I141">_xlfn.IFS(D141= ""," ",D141&lt;&gt; " ",F141*(G141/H141))</f>
        <v>0</v>
      </c>
      <c r="J141" cm="1">
        <f t="array" ref="J141">_xlfn.IFS(D141= ""," ",D141&lt;&gt; " ",(H141-F141)*(G141/H141))</f>
        <v>34</v>
      </c>
      <c r="K141" cm="1">
        <f t="array" ref="K141">IF(ISNUMBER(H141),_xlfn.IFS(D141= ""," ",D141&lt;&gt; " ",F141*(G141/H141)),"")</f>
        <v>0</v>
      </c>
    </row>
    <row r="142" spans="1:11" x14ac:dyDescent="0.35">
      <c r="A142" t="s">
        <v>8</v>
      </c>
      <c r="B142">
        <v>1994</v>
      </c>
      <c r="C142" t="s">
        <v>77</v>
      </c>
      <c r="D142" s="3" t="s">
        <v>40</v>
      </c>
      <c r="E142" t="str" cm="1">
        <f t="array" ref="E142">_xlfn.IFS(D142=policy_name_clustering!$A$2,policy_name_clustering!$C$2,D142=policy_name_clustering!$A$3,policy_name_clustering!$C$3,D142=policy_name_clustering!$A$5,policy_name_clustering!$C$5,D142=policy_name_clustering!$A$6,policy_name_clustering!$C$6,D142=policy_name_clustering!$A$7,policy_name_clustering!$C$7,D142=policy_name_clustering!$A$8,policy_name_clustering!$C$8,D142=policy_name_clustering!$A$9,policy_name_clustering!$C$9,D142=policy_name_clustering!$A$10,policy_name_clustering!$C$10,D142=policy_name_clustering!$A$11,policy_name_clustering!$C$11,D142=policy_name_clustering!$A$12,policy_name_clustering!$C$12,D142=policy_name_clustering!$A$13,policy_name_clustering!$C$13,D142=policy_name_clustering!$A$14,policy_name_clustering!$C$14,D142=policy_name_clustering!$A$15,policy_name_clustering!$C$15,D142=policy_name_clustering!$A$16,policy_name_clustering!$C$16,D142="-","",D142=policy_name_clustering!$A$4,policy_name_clustering!$C$4)</f>
        <v>FiT/FiP-based</v>
      </c>
      <c r="F142">
        <f>policy_contributions_cum!F54</f>
        <v>28.568404049243799</v>
      </c>
      <c r="G142">
        <f>wind_cump_cap!C142</f>
        <v>41</v>
      </c>
      <c r="H142">
        <f>estimated_capacity!C137</f>
        <v>64.471477216127695</v>
      </c>
      <c r="I142" cm="1">
        <f t="array" ref="I142">_xlfn.IFS(D142= ""," ",D142&lt;&gt; " ",F142*(G142/H142))</f>
        <v>18.167794761277644</v>
      </c>
      <c r="J142" cm="1">
        <f t="array" ref="J142">_xlfn.IFS(D142= ""," ",D142&lt;&gt; " ",(H142-F142)*(G142/H142))</f>
        <v>22.832205238722356</v>
      </c>
      <c r="K142" cm="1">
        <f t="array" ref="K142">IF(ISNUMBER(H142),_xlfn.IFS(D142= ""," ",D142&lt;&gt; " ",F142*(G142/H142)),"")</f>
        <v>18.167794761277644</v>
      </c>
    </row>
    <row r="143" spans="1:11" x14ac:dyDescent="0.35">
      <c r="A143" t="s">
        <v>8</v>
      </c>
      <c r="B143">
        <v>1995</v>
      </c>
      <c r="C143" t="s">
        <v>77</v>
      </c>
      <c r="D143" s="3" t="s">
        <v>40</v>
      </c>
      <c r="E143" t="str" cm="1">
        <f t="array" ref="E143">_xlfn.IFS(D143=policy_name_clustering!$A$2,policy_name_clustering!$C$2,D143=policy_name_clustering!$A$3,policy_name_clustering!$C$3,D143=policy_name_clustering!$A$5,policy_name_clustering!$C$5,D143=policy_name_clustering!$A$6,policy_name_clustering!$C$6,D143=policy_name_clustering!$A$7,policy_name_clustering!$C$7,D143=policy_name_clustering!$A$8,policy_name_clustering!$C$8,D143=policy_name_clustering!$A$9,policy_name_clustering!$C$9,D143=policy_name_clustering!$A$10,policy_name_clustering!$C$10,D143=policy_name_clustering!$A$11,policy_name_clustering!$C$11,D143=policy_name_clustering!$A$12,policy_name_clustering!$C$12,D143=policy_name_clustering!$A$13,policy_name_clustering!$C$13,D143=policy_name_clustering!$A$14,policy_name_clustering!$C$14,D143=policy_name_clustering!$A$15,policy_name_clustering!$C$15,D143=policy_name_clustering!$A$16,policy_name_clustering!$C$16,D143="-","",D143=policy_name_clustering!$A$4,policy_name_clustering!$C$4)</f>
        <v>FiT/FiP-based</v>
      </c>
      <c r="F143">
        <f>policy_contributions_cum!F55</f>
        <v>98.531787018802703</v>
      </c>
      <c r="G143">
        <f>wind_cump_cap!C143</f>
        <v>98</v>
      </c>
      <c r="H143">
        <f>estimated_capacity!C138</f>
        <v>162.83423338009601</v>
      </c>
      <c r="I143" cm="1">
        <f t="array" ref="I143">_xlfn.IFS(D143= ""," ",D143&lt;&gt; " ",F143*(G143/H143))</f>
        <v>59.30027689756654</v>
      </c>
      <c r="J143" cm="1">
        <f t="array" ref="J143">_xlfn.IFS(D143= ""," ",D143&lt;&gt; " ",(H143-F143)*(G143/H143))</f>
        <v>38.699723102433467</v>
      </c>
      <c r="K143" cm="1">
        <f t="array" ref="K143">IF(ISNUMBER(H143),_xlfn.IFS(D143= ""," ",D143&lt;&gt; " ",F143*(G143/H143)),"")</f>
        <v>59.30027689756654</v>
      </c>
    </row>
    <row r="144" spans="1:11" x14ac:dyDescent="0.35">
      <c r="A144" t="s">
        <v>8</v>
      </c>
      <c r="B144">
        <v>1996</v>
      </c>
      <c r="C144" t="s">
        <v>77</v>
      </c>
      <c r="D144" s="3" t="s">
        <v>40</v>
      </c>
      <c r="E144" t="str" cm="1">
        <f t="array" ref="E144">_xlfn.IFS(D144=policy_name_clustering!$A$2,policy_name_clustering!$C$2,D144=policy_name_clustering!$A$3,policy_name_clustering!$C$3,D144=policy_name_clustering!$A$5,policy_name_clustering!$C$5,D144=policy_name_clustering!$A$6,policy_name_clustering!$C$6,D144=policy_name_clustering!$A$7,policy_name_clustering!$C$7,D144=policy_name_clustering!$A$8,policy_name_clustering!$C$8,D144=policy_name_clustering!$A$9,policy_name_clustering!$C$9,D144=policy_name_clustering!$A$10,policy_name_clustering!$C$10,D144=policy_name_clustering!$A$11,policy_name_clustering!$C$11,D144=policy_name_clustering!$A$12,policy_name_clustering!$C$12,D144=policy_name_clustering!$A$13,policy_name_clustering!$C$13,D144=policy_name_clustering!$A$14,policy_name_clustering!$C$14,D144=policy_name_clustering!$A$15,policy_name_clustering!$C$15,D144=policy_name_clustering!$A$16,policy_name_clustering!$C$16,D144="-","",D144=policy_name_clustering!$A$4,policy_name_clustering!$C$4)</f>
        <v>FiT/FiP-based</v>
      </c>
      <c r="F144">
        <f>policy_contributions_cum!F56</f>
        <v>229.06719199937399</v>
      </c>
      <c r="G144">
        <f>wind_cump_cap!C144</f>
        <v>227</v>
      </c>
      <c r="H144">
        <f>estimated_capacity!C139</f>
        <v>335.55232828517899</v>
      </c>
      <c r="I144" cm="1">
        <f t="array" ref="I144">_xlfn.IFS(D144= ""," ",D144&lt;&gt; " ",F144*(G144/H144))</f>
        <v>154.96317027389438</v>
      </c>
      <c r="J144" cm="1">
        <f t="array" ref="J144">_xlfn.IFS(D144= ""," ",D144&lt;&gt; " ",(H144-F144)*(G144/H144))</f>
        <v>72.036829726105623</v>
      </c>
      <c r="K144" cm="1">
        <f t="array" ref="K144">IF(ISNUMBER(H144),_xlfn.IFS(D144= ""," ",D144&lt;&gt; " ",F144*(G144/H144)),"")</f>
        <v>154.96317027389438</v>
      </c>
    </row>
    <row r="145" spans="1:11" x14ac:dyDescent="0.35">
      <c r="A145" t="s">
        <v>8</v>
      </c>
      <c r="B145">
        <v>1997</v>
      </c>
      <c r="C145" t="s">
        <v>77</v>
      </c>
      <c r="D145" s="3" t="s">
        <v>40</v>
      </c>
      <c r="E145" t="str" cm="1">
        <f t="array" ref="E145">_xlfn.IFS(D145=policy_name_clustering!$A$2,policy_name_clustering!$C$2,D145=policy_name_clustering!$A$3,policy_name_clustering!$C$3,D145=policy_name_clustering!$A$5,policy_name_clustering!$C$5,D145=policy_name_clustering!$A$6,policy_name_clustering!$C$6,D145=policy_name_clustering!$A$7,policy_name_clustering!$C$7,D145=policy_name_clustering!$A$8,policy_name_clustering!$C$8,D145=policy_name_clustering!$A$9,policy_name_clustering!$C$9,D145=policy_name_clustering!$A$10,policy_name_clustering!$C$10,D145=policy_name_clustering!$A$11,policy_name_clustering!$C$11,D145=policy_name_clustering!$A$12,policy_name_clustering!$C$12,D145=policy_name_clustering!$A$13,policy_name_clustering!$C$13,D145=policy_name_clustering!$A$14,policy_name_clustering!$C$14,D145=policy_name_clustering!$A$15,policy_name_clustering!$C$15,D145=policy_name_clustering!$A$16,policy_name_clustering!$C$16,D145="-","",D145=policy_name_clustering!$A$4,policy_name_clustering!$C$4)</f>
        <v>FiT/FiP-based</v>
      </c>
      <c r="F145">
        <f>policy_contributions_cum!F57</f>
        <v>451.740992570515</v>
      </c>
      <c r="G145">
        <f>wind_cump_cap!C145</f>
        <v>420</v>
      </c>
      <c r="H145">
        <f>estimated_capacity!C140</f>
        <v>619.57781117161699</v>
      </c>
      <c r="I145" cm="1">
        <f t="array" ref="I145">_xlfn.IFS(D145= ""," ",D145&lt;&gt; " ",F145*(G145/H145))</f>
        <v>306.22661667117484</v>
      </c>
      <c r="J145" cm="1">
        <f t="array" ref="J145">_xlfn.IFS(D145= ""," ",D145&lt;&gt; " ",(H145-F145)*(G145/H145))</f>
        <v>113.77338332882516</v>
      </c>
      <c r="K145" cm="1">
        <f t="array" ref="K145">IF(ISNUMBER(H145),_xlfn.IFS(D145= ""," ",D145&lt;&gt; " ",F145*(G145/H145)),"")</f>
        <v>306.22661667117484</v>
      </c>
    </row>
    <row r="146" spans="1:11" x14ac:dyDescent="0.35">
      <c r="A146" t="s">
        <v>8</v>
      </c>
      <c r="B146">
        <v>1998</v>
      </c>
      <c r="C146" t="s">
        <v>78</v>
      </c>
      <c r="D146" s="3" t="s">
        <v>40</v>
      </c>
      <c r="E146" t="str" cm="1">
        <f t="array" ref="E146">_xlfn.IFS(D146=policy_name_clustering!$A$2,policy_name_clustering!$C$2,D146=policy_name_clustering!$A$3,policy_name_clustering!$C$3,D146=policy_name_clustering!$A$5,policy_name_clustering!$C$5,D146=policy_name_clustering!$A$6,policy_name_clustering!$C$6,D146=policy_name_clustering!$A$7,policy_name_clustering!$C$7,D146=policy_name_clustering!$A$8,policy_name_clustering!$C$8,D146=policy_name_clustering!$A$9,policy_name_clustering!$C$9,D146=policy_name_clustering!$A$10,policy_name_clustering!$C$10,D146=policy_name_clustering!$A$11,policy_name_clustering!$C$11,D146=policy_name_clustering!$A$12,policy_name_clustering!$C$12,D146=policy_name_clustering!$A$13,policy_name_clustering!$C$13,D146=policy_name_clustering!$A$14,policy_name_clustering!$C$14,D146=policy_name_clustering!$A$15,policy_name_clustering!$C$15,D146=policy_name_clustering!$A$16,policy_name_clustering!$C$16,D146="-","",D146=policy_name_clustering!$A$4,policy_name_clustering!$C$4)</f>
        <v>FiT/FiP-based</v>
      </c>
      <c r="F146">
        <f>policy_contributions_cum!F58</f>
        <v>779.22399315862401</v>
      </c>
      <c r="G146">
        <f>wind_cump_cap!C146</f>
        <v>848</v>
      </c>
      <c r="H146">
        <f>estimated_capacity!C141</f>
        <v>1014.67199731774</v>
      </c>
      <c r="I146" cm="1">
        <f t="array" ref="I146">_xlfn.IFS(D146= ""," ",D146&lt;&gt; " ",F146*(G146/H146))</f>
        <v>651.22714329879386</v>
      </c>
      <c r="J146" cm="1">
        <f t="array" ref="J146">_xlfn.IFS(D146= ""," ",D146&lt;&gt; " ",(H146-F146)*(G146/H146))</f>
        <v>196.77285670120622</v>
      </c>
      <c r="K146" cm="1">
        <f t="array" ref="K146">IF(ISNUMBER(H146),_xlfn.IFS(D146= ""," ",D146&lt;&gt; " ",F146*(G146/H146)),"")</f>
        <v>651.22714329879386</v>
      </c>
    </row>
    <row r="147" spans="1:11" x14ac:dyDescent="0.35">
      <c r="A147" t="s">
        <v>8</v>
      </c>
      <c r="B147">
        <v>1999</v>
      </c>
      <c r="C147" t="s">
        <v>79</v>
      </c>
      <c r="D147" s="3" t="s">
        <v>40</v>
      </c>
      <c r="E147" t="str" cm="1">
        <f t="array" ref="E147">_xlfn.IFS(D147=policy_name_clustering!$A$2,policy_name_clustering!$C$2,D147=policy_name_clustering!$A$3,policy_name_clustering!$C$3,D147=policy_name_clustering!$A$5,policy_name_clustering!$C$5,D147=policy_name_clustering!$A$6,policy_name_clustering!$C$6,D147=policy_name_clustering!$A$7,policy_name_clustering!$C$7,D147=policy_name_clustering!$A$8,policy_name_clustering!$C$8,D147=policy_name_clustering!$A$9,policy_name_clustering!$C$9,D147=policy_name_clustering!$A$10,policy_name_clustering!$C$10,D147=policy_name_clustering!$A$11,policy_name_clustering!$C$11,D147=policy_name_clustering!$A$12,policy_name_clustering!$C$12,D147=policy_name_clustering!$A$13,policy_name_clustering!$C$13,D147=policy_name_clustering!$A$14,policy_name_clustering!$C$14,D147=policy_name_clustering!$A$15,policy_name_clustering!$C$15,D147=policy_name_clustering!$A$16,policy_name_clustering!$C$16,D147="-","",D147=policy_name_clustering!$A$4,policy_name_clustering!$C$4)</f>
        <v>FiT/FiP-based</v>
      </c>
      <c r="F147">
        <f>policy_contributions_cum!F59</f>
        <v>1265.20561657397</v>
      </c>
      <c r="G147">
        <f>wind_cump_cap!C147</f>
        <v>1613</v>
      </c>
      <c r="H147">
        <f>estimated_capacity!C142</f>
        <v>1583.06337492794</v>
      </c>
      <c r="I147" cm="1">
        <f t="array" ref="I147">_xlfn.IFS(D147= ""," ",D147&lt;&gt; " ",F147*(G147/H147))</f>
        <v>1289.1313713999027</v>
      </c>
      <c r="J147" cm="1">
        <f t="array" ref="J147">_xlfn.IFS(D147= ""," ",D147&lt;&gt; " ",(H147-F147)*(G147/H147))</f>
        <v>323.86862860009734</v>
      </c>
      <c r="K147" cm="1">
        <f t="array" ref="K147">IF(ISNUMBER(H147),_xlfn.IFS(D147= ""," ",D147&lt;&gt; " ",F147*(G147/H147)),"")</f>
        <v>1289.1313713999027</v>
      </c>
    </row>
    <row r="148" spans="1:11" x14ac:dyDescent="0.35">
      <c r="A148" t="s">
        <v>8</v>
      </c>
      <c r="B148">
        <v>2000</v>
      </c>
      <c r="C148" t="s">
        <v>80</v>
      </c>
      <c r="D148" s="3" t="s">
        <v>40</v>
      </c>
      <c r="E148" t="str" cm="1">
        <f t="array" ref="E148">_xlfn.IFS(D148=policy_name_clustering!$A$2,policy_name_clustering!$C$2,D148=policy_name_clustering!$A$3,policy_name_clustering!$C$3,D148=policy_name_clustering!$A$5,policy_name_clustering!$C$5,D148=policy_name_clustering!$A$6,policy_name_clustering!$C$6,D148=policy_name_clustering!$A$7,policy_name_clustering!$C$7,D148=policy_name_clustering!$A$8,policy_name_clustering!$C$8,D148=policy_name_clustering!$A$9,policy_name_clustering!$C$9,D148=policy_name_clustering!$A$10,policy_name_clustering!$C$10,D148=policy_name_clustering!$A$11,policy_name_clustering!$C$11,D148=policy_name_clustering!$A$12,policy_name_clustering!$C$12,D148=policy_name_clustering!$A$13,policy_name_clustering!$C$13,D148=policy_name_clustering!$A$14,policy_name_clustering!$C$14,D148=policy_name_clustering!$A$15,policy_name_clustering!$C$15,D148=policy_name_clustering!$A$16,policy_name_clustering!$C$16,D148="-","",D148=policy_name_clustering!$A$4,policy_name_clustering!$C$4)</f>
        <v>FiT/FiP-based</v>
      </c>
      <c r="F148">
        <f>policy_contributions_cum!F60</f>
        <v>1920.5965980819999</v>
      </c>
      <c r="G148">
        <f>wind_cump_cap!C148</f>
        <v>2206</v>
      </c>
      <c r="H148">
        <f>estimated_capacity!C143</f>
        <v>2323.2383944048402</v>
      </c>
      <c r="I148" cm="1">
        <f t="array" ref="I148">_xlfn.IFS(D148= ""," ",D148&lt;&gt; " ",F148*(G148/H148))</f>
        <v>1823.6768579465004</v>
      </c>
      <c r="J148" cm="1">
        <f t="array" ref="J148">_xlfn.IFS(D148= ""," ",D148&lt;&gt; " ",(H148-F148)*(G148/H148))</f>
        <v>382.3231420534994</v>
      </c>
      <c r="K148" cm="1">
        <f t="array" ref="K148">IF(ISNUMBER(H148),_xlfn.IFS(D148= ""," ",D148&lt;&gt; " ",F148*(G148/H148)),"")</f>
        <v>1823.6768579465004</v>
      </c>
    </row>
    <row r="149" spans="1:11" x14ac:dyDescent="0.35">
      <c r="A149" t="s">
        <v>8</v>
      </c>
      <c r="B149">
        <v>2001</v>
      </c>
      <c r="C149" t="s">
        <v>80</v>
      </c>
      <c r="D149" s="3" t="s">
        <v>40</v>
      </c>
      <c r="E149" t="str" cm="1">
        <f t="array" ref="E149">_xlfn.IFS(D149=policy_name_clustering!$A$2,policy_name_clustering!$C$2,D149=policy_name_clustering!$A$3,policy_name_clustering!$C$3,D149=policy_name_clustering!$A$5,policy_name_clustering!$C$5,D149=policy_name_clustering!$A$6,policy_name_clustering!$C$6,D149=policy_name_clustering!$A$7,policy_name_clustering!$C$7,D149=policy_name_clustering!$A$8,policy_name_clustering!$C$8,D149=policy_name_clustering!$A$9,policy_name_clustering!$C$9,D149=policy_name_clustering!$A$10,policy_name_clustering!$C$10,D149=policy_name_clustering!$A$11,policy_name_clustering!$C$11,D149=policy_name_clustering!$A$12,policy_name_clustering!$C$12,D149=policy_name_clustering!$A$13,policy_name_clustering!$C$13,D149=policy_name_clustering!$A$14,policy_name_clustering!$C$14,D149=policy_name_clustering!$A$15,policy_name_clustering!$C$15,D149=policy_name_clustering!$A$16,policy_name_clustering!$C$16,D149="-","",D149=policy_name_clustering!$A$4,policy_name_clustering!$C$4)</f>
        <v>FiT/FiP-based</v>
      </c>
      <c r="F149">
        <f>policy_contributions_cum!F61</f>
        <v>2854.9413233097598</v>
      </c>
      <c r="G149">
        <f>wind_cump_cap!C149</f>
        <v>3397</v>
      </c>
      <c r="H149">
        <f>estimated_capacity!C144</f>
        <v>3359.0011410962802</v>
      </c>
      <c r="I149" cm="1">
        <f t="array" ref="I149">_xlfn.IFS(D149= ""," ",D149&lt;&gt; " ",F149*(G149/H149))</f>
        <v>2887.2379817406172</v>
      </c>
      <c r="J149" cm="1">
        <f t="array" ref="J149">_xlfn.IFS(D149= ""," ",D149&lt;&gt; " ",(H149-F149)*(G149/H149))</f>
        <v>509.7620182593829</v>
      </c>
      <c r="K149" cm="1">
        <f t="array" ref="K149">IF(ISNUMBER(H149),_xlfn.IFS(D149= ""," ",D149&lt;&gt; " ",F149*(G149/H149)),"")</f>
        <v>2887.2379817406172</v>
      </c>
    </row>
    <row r="150" spans="1:11" x14ac:dyDescent="0.35">
      <c r="A150" t="s">
        <v>8</v>
      </c>
      <c r="B150">
        <v>2002</v>
      </c>
      <c r="C150" t="s">
        <v>81</v>
      </c>
      <c r="D150" s="3" t="s">
        <v>40</v>
      </c>
      <c r="E150" t="str" cm="1">
        <f t="array" ref="E150">_xlfn.IFS(D150=policy_name_clustering!$A$2,policy_name_clustering!$C$2,D150=policy_name_clustering!$A$3,policy_name_clustering!$C$3,D150=policy_name_clustering!$A$5,policy_name_clustering!$C$5,D150=policy_name_clustering!$A$6,policy_name_clustering!$C$6,D150=policy_name_clustering!$A$7,policy_name_clustering!$C$7,D150=policy_name_clustering!$A$8,policy_name_clustering!$C$8,D150=policy_name_clustering!$A$9,policy_name_clustering!$C$9,D150=policy_name_clustering!$A$10,policy_name_clustering!$C$10,D150=policy_name_clustering!$A$11,policy_name_clustering!$C$11,D150=policy_name_clustering!$A$12,policy_name_clustering!$C$12,D150=policy_name_clustering!$A$13,policy_name_clustering!$C$13,D150=policy_name_clustering!$A$14,policy_name_clustering!$C$14,D150=policy_name_clustering!$A$15,policy_name_clustering!$C$15,D150=policy_name_clustering!$A$16,policy_name_clustering!$C$16,D150="-","",D150=policy_name_clustering!$A$4,policy_name_clustering!$C$4)</f>
        <v>FiT/FiP-based</v>
      </c>
      <c r="F150">
        <f>policy_contributions_cum!F62</f>
        <v>4078.2274342422902</v>
      </c>
      <c r="G150">
        <f>wind_cump_cap!C150</f>
        <v>4891</v>
      </c>
      <c r="H150">
        <f>estimated_capacity!C145</f>
        <v>4686.3122946473804</v>
      </c>
      <c r="I150" cm="1">
        <f t="array" ref="I150">_xlfn.IFS(D150= ""," ",D150&lt;&gt; " ",F150*(G150/H150))</f>
        <v>4256.3553444062391</v>
      </c>
      <c r="J150" cm="1">
        <f t="array" ref="J150">_xlfn.IFS(D150= ""," ",D150&lt;&gt; " ",(H150-F150)*(G150/H150))</f>
        <v>634.6446555937614</v>
      </c>
      <c r="K150" cm="1">
        <f t="array" ref="K150">IF(ISNUMBER(H150),_xlfn.IFS(D150= ""," ",D150&lt;&gt; " ",F150*(G150/H150)),"")</f>
        <v>4256.3553444062391</v>
      </c>
    </row>
    <row r="151" spans="1:11" x14ac:dyDescent="0.35">
      <c r="A151" t="s">
        <v>8</v>
      </c>
      <c r="B151">
        <v>2003</v>
      </c>
      <c r="C151" t="s">
        <v>82</v>
      </c>
      <c r="D151" s="3" t="s">
        <v>40</v>
      </c>
      <c r="E151" t="str" cm="1">
        <f t="array" ref="E151">_xlfn.IFS(D151=policy_name_clustering!$A$2,policy_name_clustering!$C$2,D151=policy_name_clustering!$A$3,policy_name_clustering!$C$3,D151=policy_name_clustering!$A$5,policy_name_clustering!$C$5,D151=policy_name_clustering!$A$6,policy_name_clustering!$C$6,D151=policy_name_clustering!$A$7,policy_name_clustering!$C$7,D151=policy_name_clustering!$A$8,policy_name_clustering!$C$8,D151=policy_name_clustering!$A$9,policy_name_clustering!$C$9,D151=policy_name_clustering!$A$10,policy_name_clustering!$C$10,D151=policy_name_clustering!$A$11,policy_name_clustering!$C$11,D151=policy_name_clustering!$A$12,policy_name_clustering!$C$12,D151=policy_name_clustering!$A$13,policy_name_clustering!$C$13,D151=policy_name_clustering!$A$14,policy_name_clustering!$C$14,D151=policy_name_clustering!$A$15,policy_name_clustering!$C$15,D151=policy_name_clustering!$A$16,policy_name_clustering!$C$16,D151="-","",D151=policy_name_clustering!$A$4,policy_name_clustering!$C$4)</f>
        <v>FiT/FiP-based</v>
      </c>
      <c r="F151">
        <f>policy_contributions_cum!F63</f>
        <v>5801.3900383275504</v>
      </c>
      <c r="G151">
        <f>wind_cump_cap!C151</f>
        <v>5945</v>
      </c>
      <c r="H151">
        <f>estimated_capacity!C146</f>
        <v>6534.0086873130504</v>
      </c>
      <c r="I151" cm="1">
        <f t="array" ref="I151">_xlfn.IFS(D151= ""," ",D151&lt;&gt; " ",F151*(G151/H151))</f>
        <v>5278.4233122959231</v>
      </c>
      <c r="J151" cm="1">
        <f t="array" ref="J151">_xlfn.IFS(D151= ""," ",D151&lt;&gt; " ",(H151-F151)*(G151/H151))</f>
        <v>666.57668770407702</v>
      </c>
      <c r="K151" cm="1">
        <f t="array" ref="K151">IF(ISNUMBER(H151),_xlfn.IFS(D151= ""," ",D151&lt;&gt; " ",F151*(G151/H151)),"")</f>
        <v>5278.4233122959231</v>
      </c>
    </row>
    <row r="152" spans="1:11" x14ac:dyDescent="0.35">
      <c r="A152" t="s">
        <v>8</v>
      </c>
      <c r="B152">
        <v>2004</v>
      </c>
      <c r="C152" t="s">
        <v>83</v>
      </c>
      <c r="D152" s="3" t="s">
        <v>40</v>
      </c>
      <c r="E152" t="str" cm="1">
        <f t="array" ref="E152">_xlfn.IFS(D152=policy_name_clustering!$A$2,policy_name_clustering!$C$2,D152=policy_name_clustering!$A$3,policy_name_clustering!$C$3,D152=policy_name_clustering!$A$5,policy_name_clustering!$C$5,D152=policy_name_clustering!$A$6,policy_name_clustering!$C$6,D152=policy_name_clustering!$A$7,policy_name_clustering!$C$7,D152=policy_name_clustering!$A$8,policy_name_clustering!$C$8,D152=policy_name_clustering!$A$9,policy_name_clustering!$C$9,D152=policy_name_clustering!$A$10,policy_name_clustering!$C$10,D152=policy_name_clustering!$A$11,policy_name_clustering!$C$11,D152=policy_name_clustering!$A$12,policy_name_clustering!$C$12,D152=policy_name_clustering!$A$13,policy_name_clustering!$C$13,D152=policy_name_clustering!$A$14,policy_name_clustering!$C$14,D152=policy_name_clustering!$A$15,policy_name_clustering!$C$15,D152=policy_name_clustering!$A$16,policy_name_clustering!$C$16,D152="-","",D152=policy_name_clustering!$A$4,policy_name_clustering!$C$4)</f>
        <v>FiT/FiP-based</v>
      </c>
      <c r="F152">
        <f>policy_contributions_cum!F64</f>
        <v>7959.8080930530596</v>
      </c>
      <c r="G152">
        <f>wind_cump_cap!C152</f>
        <v>8317</v>
      </c>
      <c r="H152">
        <f>estimated_capacity!C147</f>
        <v>8813.5186421105409</v>
      </c>
      <c r="I152" cm="1">
        <f t="array" ref="I152">_xlfn.IFS(D152= ""," ",D152&lt;&gt; " ",F152*(G152/H152))</f>
        <v>7511.3841132205525</v>
      </c>
      <c r="J152" cm="1">
        <f t="array" ref="J152">_xlfn.IFS(D152= ""," ",D152&lt;&gt; " ",(H152-F152)*(G152/H152))</f>
        <v>805.61588677944712</v>
      </c>
      <c r="K152" cm="1">
        <f t="array" ref="K152">IF(ISNUMBER(H152),_xlfn.IFS(D152= ""," ",D152&lt;&gt; " ",F152*(G152/H152)),"")</f>
        <v>7511.3841132205525</v>
      </c>
    </row>
    <row r="153" spans="1:11" x14ac:dyDescent="0.35">
      <c r="A153" t="s">
        <v>8</v>
      </c>
      <c r="B153">
        <v>2005</v>
      </c>
      <c r="C153" t="s">
        <v>85</v>
      </c>
      <c r="D153" s="3" t="s">
        <v>40</v>
      </c>
      <c r="E153" t="str" cm="1">
        <f t="array" ref="E153">_xlfn.IFS(D153=policy_name_clustering!$A$2,policy_name_clustering!$C$2,D153=policy_name_clustering!$A$3,policy_name_clustering!$C$3,D153=policy_name_clustering!$A$5,policy_name_clustering!$C$5,D153=policy_name_clustering!$A$6,policy_name_clustering!$C$6,D153=policy_name_clustering!$A$7,policy_name_clustering!$C$7,D153=policy_name_clustering!$A$8,policy_name_clustering!$C$8,D153=policy_name_clustering!$A$9,policy_name_clustering!$C$9,D153=policy_name_clustering!$A$10,policy_name_clustering!$C$10,D153=policy_name_clustering!$A$11,policy_name_clustering!$C$11,D153=policy_name_clustering!$A$12,policy_name_clustering!$C$12,D153=policy_name_clustering!$A$13,policy_name_clustering!$C$13,D153=policy_name_clustering!$A$14,policy_name_clustering!$C$14,D153=policy_name_clustering!$A$15,policy_name_clustering!$C$15,D153=policy_name_clustering!$A$16,policy_name_clustering!$C$16,D153="-","",D153=policy_name_clustering!$A$4,policy_name_clustering!$C$4)</f>
        <v>FiT/FiP-based</v>
      </c>
      <c r="F153">
        <f>policy_contributions_cum!F65</f>
        <v>10258.3231709804</v>
      </c>
      <c r="G153">
        <f>wind_cump_cap!C153</f>
        <v>9918</v>
      </c>
      <c r="H153">
        <f>estimated_capacity!C148</f>
        <v>11197.886820569</v>
      </c>
      <c r="I153" cm="1">
        <f t="array" ref="I153">_xlfn.IFS(D153= ""," ",D153&lt;&gt; " ",F153*(G153/H153))</f>
        <v>9085.8258205376096</v>
      </c>
      <c r="J153" cm="1">
        <f t="array" ref="J153">_xlfn.IFS(D153= ""," ",D153&lt;&gt; " ",(H153-F153)*(G153/H153))</f>
        <v>832.17417946239073</v>
      </c>
      <c r="K153" cm="1">
        <f t="array" ref="K153">IF(ISNUMBER(H153),_xlfn.IFS(D153= ""," ",D153&lt;&gt; " ",F153*(G153/H153)),"")</f>
        <v>9085.8258205376096</v>
      </c>
    </row>
    <row r="154" spans="1:11" x14ac:dyDescent="0.35">
      <c r="A154" t="s">
        <v>8</v>
      </c>
      <c r="B154">
        <v>2006</v>
      </c>
      <c r="C154" t="s">
        <v>77</v>
      </c>
      <c r="D154" s="3" t="s">
        <v>40</v>
      </c>
      <c r="E154" t="str" cm="1">
        <f t="array" ref="E154">_xlfn.IFS(D154=policy_name_clustering!$A$2,policy_name_clustering!$C$2,D154=policy_name_clustering!$A$3,policy_name_clustering!$C$3,D154=policy_name_clustering!$A$5,policy_name_clustering!$C$5,D154=policy_name_clustering!$A$6,policy_name_clustering!$C$6,D154=policy_name_clustering!$A$7,policy_name_clustering!$C$7,D154=policy_name_clustering!$A$8,policy_name_clustering!$C$8,D154=policy_name_clustering!$A$9,policy_name_clustering!$C$9,D154=policy_name_clustering!$A$10,policy_name_clustering!$C$10,D154=policy_name_clustering!$A$11,policy_name_clustering!$C$11,D154=policy_name_clustering!$A$12,policy_name_clustering!$C$12,D154=policy_name_clustering!$A$13,policy_name_clustering!$C$13,D154=policy_name_clustering!$A$14,policy_name_clustering!$C$14,D154=policy_name_clustering!$A$15,policy_name_clustering!$C$15,D154=policy_name_clustering!$A$16,policy_name_clustering!$C$16,D154="-","",D154=policy_name_clustering!$A$4,policy_name_clustering!$C$4)</f>
        <v>FiT/FiP-based</v>
      </c>
      <c r="F154">
        <f>policy_contributions_cum!F66</f>
        <v>12392.9580251636</v>
      </c>
      <c r="G154">
        <f>wind_cump_cap!C154</f>
        <v>11722</v>
      </c>
      <c r="H154">
        <f>estimated_capacity!C149</f>
        <v>13369.114439942001</v>
      </c>
      <c r="I154" cm="1">
        <f t="array" ref="I154">_xlfn.IFS(D154= ""," ",D154&lt;&gt; " ",F154*(G154/H154))</f>
        <v>10866.108942635241</v>
      </c>
      <c r="J154" cm="1">
        <f t="array" ref="J154">_xlfn.IFS(D154= ""," ",D154&lt;&gt; " ",(H154-F154)*(G154/H154))</f>
        <v>855.89105736475824</v>
      </c>
      <c r="K154" cm="1">
        <f t="array" ref="K154">IF(ISNUMBER(H154),_xlfn.IFS(D154= ""," ",D154&lt;&gt; " ",F154*(G154/H154)),"")</f>
        <v>10866.108942635241</v>
      </c>
    </row>
    <row r="155" spans="1:11" x14ac:dyDescent="0.35">
      <c r="A155" t="s">
        <v>8</v>
      </c>
      <c r="B155">
        <v>2007</v>
      </c>
      <c r="C155" t="s">
        <v>77</v>
      </c>
      <c r="D155" s="3" t="s">
        <v>40</v>
      </c>
      <c r="E155" t="str" cm="1">
        <f t="array" ref="E155">_xlfn.IFS(D155=policy_name_clustering!$A$2,policy_name_clustering!$C$2,D155=policy_name_clustering!$A$3,policy_name_clustering!$C$3,D155=policy_name_clustering!$A$5,policy_name_clustering!$C$5,D155=policy_name_clustering!$A$6,policy_name_clustering!$C$6,D155=policy_name_clustering!$A$7,policy_name_clustering!$C$7,D155=policy_name_clustering!$A$8,policy_name_clustering!$C$8,D155=policy_name_clustering!$A$9,policy_name_clustering!$C$9,D155=policy_name_clustering!$A$10,policy_name_clustering!$C$10,D155=policy_name_clustering!$A$11,policy_name_clustering!$C$11,D155=policy_name_clustering!$A$12,policy_name_clustering!$C$12,D155=policy_name_clustering!$A$13,policy_name_clustering!$C$13,D155=policy_name_clustering!$A$14,policy_name_clustering!$C$14,D155=policy_name_clustering!$A$15,policy_name_clustering!$C$15,D155=policy_name_clustering!$A$16,policy_name_clustering!$C$16,D155="-","",D155=policy_name_clustering!$A$4,policy_name_clustering!$C$4)</f>
        <v>FiT/FiP-based</v>
      </c>
      <c r="F155">
        <f>policy_contributions_cum!F67</f>
        <v>14402.3607934142</v>
      </c>
      <c r="G155">
        <f>wind_cump_cap!C155</f>
        <v>14820</v>
      </c>
      <c r="H155">
        <f>estimated_capacity!C150</f>
        <v>15380.5188649835</v>
      </c>
      <c r="I155" cm="1">
        <f t="array" ref="I155">_xlfn.IFS(D155= ""," ",D155&lt;&gt; " ",F155*(G155/H155))</f>
        <v>13877.489363791201</v>
      </c>
      <c r="J155" cm="1">
        <f t="array" ref="J155">_xlfn.IFS(D155= ""," ",D155&lt;&gt; " ",(H155-F155)*(G155/H155))</f>
        <v>942.51063620879836</v>
      </c>
      <c r="K155" cm="1">
        <f t="array" ref="K155">IF(ISNUMBER(H155),_xlfn.IFS(D155= ""," ",D155&lt;&gt; " ",F155*(G155/H155)),"")</f>
        <v>13877.489363791201</v>
      </c>
    </row>
    <row r="156" spans="1:11" x14ac:dyDescent="0.35">
      <c r="A156" t="s">
        <v>8</v>
      </c>
      <c r="B156">
        <v>2008</v>
      </c>
      <c r="C156" t="s">
        <v>84</v>
      </c>
      <c r="D156" s="3" t="s">
        <v>40</v>
      </c>
      <c r="E156" t="str" cm="1">
        <f t="array" ref="E156">_xlfn.IFS(D156=policy_name_clustering!$A$2,policy_name_clustering!$C$2,D156=policy_name_clustering!$A$3,policy_name_clustering!$C$3,D156=policy_name_clustering!$A$5,policy_name_clustering!$C$5,D156=policy_name_clustering!$A$6,policy_name_clustering!$C$6,D156=policy_name_clustering!$A$7,policy_name_clustering!$C$7,D156=policy_name_clustering!$A$8,policy_name_clustering!$C$8,D156=policy_name_clustering!$A$9,policy_name_clustering!$C$9,D156=policy_name_clustering!$A$10,policy_name_clustering!$C$10,D156=policy_name_clustering!$A$11,policy_name_clustering!$C$11,D156=policy_name_clustering!$A$12,policy_name_clustering!$C$12,D156=policy_name_clustering!$A$13,policy_name_clustering!$C$13,D156=policy_name_clustering!$A$14,policy_name_clustering!$C$14,D156=policy_name_clustering!$A$15,policy_name_clustering!$C$15,D156=policy_name_clustering!$A$16,policy_name_clustering!$C$16,D156="-","",D156=policy_name_clustering!$A$4,policy_name_clustering!$C$4)</f>
        <v>FiT/FiP-based</v>
      </c>
      <c r="F156">
        <f>policy_contributions_cum!F68</f>
        <v>16205.6091414328</v>
      </c>
      <c r="G156">
        <f>wind_cump_cap!C156</f>
        <v>16555</v>
      </c>
      <c r="H156">
        <f>estimated_capacity!C151</f>
        <v>17156.410996502102</v>
      </c>
      <c r="I156" cm="1">
        <f t="array" ref="I156">_xlfn.IFS(D156= ""," ",D156&lt;&gt; " ",F156*(G156/H156))</f>
        <v>15637.528116522652</v>
      </c>
      <c r="J156" cm="1">
        <f t="array" ref="J156">_xlfn.IFS(D156= ""," ",D156&lt;&gt; " ",(H156-F156)*(G156/H156))</f>
        <v>917.47188347734902</v>
      </c>
      <c r="K156" cm="1">
        <f t="array" ref="K156">IF(ISNUMBER(H156),_xlfn.IFS(D156= ""," ",D156&lt;&gt; " ",F156*(G156/H156)),"")</f>
        <v>15637.528116522652</v>
      </c>
    </row>
    <row r="157" spans="1:11" x14ac:dyDescent="0.35">
      <c r="A157" t="s">
        <v>8</v>
      </c>
      <c r="B157">
        <v>2009</v>
      </c>
      <c r="C157" t="s">
        <v>77</v>
      </c>
      <c r="D157" s="3" t="s">
        <v>40</v>
      </c>
      <c r="E157" t="str" cm="1">
        <f t="array" ref="E157">_xlfn.IFS(D157=policy_name_clustering!$A$2,policy_name_clustering!$C$2,D157=policy_name_clustering!$A$3,policy_name_clustering!$C$3,D157=policy_name_clustering!$A$5,policy_name_clustering!$C$5,D157=policy_name_clustering!$A$6,policy_name_clustering!$C$6,D157=policy_name_clustering!$A$7,policy_name_clustering!$C$7,D157=policy_name_clustering!$A$8,policy_name_clustering!$C$8,D157=policy_name_clustering!$A$9,policy_name_clustering!$C$9,D157=policy_name_clustering!$A$10,policy_name_clustering!$C$10,D157=policy_name_clustering!$A$11,policy_name_clustering!$C$11,D157=policy_name_clustering!$A$12,policy_name_clustering!$C$12,D157=policy_name_clustering!$A$13,policy_name_clustering!$C$13,D157=policy_name_clustering!$A$14,policy_name_clustering!$C$14,D157=policy_name_clustering!$A$15,policy_name_clustering!$C$15,D157=policy_name_clustering!$A$16,policy_name_clustering!$C$16,D157="-","",D157=policy_name_clustering!$A$4,policy_name_clustering!$C$4)</f>
        <v>FiT/FiP-based</v>
      </c>
      <c r="F157">
        <f>policy_contributions_cum!F69</f>
        <v>17910.5776229767</v>
      </c>
      <c r="G157">
        <f>wind_cump_cap!C157</f>
        <v>19176</v>
      </c>
      <c r="H157">
        <f>estimated_capacity!C152</f>
        <v>18815.951299795601</v>
      </c>
      <c r="I157" cm="1">
        <f t="array" ref="I157">_xlfn.IFS(D157= ""," ",D157&lt;&gt; " ",F157*(G157/H157))</f>
        <v>18253.301734573059</v>
      </c>
      <c r="J157" cm="1">
        <f t="array" ref="J157">_xlfn.IFS(D157= ""," ",D157&lt;&gt; " ",(H157-F157)*(G157/H157))</f>
        <v>922.69826542694364</v>
      </c>
      <c r="K157" cm="1">
        <f t="array" ref="K157">IF(ISNUMBER(H157),_xlfn.IFS(D157= ""," ",D157&lt;&gt; " ",F157*(G157/H157)),"")</f>
        <v>18253.301734573059</v>
      </c>
    </row>
    <row r="158" spans="1:11" x14ac:dyDescent="0.35">
      <c r="A158" t="s">
        <v>8</v>
      </c>
      <c r="B158">
        <v>2010</v>
      </c>
      <c r="C158" t="s">
        <v>86</v>
      </c>
      <c r="D158" s="3" t="s">
        <v>40</v>
      </c>
      <c r="E158" t="str" cm="1">
        <f t="array" ref="E158">_xlfn.IFS(D158=policy_name_clustering!$A$2,policy_name_clustering!$C$2,D158=policy_name_clustering!$A$3,policy_name_clustering!$C$3,D158=policy_name_clustering!$A$5,policy_name_clustering!$C$5,D158=policy_name_clustering!$A$6,policy_name_clustering!$C$6,D158=policy_name_clustering!$A$7,policy_name_clustering!$C$7,D158=policy_name_clustering!$A$8,policy_name_clustering!$C$8,D158=policy_name_clustering!$A$9,policy_name_clustering!$C$9,D158=policy_name_clustering!$A$10,policy_name_clustering!$C$10,D158=policy_name_clustering!$A$11,policy_name_clustering!$C$11,D158=policy_name_clustering!$A$12,policy_name_clustering!$C$12,D158=policy_name_clustering!$A$13,policy_name_clustering!$C$13,D158=policy_name_clustering!$A$14,policy_name_clustering!$C$14,D158=policy_name_clustering!$A$15,policy_name_clustering!$C$15,D158=policy_name_clustering!$A$16,policy_name_clustering!$C$16,D158="-","",D158=policy_name_clustering!$A$4,policy_name_clustering!$C$4)</f>
        <v>FiT/FiP-based</v>
      </c>
      <c r="F158">
        <f>policy_contributions_cum!F70</f>
        <v>19630.124735099002</v>
      </c>
      <c r="G158">
        <f>wind_cump_cap!C158</f>
        <v>20693</v>
      </c>
      <c r="H158">
        <f>estimated_capacity!C153</f>
        <v>20479.3026346595</v>
      </c>
      <c r="I158" cm="1">
        <f t="array" ref="I158">_xlfn.IFS(D158= ""," ",D158&lt;&gt; " ",F158*(G158/H158))</f>
        <v>19834.96110145537</v>
      </c>
      <c r="J158" cm="1">
        <f t="array" ref="J158">_xlfn.IFS(D158= ""," ",D158&lt;&gt; " ",(H158-F158)*(G158/H158))</f>
        <v>858.03889854463068</v>
      </c>
      <c r="K158" cm="1">
        <f t="array" ref="K158">IF(ISNUMBER(H158),_xlfn.IFS(D158= ""," ",D158&lt;&gt; " ",F158*(G158/H158)),"")</f>
        <v>19834.96110145537</v>
      </c>
    </row>
    <row r="159" spans="1:11" x14ac:dyDescent="0.35">
      <c r="A159" t="s">
        <v>8</v>
      </c>
      <c r="B159">
        <v>2011</v>
      </c>
      <c r="D159" s="3" t="s">
        <v>40</v>
      </c>
      <c r="E159" t="str" cm="1">
        <f t="array" ref="E159">_xlfn.IFS(D159=policy_name_clustering!$A$2,policy_name_clustering!$C$2,D159=policy_name_clustering!$A$3,policy_name_clustering!$C$3,D159=policy_name_clustering!$A$5,policy_name_clustering!$C$5,D159=policy_name_clustering!$A$6,policy_name_clustering!$C$6,D159=policy_name_clustering!$A$7,policy_name_clustering!$C$7,D159=policy_name_clustering!$A$8,policy_name_clustering!$C$8,D159=policy_name_clustering!$A$9,policy_name_clustering!$C$9,D159=policy_name_clustering!$A$10,policy_name_clustering!$C$10,D159=policy_name_clustering!$A$11,policy_name_clustering!$C$11,D159=policy_name_clustering!$A$12,policy_name_clustering!$C$12,D159=policy_name_clustering!$A$13,policy_name_clustering!$C$13,D159=policy_name_clustering!$A$14,policy_name_clustering!$C$14,D159=policy_name_clustering!$A$15,policy_name_clustering!$C$15,D159=policy_name_clustering!$A$16,policy_name_clustering!$C$16,D159="-","",D159=policy_name_clustering!$A$4,policy_name_clustering!$C$4)</f>
        <v>FiT/FiP-based</v>
      </c>
      <c r="F159">
        <f>policy_contributions_cum!F71</f>
        <v>21244.658562982899</v>
      </c>
      <c r="G159">
        <f>wind_cump_cap!C159</f>
        <v>21529</v>
      </c>
      <c r="H159">
        <f>estimated_capacity!C154</f>
        <v>22026.458400977499</v>
      </c>
      <c r="I159" cm="1">
        <f t="array" ref="I159">_xlfn.IFS(D159= ""," ",D159&lt;&gt; " ",F159*(G159/H159))</f>
        <v>20764.856786153203</v>
      </c>
      <c r="J159" cm="1">
        <f t="array" ref="J159">_xlfn.IFS(D159= ""," ",D159&lt;&gt; " ",(H159-F159)*(G159/H159))</f>
        <v>764.14321384679795</v>
      </c>
      <c r="K159" cm="1">
        <f t="array" ref="K159">IF(ISNUMBER(H159),_xlfn.IFS(D159= ""," ",D159&lt;&gt; " ",F159*(G159/H159)),"")</f>
        <v>20764.856786153203</v>
      </c>
    </row>
    <row r="160" spans="1:11" x14ac:dyDescent="0.35">
      <c r="A160" t="s">
        <v>8</v>
      </c>
      <c r="B160">
        <v>2012</v>
      </c>
      <c r="C160" t="s">
        <v>87</v>
      </c>
      <c r="D160" s="3" t="s">
        <v>40</v>
      </c>
      <c r="E160" t="str" cm="1">
        <f t="array" ref="E160">_xlfn.IFS(D160=policy_name_clustering!$A$2,policy_name_clustering!$C$2,D160=policy_name_clustering!$A$3,policy_name_clustering!$C$3,D160=policy_name_clustering!$A$5,policy_name_clustering!$C$5,D160=policy_name_clustering!$A$6,policy_name_clustering!$C$6,D160=policy_name_clustering!$A$7,policy_name_clustering!$C$7,D160=policy_name_clustering!$A$8,policy_name_clustering!$C$8,D160=policy_name_clustering!$A$9,policy_name_clustering!$C$9,D160=policy_name_clustering!$A$10,policy_name_clustering!$C$10,D160=policy_name_clustering!$A$11,policy_name_clustering!$C$11,D160=policy_name_clustering!$A$12,policy_name_clustering!$C$12,D160=policy_name_clustering!$A$13,policy_name_clustering!$C$13,D160=policy_name_clustering!$A$14,policy_name_clustering!$C$14,D160=policy_name_clustering!$A$15,policy_name_clustering!$C$15,D160=policy_name_clustering!$A$16,policy_name_clustering!$C$16,D160="-","",D160=policy_name_clustering!$A$4,policy_name_clustering!$C$4)</f>
        <v>FiT/FiP-based</v>
      </c>
      <c r="F160">
        <f>policy_contributions_cum!F72</f>
        <v>22887.107580025298</v>
      </c>
      <c r="G160">
        <f>wind_cump_cap!C160</f>
        <v>22789</v>
      </c>
      <c r="H160">
        <f>estimated_capacity!C155</f>
        <v>23595.2797404353</v>
      </c>
      <c r="I160" cm="1">
        <f t="array" ref="I160">_xlfn.IFS(D160= ""," ",D160&lt;&gt; " ",F160*(G160/H160))</f>
        <v>22105.026953648408</v>
      </c>
      <c r="J160" cm="1">
        <f t="array" ref="J160">_xlfn.IFS(D160= ""," ",D160&lt;&gt; " ",(H160-F160)*(G160/H160))</f>
        <v>683.97304635159219</v>
      </c>
      <c r="K160" cm="1">
        <f t="array" ref="K160">IF(ISNUMBER(H160),_xlfn.IFS(D160= ""," ",D160&lt;&gt; " ",F160*(G160/H160)),"")</f>
        <v>22105.026953648408</v>
      </c>
    </row>
    <row r="161" spans="1:11" x14ac:dyDescent="0.35">
      <c r="A161" t="s">
        <v>8</v>
      </c>
      <c r="B161">
        <v>2013</v>
      </c>
      <c r="C161" t="s">
        <v>92</v>
      </c>
      <c r="D161" s="3" t="s">
        <v>40</v>
      </c>
      <c r="E161" t="str" cm="1">
        <f t="array" ref="E161">_xlfn.IFS(D161=policy_name_clustering!$A$2,policy_name_clustering!$C$2,D161=policy_name_clustering!$A$3,policy_name_clustering!$C$3,D161=policy_name_clustering!$A$5,policy_name_clustering!$C$5,D161=policy_name_clustering!$A$6,policy_name_clustering!$C$6,D161=policy_name_clustering!$A$7,policy_name_clustering!$C$7,D161=policy_name_clustering!$A$8,policy_name_clustering!$C$8,D161=policy_name_clustering!$A$9,policy_name_clustering!$C$9,D161=policy_name_clustering!$A$10,policy_name_clustering!$C$10,D161=policy_name_clustering!$A$11,policy_name_clustering!$C$11,D161=policy_name_clustering!$A$12,policy_name_clustering!$C$12,D161=policy_name_clustering!$A$13,policy_name_clustering!$C$13,D161=policy_name_clustering!$A$14,policy_name_clustering!$C$14,D161=policy_name_clustering!$A$15,policy_name_clustering!$C$15,D161=policy_name_clustering!$A$16,policy_name_clustering!$C$16,D161="-","",D161=policy_name_clustering!$A$4,policy_name_clustering!$C$4)</f>
        <v>FiT/FiP-based</v>
      </c>
      <c r="F161">
        <f>policy_contributions_cum!F73</f>
        <v>23057.0167973186</v>
      </c>
      <c r="G161">
        <f>wind_cump_cap!C161</f>
        <v>22958</v>
      </c>
      <c r="H161">
        <f>estimated_capacity!C156</f>
        <v>23666.0186666929</v>
      </c>
      <c r="I161" cm="1">
        <f t="array" ref="I161">_xlfn.IFS(D161= ""," ",D161&lt;&gt; " ",F161*(G161/H161))</f>
        <v>22367.217700957346</v>
      </c>
      <c r="J161" cm="1">
        <f t="array" ref="J161">_xlfn.IFS(D161= ""," ",D161&lt;&gt; " ",(H161-F161)*(G161/H161))</f>
        <v>590.78229904265368</v>
      </c>
      <c r="K161" cm="1">
        <f t="array" ref="K161">IF(ISNUMBER(H161),_xlfn.IFS(D161= ""," ",D161&lt;&gt; " ",F161*(G161/H161)),"")</f>
        <v>22367.217700957346</v>
      </c>
    </row>
    <row r="162" spans="1:11" x14ac:dyDescent="0.35">
      <c r="A162" t="s">
        <v>8</v>
      </c>
      <c r="B162">
        <v>2014</v>
      </c>
      <c r="C162" t="s">
        <v>89</v>
      </c>
      <c r="D162" s="3" t="s">
        <v>40</v>
      </c>
      <c r="E162" t="str" cm="1">
        <f t="array" ref="E162">_xlfn.IFS(D162=policy_name_clustering!$A$2,policy_name_clustering!$C$2,D162=policy_name_clustering!$A$3,policy_name_clustering!$C$3,D162=policy_name_clustering!$A$5,policy_name_clustering!$C$5,D162=policy_name_clustering!$A$6,policy_name_clustering!$C$6,D162=policy_name_clustering!$A$7,policy_name_clustering!$C$7,D162=policy_name_clustering!$A$8,policy_name_clustering!$C$8,D162=policy_name_clustering!$A$9,policy_name_clustering!$C$9,D162=policy_name_clustering!$A$10,policy_name_clustering!$C$10,D162=policy_name_clustering!$A$11,policy_name_clustering!$C$11,D162=policy_name_clustering!$A$12,policy_name_clustering!$C$12,D162=policy_name_clustering!$A$13,policy_name_clustering!$C$13,D162=policy_name_clustering!$A$14,policy_name_clustering!$C$14,D162=policy_name_clustering!$A$15,policy_name_clustering!$C$15,D162=policy_name_clustering!$A$16,policy_name_clustering!$C$16,D162="-","",D162=policy_name_clustering!$A$4,policy_name_clustering!$C$4)</f>
        <v>FiT/FiP-based</v>
      </c>
      <c r="F162">
        <f>policy_contributions_cum!F74</f>
        <v>23238.139046560998</v>
      </c>
      <c r="G162">
        <f>wind_cump_cap!C162</f>
        <v>22925</v>
      </c>
      <c r="H162">
        <f>estimated_capacity!C157</f>
        <v>23747.639742181502</v>
      </c>
      <c r="I162" cm="1">
        <f t="array" ref="I162">_xlfn.IFS(D162= ""," ",D162&lt;&gt; " ",F162*(G162/H162))</f>
        <v>22433.148869786288</v>
      </c>
      <c r="J162" cm="1">
        <f t="array" ref="J162">_xlfn.IFS(D162= ""," ",D162&lt;&gt; " ",(H162-F162)*(G162/H162))</f>
        <v>491.85113021371217</v>
      </c>
      <c r="K162" cm="1">
        <f t="array" ref="K162">IF(ISNUMBER(H162),_xlfn.IFS(D162= ""," ",D162&lt;&gt; " ",F162*(G162/H162)),"")</f>
        <v>22433.148869786288</v>
      </c>
    </row>
    <row r="163" spans="1:11" x14ac:dyDescent="0.35">
      <c r="A163" t="s">
        <v>8</v>
      </c>
      <c r="B163">
        <v>2015</v>
      </c>
      <c r="D163" s="3" t="s">
        <v>40</v>
      </c>
      <c r="E163" t="str" cm="1">
        <f t="array" ref="E163">_xlfn.IFS(D163=policy_name_clustering!$A$2,policy_name_clustering!$C$2,D163=policy_name_clustering!$A$3,policy_name_clustering!$C$3,D163=policy_name_clustering!$A$5,policy_name_clustering!$C$5,D163=policy_name_clustering!$A$6,policy_name_clustering!$C$6,D163=policy_name_clustering!$A$7,policy_name_clustering!$C$7,D163=policy_name_clustering!$A$8,policy_name_clustering!$C$8,D163=policy_name_clustering!$A$9,policy_name_clustering!$C$9,D163=policy_name_clustering!$A$10,policy_name_clustering!$C$10,D163=policy_name_clustering!$A$11,policy_name_clustering!$C$11,D163=policy_name_clustering!$A$12,policy_name_clustering!$C$12,D163=policy_name_clustering!$A$13,policy_name_clustering!$C$13,D163=policy_name_clustering!$A$14,policy_name_clustering!$C$14,D163=policy_name_clustering!$A$15,policy_name_clustering!$C$15,D163=policy_name_clustering!$A$16,policy_name_clustering!$C$16,D163="-","",D163=policy_name_clustering!$A$4,policy_name_clustering!$C$4)</f>
        <v>FiT/FiP-based</v>
      </c>
      <c r="F163">
        <f>policy_contributions_cum!F75</f>
        <v>23441.650316616699</v>
      </c>
      <c r="G163">
        <f>wind_cump_cap!C163</f>
        <v>22943</v>
      </c>
      <c r="H163">
        <f>estimated_capacity!C158</f>
        <v>23851.4591140259</v>
      </c>
      <c r="I163" cm="1">
        <f t="array" ref="I163">_xlfn.IFS(D163= ""," ",D163&lt;&gt; " ",F163*(G163/H163))</f>
        <v>22548.800081495629</v>
      </c>
      <c r="J163" cm="1">
        <f t="array" ref="J163">_xlfn.IFS(D163= ""," ",D163&lt;&gt; " ",(H163-F163)*(G163/H163))</f>
        <v>394.19991850436929</v>
      </c>
      <c r="K163" cm="1">
        <f t="array" ref="K163">IF(ISNUMBER(H163),_xlfn.IFS(D163= ""," ",D163&lt;&gt; " ",F163*(G163/H163)),"")</f>
        <v>22548.800081495629</v>
      </c>
    </row>
    <row r="164" spans="1:11" x14ac:dyDescent="0.35">
      <c r="A164" t="s">
        <v>8</v>
      </c>
      <c r="B164">
        <v>2016</v>
      </c>
      <c r="D164" s="13" t="s">
        <v>40</v>
      </c>
      <c r="E164" t="str" cm="1">
        <f t="array" ref="E164">_xlfn.IFS(D164=policy_name_clustering!$A$2,policy_name_clustering!$C$2,D164=policy_name_clustering!$A$3,policy_name_clustering!$C$3,D164=policy_name_clustering!$A$5,policy_name_clustering!$C$5,D164=policy_name_clustering!$A$6,policy_name_clustering!$C$6,D164=policy_name_clustering!$A$7,policy_name_clustering!$C$7,D164=policy_name_clustering!$A$8,policy_name_clustering!$C$8,D164=policy_name_clustering!$A$9,policy_name_clustering!$C$9,D164=policy_name_clustering!$A$10,policy_name_clustering!$C$10,D164=policy_name_clustering!$A$11,policy_name_clustering!$C$11,D164=policy_name_clustering!$A$12,policy_name_clustering!$C$12,D164=policy_name_clustering!$A$13,policy_name_clustering!$C$13,D164=policy_name_clustering!$A$14,policy_name_clustering!$C$14,D164=policy_name_clustering!$A$15,policy_name_clustering!$C$15,D164=policy_name_clustering!$A$16,policy_name_clustering!$C$16,D164="-","",D164=policy_name_clustering!$A$4,policy_name_clustering!$C$4)</f>
        <v>FiT/FiP-based</v>
      </c>
      <c r="I164">
        <f>I163</f>
        <v>22548.800081495629</v>
      </c>
      <c r="K164" t="str" cm="1">
        <f t="array" ref="K164">IF(ISNUMBER(H164),_xlfn.IFS(D164= ""," ",D164&lt;&gt; " ",F164*(G164/H164)),"")</f>
        <v/>
      </c>
    </row>
    <row r="165" spans="1:11" x14ac:dyDescent="0.35">
      <c r="A165" t="s">
        <v>8</v>
      </c>
      <c r="B165">
        <v>2017</v>
      </c>
      <c r="D165" s="13" t="s">
        <v>40</v>
      </c>
      <c r="E165" t="str" cm="1">
        <f t="array" ref="E165">_xlfn.IFS(D165=policy_name_clustering!$A$2,policy_name_clustering!$C$2,D165=policy_name_clustering!$A$3,policy_name_clustering!$C$3,D165=policy_name_clustering!$A$5,policy_name_clustering!$C$5,D165=policy_name_clustering!$A$6,policy_name_clustering!$C$6,D165=policy_name_clustering!$A$7,policy_name_clustering!$C$7,D165=policy_name_clustering!$A$8,policy_name_clustering!$C$8,D165=policy_name_clustering!$A$9,policy_name_clustering!$C$9,D165=policy_name_clustering!$A$10,policy_name_clustering!$C$10,D165=policy_name_clustering!$A$11,policy_name_clustering!$C$11,D165=policy_name_clustering!$A$12,policy_name_clustering!$C$12,D165=policy_name_clustering!$A$13,policy_name_clustering!$C$13,D165=policy_name_clustering!$A$14,policy_name_clustering!$C$14,D165=policy_name_clustering!$A$15,policy_name_clustering!$C$15,D165=policy_name_clustering!$A$16,policy_name_clustering!$C$16,D165="-","",D165=policy_name_clustering!$A$4,policy_name_clustering!$C$4)</f>
        <v>FiT/FiP-based</v>
      </c>
      <c r="I165">
        <f t="shared" ref="I165:I171" si="1">I164</f>
        <v>22548.800081495629</v>
      </c>
      <c r="K165" t="str" cm="1">
        <f t="array" ref="K165">IF(ISNUMBER(H165),_xlfn.IFS(D165= ""," ",D165&lt;&gt; " ",F165*(G165/H165)),"")</f>
        <v/>
      </c>
    </row>
    <row r="166" spans="1:11" x14ac:dyDescent="0.35">
      <c r="A166" t="s">
        <v>8</v>
      </c>
      <c r="B166">
        <v>2018</v>
      </c>
      <c r="D166" s="13" t="s">
        <v>40</v>
      </c>
      <c r="E166" t="str" cm="1">
        <f t="array" ref="E166">_xlfn.IFS(D166=policy_name_clustering!$A$2,policy_name_clustering!$C$2,D166=policy_name_clustering!$A$3,policy_name_clustering!$C$3,D166=policy_name_clustering!$A$5,policy_name_clustering!$C$5,D166=policy_name_clustering!$A$6,policy_name_clustering!$C$6,D166=policy_name_clustering!$A$7,policy_name_clustering!$C$7,D166=policy_name_clustering!$A$8,policy_name_clustering!$C$8,D166=policy_name_clustering!$A$9,policy_name_clustering!$C$9,D166=policy_name_clustering!$A$10,policy_name_clustering!$C$10,D166=policy_name_clustering!$A$11,policy_name_clustering!$C$11,D166=policy_name_clustering!$A$12,policy_name_clustering!$C$12,D166=policy_name_clustering!$A$13,policy_name_clustering!$C$13,D166=policy_name_clustering!$A$14,policy_name_clustering!$C$14,D166=policy_name_clustering!$A$15,policy_name_clustering!$C$15,D166=policy_name_clustering!$A$16,policy_name_clustering!$C$16,D166="-","",D166=policy_name_clustering!$A$4,policy_name_clustering!$C$4)</f>
        <v>FiT/FiP-based</v>
      </c>
      <c r="I166">
        <f t="shared" si="1"/>
        <v>22548.800081495629</v>
      </c>
      <c r="K166" t="str" cm="1">
        <f t="array" ref="K166">IF(ISNUMBER(H166),_xlfn.IFS(D166= ""," ",D166&lt;&gt; " ",F166*(G166/H166)),"")</f>
        <v/>
      </c>
    </row>
    <row r="167" spans="1:11" x14ac:dyDescent="0.35">
      <c r="A167" t="s">
        <v>8</v>
      </c>
      <c r="B167">
        <v>2019</v>
      </c>
      <c r="D167" s="13" t="s">
        <v>40</v>
      </c>
      <c r="E167" t="str" cm="1">
        <f t="array" ref="E167">_xlfn.IFS(D167=policy_name_clustering!$A$2,policy_name_clustering!$C$2,D167=policy_name_clustering!$A$3,policy_name_clustering!$C$3,D167=policy_name_clustering!$A$5,policy_name_clustering!$C$5,D167=policy_name_clustering!$A$6,policy_name_clustering!$C$6,D167=policy_name_clustering!$A$7,policy_name_clustering!$C$7,D167=policy_name_clustering!$A$8,policy_name_clustering!$C$8,D167=policy_name_clustering!$A$9,policy_name_clustering!$C$9,D167=policy_name_clustering!$A$10,policy_name_clustering!$C$10,D167=policy_name_clustering!$A$11,policy_name_clustering!$C$11,D167=policy_name_clustering!$A$12,policy_name_clustering!$C$12,D167=policy_name_clustering!$A$13,policy_name_clustering!$C$13,D167=policy_name_clustering!$A$14,policy_name_clustering!$C$14,D167=policy_name_clustering!$A$15,policy_name_clustering!$C$15,D167=policy_name_clustering!$A$16,policy_name_clustering!$C$16,D167="-","",D167=policy_name_clustering!$A$4,policy_name_clustering!$C$4)</f>
        <v>FiT/FiP-based</v>
      </c>
      <c r="I167">
        <f t="shared" si="1"/>
        <v>22548.800081495629</v>
      </c>
      <c r="K167" t="str" cm="1">
        <f t="array" ref="K167">IF(ISNUMBER(H167),_xlfn.IFS(D167= ""," ",D167&lt;&gt; " ",F167*(G167/H167)),"")</f>
        <v/>
      </c>
    </row>
    <row r="168" spans="1:11" x14ac:dyDescent="0.35">
      <c r="A168" t="s">
        <v>8</v>
      </c>
      <c r="B168">
        <v>2020</v>
      </c>
      <c r="D168" s="13" t="s">
        <v>40</v>
      </c>
      <c r="E168" t="str" cm="1">
        <f t="array" ref="E168">_xlfn.IFS(D168=policy_name_clustering!$A$2,policy_name_clustering!$C$2,D168=policy_name_clustering!$A$3,policy_name_clustering!$C$3,D168=policy_name_clustering!$A$5,policy_name_clustering!$C$5,D168=policy_name_clustering!$A$6,policy_name_clustering!$C$6,D168=policy_name_clustering!$A$7,policy_name_clustering!$C$7,D168=policy_name_clustering!$A$8,policy_name_clustering!$C$8,D168=policy_name_clustering!$A$9,policy_name_clustering!$C$9,D168=policy_name_clustering!$A$10,policy_name_clustering!$C$10,D168=policy_name_clustering!$A$11,policy_name_clustering!$C$11,D168=policy_name_clustering!$A$12,policy_name_clustering!$C$12,D168=policy_name_clustering!$A$13,policy_name_clustering!$C$13,D168=policy_name_clustering!$A$14,policy_name_clustering!$C$14,D168=policy_name_clustering!$A$15,policy_name_clustering!$C$15,D168=policy_name_clustering!$A$16,policy_name_clustering!$C$16,D168="-","",D168=policy_name_clustering!$A$4,policy_name_clustering!$C$4)</f>
        <v>FiT/FiP-based</v>
      </c>
      <c r="I168">
        <f t="shared" si="1"/>
        <v>22548.800081495629</v>
      </c>
      <c r="K168" t="str" cm="1">
        <f t="array" ref="K168">IF(ISNUMBER(H168),_xlfn.IFS(D168= ""," ",D168&lt;&gt; " ",F168*(G168/H168)),"")</f>
        <v/>
      </c>
    </row>
    <row r="169" spans="1:11" x14ac:dyDescent="0.35">
      <c r="A169" t="s">
        <v>8</v>
      </c>
      <c r="B169">
        <v>2021</v>
      </c>
      <c r="D169" s="13" t="s">
        <v>40</v>
      </c>
      <c r="E169" t="str" cm="1">
        <f t="array" ref="E169">_xlfn.IFS(D169=policy_name_clustering!$A$2,policy_name_clustering!$C$2,D169=policy_name_clustering!$A$3,policy_name_clustering!$C$3,D169=policy_name_clustering!$A$5,policy_name_clustering!$C$5,D169=policy_name_clustering!$A$6,policy_name_clustering!$C$6,D169=policy_name_clustering!$A$7,policy_name_clustering!$C$7,D169=policy_name_clustering!$A$8,policy_name_clustering!$C$8,D169=policy_name_clustering!$A$9,policy_name_clustering!$C$9,D169=policy_name_clustering!$A$10,policy_name_clustering!$C$10,D169=policy_name_clustering!$A$11,policy_name_clustering!$C$11,D169=policy_name_clustering!$A$12,policy_name_clustering!$C$12,D169=policy_name_clustering!$A$13,policy_name_clustering!$C$13,D169=policy_name_clustering!$A$14,policy_name_clustering!$C$14,D169=policy_name_clustering!$A$15,policy_name_clustering!$C$15,D169=policy_name_clustering!$A$16,policy_name_clustering!$C$16,D169="-","",D169=policy_name_clustering!$A$4,policy_name_clustering!$C$4)</f>
        <v>FiT/FiP-based</v>
      </c>
      <c r="I169">
        <f t="shared" si="1"/>
        <v>22548.800081495629</v>
      </c>
      <c r="K169" t="str" cm="1">
        <f t="array" ref="K169">IF(ISNUMBER(H169),_xlfn.IFS(D169= ""," ",D169&lt;&gt; " ",F169*(G169/H169)),"")</f>
        <v/>
      </c>
    </row>
    <row r="170" spans="1:11" x14ac:dyDescent="0.35">
      <c r="A170" t="s">
        <v>8</v>
      </c>
      <c r="B170">
        <v>2022</v>
      </c>
      <c r="D170" s="13" t="s">
        <v>40</v>
      </c>
      <c r="E170" t="str" cm="1">
        <f t="array" ref="E170">_xlfn.IFS(D170=policy_name_clustering!$A$2,policy_name_clustering!$C$2,D170=policy_name_clustering!$A$3,policy_name_clustering!$C$3,D170=policy_name_clustering!$A$5,policy_name_clustering!$C$5,D170=policy_name_clustering!$A$6,policy_name_clustering!$C$6,D170=policy_name_clustering!$A$7,policy_name_clustering!$C$7,D170=policy_name_clustering!$A$8,policy_name_clustering!$C$8,D170=policy_name_clustering!$A$9,policy_name_clustering!$C$9,D170=policy_name_clustering!$A$10,policy_name_clustering!$C$10,D170=policy_name_clustering!$A$11,policy_name_clustering!$C$11,D170=policy_name_clustering!$A$12,policy_name_clustering!$C$12,D170=policy_name_clustering!$A$13,policy_name_clustering!$C$13,D170=policy_name_clustering!$A$14,policy_name_clustering!$C$14,D170=policy_name_clustering!$A$15,policy_name_clustering!$C$15,D170=policy_name_clustering!$A$16,policy_name_clustering!$C$16,D170="-","",D170=policy_name_clustering!$A$4,policy_name_clustering!$C$4)</f>
        <v>FiT/FiP-based</v>
      </c>
      <c r="I170">
        <f t="shared" si="1"/>
        <v>22548.800081495629</v>
      </c>
      <c r="K170" t="str" cm="1">
        <f t="array" ref="K170">IF(ISNUMBER(H170),_xlfn.IFS(D170= ""," ",D170&lt;&gt; " ",F170*(G170/H170)),"")</f>
        <v/>
      </c>
    </row>
    <row r="171" spans="1:11" x14ac:dyDescent="0.35">
      <c r="A171" t="s">
        <v>8</v>
      </c>
      <c r="B171">
        <v>2023</v>
      </c>
      <c r="D171" s="13" t="s">
        <v>40</v>
      </c>
      <c r="E171" t="str" cm="1">
        <f t="array" ref="E171">_xlfn.IFS(D171=policy_name_clustering!$A$2,policy_name_clustering!$C$2,D171=policy_name_clustering!$A$3,policy_name_clustering!$C$3,D171=policy_name_clustering!$A$5,policy_name_clustering!$C$5,D171=policy_name_clustering!$A$6,policy_name_clustering!$C$6,D171=policy_name_clustering!$A$7,policy_name_clustering!$C$7,D171=policy_name_clustering!$A$8,policy_name_clustering!$C$8,D171=policy_name_clustering!$A$9,policy_name_clustering!$C$9,D171=policy_name_clustering!$A$10,policy_name_clustering!$C$10,D171=policy_name_clustering!$A$11,policy_name_clustering!$C$11,D171=policy_name_clustering!$A$12,policy_name_clustering!$C$12,D171=policy_name_clustering!$A$13,policy_name_clustering!$C$13,D171=policy_name_clustering!$A$14,policy_name_clustering!$C$14,D171=policy_name_clustering!$A$15,policy_name_clustering!$C$15,D171=policy_name_clustering!$A$16,policy_name_clustering!$C$16,D171="-","",D171=policy_name_clustering!$A$4,policy_name_clustering!$C$4)</f>
        <v>FiT/FiP-based</v>
      </c>
      <c r="I171">
        <f t="shared" si="1"/>
        <v>22548.800081495629</v>
      </c>
      <c r="K171" t="str" cm="1">
        <f t="array" ref="K171">IF(ISNUMBER(H171),_xlfn.IFS(D171= ""," ",D171&lt;&gt; " ",F171*(G171/H171)),"")</f>
        <v/>
      </c>
    </row>
    <row r="172" spans="1:11" x14ac:dyDescent="0.35">
      <c r="A172" t="s">
        <v>8</v>
      </c>
      <c r="B172">
        <v>2016</v>
      </c>
      <c r="C172" t="s">
        <v>172</v>
      </c>
      <c r="D172" s="3" t="s">
        <v>157</v>
      </c>
      <c r="E172" t="str" cm="1">
        <f t="array" ref="E172">_xlfn.IFS(D172=policy_name_clustering!$A$2,policy_name_clustering!$C$2,D172=policy_name_clustering!$A$3,policy_name_clustering!$C$3,D172=policy_name_clustering!$A$5,policy_name_clustering!$C$5,D172=policy_name_clustering!$A$6,policy_name_clustering!$C$6,D172=policy_name_clustering!$A$7,policy_name_clustering!$C$7,D172=policy_name_clustering!$A$8,policy_name_clustering!$C$8,D172=policy_name_clustering!$A$9,policy_name_clustering!$C$9,D172=policy_name_clustering!$A$10,policy_name_clustering!$C$10,D172=policy_name_clustering!$A$11,policy_name_clustering!$C$11,D172=policy_name_clustering!$A$12,policy_name_clustering!$C$12,D172=policy_name_clustering!$A$13,policy_name_clustering!$C$13,D172=policy_name_clustering!$A$14,policy_name_clustering!$C$14,D172=policy_name_clustering!$A$15,policy_name_clustering!$C$15,D172=policy_name_clustering!$A$16,policy_name_clustering!$C$16,D172="-","",D172=policy_name_clustering!$A$4,policy_name_clustering!$C$4)</f>
        <v>Tender-based</v>
      </c>
      <c r="F172">
        <f>policy_contributions_cum!F76</f>
        <v>23638.500413908499</v>
      </c>
      <c r="G172">
        <f>wind_cump_cap!C164</f>
        <v>22990</v>
      </c>
      <c r="H172">
        <f>estimated_capacity!C159</f>
        <v>23948.219843989002</v>
      </c>
      <c r="I172" cm="1">
        <f t="array" ref="I172">_xlfn.IFS(D172= ""," ",D172&lt;&gt; " ",F172*(G172/H172)-$I$163)</f>
        <v>143.87302974449631</v>
      </c>
      <c r="J172" cm="1">
        <f t="array" ref="J172">_xlfn.IFS(D172= ""," ",D172&lt;&gt; " ",(H172-F172)*(G172/H172))</f>
        <v>297.32688875987486</v>
      </c>
      <c r="K172" cm="1">
        <f t="array" ref="K172">IF(ISNUMBER(H172),_xlfn.IFS(D172= ""," ",D172&lt;&gt; " ",F172*(G172/H172)),"")</f>
        <v>22692.673111240125</v>
      </c>
    </row>
    <row r="173" spans="1:11" x14ac:dyDescent="0.35">
      <c r="A173" t="s">
        <v>8</v>
      </c>
      <c r="B173">
        <v>2017</v>
      </c>
      <c r="C173" t="s">
        <v>173</v>
      </c>
      <c r="D173" s="3" t="s">
        <v>157</v>
      </c>
      <c r="E173" t="str" cm="1">
        <f t="array" ref="E173">_xlfn.IFS(D173=policy_name_clustering!$A$2,policy_name_clustering!$C$2,D173=policy_name_clustering!$A$3,policy_name_clustering!$C$3,D173=policy_name_clustering!$A$5,policy_name_clustering!$C$5,D173=policy_name_clustering!$A$6,policy_name_clustering!$C$6,D173=policy_name_clustering!$A$7,policy_name_clustering!$C$7,D173=policy_name_clustering!$A$8,policy_name_clustering!$C$8,D173=policy_name_clustering!$A$9,policy_name_clustering!$C$9,D173=policy_name_clustering!$A$10,policy_name_clustering!$C$10,D173=policy_name_clustering!$A$11,policy_name_clustering!$C$11,D173=policy_name_clustering!$A$12,policy_name_clustering!$C$12,D173=policy_name_clustering!$A$13,policy_name_clustering!$C$13,D173=policy_name_clustering!$A$14,policy_name_clustering!$C$14,D173=policy_name_clustering!$A$15,policy_name_clustering!$C$15,D173=policy_name_clustering!$A$16,policy_name_clustering!$C$16,D173="-","",D173=policy_name_clustering!$A$4,policy_name_clustering!$C$4)</f>
        <v>Tender-based</v>
      </c>
      <c r="F173">
        <f>policy_contributions_cum!F77</f>
        <v>23823.506671084098</v>
      </c>
      <c r="G173">
        <f>wind_cump_cap!C165</f>
        <v>23124.478999999999</v>
      </c>
      <c r="H173">
        <f>estimated_capacity!C160</f>
        <v>24032.796834872901</v>
      </c>
      <c r="I173" cm="1">
        <f t="array" ref="I173">_xlfn.IFS(D173= ""," ",D173&lt;&gt; " ",F173*(G173/H173)-$I$163)</f>
        <v>374.29886146423451</v>
      </c>
      <c r="J173" cm="1">
        <f t="array" ref="J173">_xlfn.IFS(D173= ""," ",D173&lt;&gt; " ",(H173-F173)*(G173/H173))</f>
        <v>201.38005704013688</v>
      </c>
      <c r="K173" cm="1">
        <f t="array" ref="K173">IF(ISNUMBER(H173),_xlfn.IFS(D173= ""," ",D173&lt;&gt; " ",F173*(G173/H173)),"")</f>
        <v>22923.098942959863</v>
      </c>
    </row>
    <row r="174" spans="1:11" x14ac:dyDescent="0.35">
      <c r="A174" t="s">
        <v>8</v>
      </c>
      <c r="B174">
        <v>2018</v>
      </c>
      <c r="D174" s="3" t="s">
        <v>157</v>
      </c>
      <c r="E174" t="str" cm="1">
        <f t="array" ref="E174">_xlfn.IFS(D174=policy_name_clustering!$A$2,policy_name_clustering!$C$2,D174=policy_name_clustering!$A$3,policy_name_clustering!$C$3,D174=policy_name_clustering!$A$5,policy_name_clustering!$C$5,D174=policy_name_clustering!$A$6,policy_name_clustering!$C$6,D174=policy_name_clustering!$A$7,policy_name_clustering!$C$7,D174=policy_name_clustering!$A$8,policy_name_clustering!$C$8,D174=policy_name_clustering!$A$9,policy_name_clustering!$C$9,D174=policy_name_clustering!$A$10,policy_name_clustering!$C$10,D174=policy_name_clustering!$A$11,policy_name_clustering!$C$11,D174=policy_name_clustering!$A$12,policy_name_clustering!$C$12,D174=policy_name_clustering!$A$13,policy_name_clustering!$C$13,D174=policy_name_clustering!$A$14,policy_name_clustering!$C$14,D174=policy_name_clustering!$A$15,policy_name_clustering!$C$15,D174=policy_name_clustering!$A$16,policy_name_clustering!$C$16,D174="-","",D174=policy_name_clustering!$A$4,policy_name_clustering!$C$4)</f>
        <v>Tender-based</v>
      </c>
      <c r="F174">
        <f>policy_contributions_cum!F78</f>
        <v>24013.3907532173</v>
      </c>
      <c r="G174">
        <f>wind_cump_cap!C166</f>
        <v>23405.055</v>
      </c>
      <c r="H174">
        <f>estimated_capacity!C161</f>
        <v>24122.068323785399</v>
      </c>
      <c r="I174" cm="1">
        <f t="array" ref="I174">_xlfn.IFS(D174= ""," ",D174&lt;&gt; " ",F174*(G174/H174)-$I$163)</f>
        <v>750.80772043368779</v>
      </c>
      <c r="J174" cm="1">
        <f t="array" ref="J174">_xlfn.IFS(D174= ""," ",D174&lt;&gt; " ",(H174-F174)*(G174/H174))</f>
        <v>105.44719807068294</v>
      </c>
      <c r="K174" cm="1">
        <f t="array" ref="K174">IF(ISNUMBER(H174),_xlfn.IFS(D174= ""," ",D174&lt;&gt; " ",F174*(G174/H174)),"")</f>
        <v>23299.607801929316</v>
      </c>
    </row>
    <row r="175" spans="1:11" x14ac:dyDescent="0.35">
      <c r="A175" t="s">
        <v>8</v>
      </c>
      <c r="B175">
        <v>2019</v>
      </c>
      <c r="C175" s="11" t="s">
        <v>90</v>
      </c>
      <c r="D175" s="13" t="s">
        <v>157</v>
      </c>
      <c r="E175" t="str" cm="1">
        <f t="array" ref="E175">_xlfn.IFS(D175=policy_name_clustering!$A$2,policy_name_clustering!$C$2,D175=policy_name_clustering!$A$3,policy_name_clustering!$C$3,D175=policy_name_clustering!$A$5,policy_name_clustering!$C$5,D175=policy_name_clustering!$A$6,policy_name_clustering!$C$6,D175=policy_name_clustering!$A$7,policy_name_clustering!$C$7,D175=policy_name_clustering!$A$8,policy_name_clustering!$C$8,D175=policy_name_clustering!$A$9,policy_name_clustering!$C$9,D175=policy_name_clustering!$A$10,policy_name_clustering!$C$10,D175=policy_name_clustering!$A$11,policy_name_clustering!$C$11,D175=policy_name_clustering!$A$12,policy_name_clustering!$C$12,D175=policy_name_clustering!$A$13,policy_name_clustering!$C$13,D175=policy_name_clustering!$A$14,policy_name_clustering!$C$14,D175=policy_name_clustering!$A$15,policy_name_clustering!$C$15,D175=policy_name_clustering!$A$16,policy_name_clustering!$C$16,D175="-","",D175=policy_name_clustering!$A$4,policy_name_clustering!$C$4)</f>
        <v>Tender-based</v>
      </c>
      <c r="I175">
        <f>I174</f>
        <v>750.80772043368779</v>
      </c>
      <c r="K175" t="str" cm="1">
        <f t="array" ref="K175">IF(ISNUMBER(H175),_xlfn.IFS(D175= ""," ",D175&lt;&gt; " ",F175*(G175/H175)),"")</f>
        <v/>
      </c>
    </row>
    <row r="176" spans="1:11" x14ac:dyDescent="0.35">
      <c r="A176" t="s">
        <v>8</v>
      </c>
      <c r="B176">
        <v>2020</v>
      </c>
      <c r="D176" s="13" t="s">
        <v>157</v>
      </c>
      <c r="E176" t="str" cm="1">
        <f t="array" ref="E176">_xlfn.IFS(D176=policy_name_clustering!$A$2,policy_name_clustering!$C$2,D176=policy_name_clustering!$A$3,policy_name_clustering!$C$3,D176=policy_name_clustering!$A$5,policy_name_clustering!$C$5,D176=policy_name_clustering!$A$6,policy_name_clustering!$C$6,D176=policy_name_clustering!$A$7,policy_name_clustering!$C$7,D176=policy_name_clustering!$A$8,policy_name_clustering!$C$8,D176=policy_name_clustering!$A$9,policy_name_clustering!$C$9,D176=policy_name_clustering!$A$10,policy_name_clustering!$C$10,D176=policy_name_clustering!$A$11,policy_name_clustering!$C$11,D176=policy_name_clustering!$A$12,policy_name_clustering!$C$12,D176=policy_name_clustering!$A$13,policy_name_clustering!$C$13,D176=policy_name_clustering!$A$14,policy_name_clustering!$C$14,D176=policy_name_clustering!$A$15,policy_name_clustering!$C$15,D176=policy_name_clustering!$A$16,policy_name_clustering!$C$16,D176="-","",D176=policy_name_clustering!$A$4,policy_name_clustering!$C$4)</f>
        <v>Tender-based</v>
      </c>
      <c r="I176">
        <f t="shared" ref="I176:I179" si="2">I175</f>
        <v>750.80772043368779</v>
      </c>
      <c r="K176" t="str" cm="1">
        <f t="array" ref="K176">IF(ISNUMBER(H176),_xlfn.IFS(D176= ""," ",D176&lt;&gt; " ",F176*(G176/H176)),"")</f>
        <v/>
      </c>
    </row>
    <row r="177" spans="1:11" x14ac:dyDescent="0.35">
      <c r="A177" t="s">
        <v>8</v>
      </c>
      <c r="B177">
        <v>2021</v>
      </c>
      <c r="C177" t="s">
        <v>91</v>
      </c>
      <c r="D177" s="13" t="s">
        <v>157</v>
      </c>
      <c r="E177" t="str" cm="1">
        <f t="array" ref="E177">_xlfn.IFS(D177=policy_name_clustering!$A$2,policy_name_clustering!$C$2,D177=policy_name_clustering!$A$3,policy_name_clustering!$C$3,D177=policy_name_clustering!$A$5,policy_name_clustering!$C$5,D177=policy_name_clustering!$A$6,policy_name_clustering!$C$6,D177=policy_name_clustering!$A$7,policy_name_clustering!$C$7,D177=policy_name_clustering!$A$8,policy_name_clustering!$C$8,D177=policy_name_clustering!$A$9,policy_name_clustering!$C$9,D177=policy_name_clustering!$A$10,policy_name_clustering!$C$10,D177=policy_name_clustering!$A$11,policy_name_clustering!$C$11,D177=policy_name_clustering!$A$12,policy_name_clustering!$C$12,D177=policy_name_clustering!$A$13,policy_name_clustering!$C$13,D177=policy_name_clustering!$A$14,policy_name_clustering!$C$14,D177=policy_name_clustering!$A$15,policy_name_clustering!$C$15,D177=policy_name_clustering!$A$16,policy_name_clustering!$C$16,D177="-","",D177=policy_name_clustering!$A$4,policy_name_clustering!$C$4)</f>
        <v>Tender-based</v>
      </c>
      <c r="I177">
        <f t="shared" si="2"/>
        <v>750.80772043368779</v>
      </c>
      <c r="K177" t="str" cm="1">
        <f t="array" ref="K177">IF(ISNUMBER(H177),_xlfn.IFS(D177= ""," ",D177&lt;&gt; " ",F177*(G177/H177)),"")</f>
        <v/>
      </c>
    </row>
    <row r="178" spans="1:11" x14ac:dyDescent="0.35">
      <c r="A178" t="s">
        <v>8</v>
      </c>
      <c r="B178">
        <v>2022</v>
      </c>
      <c r="C178" t="s">
        <v>154</v>
      </c>
      <c r="D178" s="13" t="s">
        <v>157</v>
      </c>
      <c r="E178" t="str" cm="1">
        <f t="array" ref="E178">_xlfn.IFS(D178=policy_name_clustering!$A$2,policy_name_clustering!$C$2,D178=policy_name_clustering!$A$3,policy_name_clustering!$C$3,D178=policy_name_clustering!$A$5,policy_name_clustering!$C$5,D178=policy_name_clustering!$A$6,policy_name_clustering!$C$6,D178=policy_name_clustering!$A$7,policy_name_clustering!$C$7,D178=policy_name_clustering!$A$8,policy_name_clustering!$C$8,D178=policy_name_clustering!$A$9,policy_name_clustering!$C$9,D178=policy_name_clustering!$A$10,policy_name_clustering!$C$10,D178=policy_name_clustering!$A$11,policy_name_clustering!$C$11,D178=policy_name_clustering!$A$12,policy_name_clustering!$C$12,D178=policy_name_clustering!$A$13,policy_name_clustering!$C$13,D178=policy_name_clustering!$A$14,policy_name_clustering!$C$14,D178=policy_name_clustering!$A$15,policy_name_clustering!$C$15,D178=policy_name_clustering!$A$16,policy_name_clustering!$C$16,D178="-","",D178=policy_name_clustering!$A$4,policy_name_clustering!$C$4)</f>
        <v>Tender-based</v>
      </c>
      <c r="I178">
        <f t="shared" si="2"/>
        <v>750.80772043368779</v>
      </c>
      <c r="K178" t="str" cm="1">
        <f t="array" ref="K178">IF(ISNUMBER(H178),_xlfn.IFS(D178= ""," ",D178&lt;&gt; " ",F178*(G178/H178)),"")</f>
        <v/>
      </c>
    </row>
    <row r="179" spans="1:11" x14ac:dyDescent="0.35">
      <c r="A179" t="s">
        <v>8</v>
      </c>
      <c r="B179">
        <v>2023</v>
      </c>
      <c r="C179" t="s">
        <v>155</v>
      </c>
      <c r="D179" s="13" t="s">
        <v>157</v>
      </c>
      <c r="E179" t="str" cm="1">
        <f t="array" ref="E179">_xlfn.IFS(D179=policy_name_clustering!$A$2,policy_name_clustering!$C$2,D179=policy_name_clustering!$A$3,policy_name_clustering!$C$3,D179=policy_name_clustering!$A$5,policy_name_clustering!$C$5,D179=policy_name_clustering!$A$6,policy_name_clustering!$C$6,D179=policy_name_clustering!$A$7,policy_name_clustering!$C$7,D179=policy_name_clustering!$A$8,policy_name_clustering!$C$8,D179=policy_name_clustering!$A$9,policy_name_clustering!$C$9,D179=policy_name_clustering!$A$10,policy_name_clustering!$C$10,D179=policy_name_clustering!$A$11,policy_name_clustering!$C$11,D179=policy_name_clustering!$A$12,policy_name_clustering!$C$12,D179=policy_name_clustering!$A$13,policy_name_clustering!$C$13,D179=policy_name_clustering!$A$14,policy_name_clustering!$C$14,D179=policy_name_clustering!$A$15,policy_name_clustering!$C$15,D179=policy_name_clustering!$A$16,policy_name_clustering!$C$16,D179="-","",D179=policy_name_clustering!$A$4,policy_name_clustering!$C$4)</f>
        <v>Tender-based</v>
      </c>
      <c r="I179">
        <f t="shared" si="2"/>
        <v>750.80772043368779</v>
      </c>
      <c r="K179" t="str" cm="1">
        <f t="array" ref="K179">IF(ISNUMBER(H179),_xlfn.IFS(D179= ""," ",D179&lt;&gt; " ",F179*(G179/H179)),"")</f>
        <v/>
      </c>
    </row>
    <row r="180" spans="1:11" x14ac:dyDescent="0.35">
      <c r="A180" t="s">
        <v>8</v>
      </c>
      <c r="B180">
        <v>2019</v>
      </c>
      <c r="C180" t="s">
        <v>174</v>
      </c>
      <c r="D180" s="14" t="s">
        <v>157</v>
      </c>
      <c r="E180" t="str" cm="1">
        <f t="array" ref="E180">_xlfn.IFS(D180=policy_name_clustering!$A$2,policy_name_clustering!$C$2,D180=policy_name_clustering!$A$3,policy_name_clustering!$C$3,D180=policy_name_clustering!$A$5,policy_name_clustering!$C$5,D180=policy_name_clustering!$A$6,policy_name_clustering!$C$6,D180=policy_name_clustering!$A$7,policy_name_clustering!$C$7,D180=policy_name_clustering!$A$8,policy_name_clustering!$C$8,D180=policy_name_clustering!$A$9,policy_name_clustering!$C$9,D180=policy_name_clustering!$A$10,policy_name_clustering!$C$10,D180=policy_name_clustering!$A$11,policy_name_clustering!$C$11,D180=policy_name_clustering!$A$12,policy_name_clustering!$C$12,D180=policy_name_clustering!$A$13,policy_name_clustering!$C$13,D180=policy_name_clustering!$A$14,policy_name_clustering!$C$14,D180=policy_name_clustering!$A$15,policy_name_clustering!$C$15,D180=policy_name_clustering!$A$16,policy_name_clustering!$C$16,D180="-","",D180=policy_name_clustering!$A$4,policy_name_clustering!$C$4)</f>
        <v>Tender-based</v>
      </c>
      <c r="F180">
        <f>policy_contributions_cum!F49</f>
        <v>1256.35798442946</v>
      </c>
      <c r="G180">
        <f>wind_cump_cap!C167</f>
        <v>25590.076000000001</v>
      </c>
      <c r="H180">
        <f>estimated_capacity!C162</f>
        <v>25480.165694362098</v>
      </c>
      <c r="I180" cm="1">
        <f t="array" ref="I180">_xlfn.IFS(D180= ""," ",D180&lt;&gt; " ",F180*(G180/H180))</f>
        <v>1261.7773640251671</v>
      </c>
      <c r="J180" cm="1">
        <f t="array" ref="J180">_xlfn.IFS(D180= ""," ",D180&lt;&gt; " ",(H180-F180)*(G180/H180)-$I$174-$I$163)</f>
        <v>1028.6908340455193</v>
      </c>
      <c r="K180" cm="1">
        <f t="array" ref="K180">IF(ISNUMBER(H180),_xlfn.IFS(D180= ""," ",D180&lt;&gt; " ",F180*(G180/H180)),"")</f>
        <v>1261.7773640251671</v>
      </c>
    </row>
    <row r="181" spans="1:11" x14ac:dyDescent="0.35">
      <c r="A181" t="s">
        <v>8</v>
      </c>
      <c r="B181">
        <v>2020</v>
      </c>
      <c r="D181" s="14" t="s">
        <v>157</v>
      </c>
      <c r="E181" t="str" cm="1">
        <f t="array" ref="E181">_xlfn.IFS(D181=policy_name_clustering!$A$2,policy_name_clustering!$C$2,D181=policy_name_clustering!$A$3,policy_name_clustering!$C$3,D181=policy_name_clustering!$A$5,policy_name_clustering!$C$5,D181=policy_name_clustering!$A$6,policy_name_clustering!$C$6,D181=policy_name_clustering!$A$7,policy_name_clustering!$C$7,D181=policy_name_clustering!$A$8,policy_name_clustering!$C$8,D181=policy_name_clustering!$A$9,policy_name_clustering!$C$9,D181=policy_name_clustering!$A$10,policy_name_clustering!$C$10,D181=policy_name_clustering!$A$11,policy_name_clustering!$C$11,D181=policy_name_clustering!$A$12,policy_name_clustering!$C$12,D181=policy_name_clustering!$A$13,policy_name_clustering!$C$13,D181=policy_name_clustering!$A$14,policy_name_clustering!$C$14,D181=policy_name_clustering!$A$15,policy_name_clustering!$C$15,D181=policy_name_clustering!$A$16,policy_name_clustering!$C$16,D181="-","",D181=policy_name_clustering!$A$4,policy_name_clustering!$C$4)</f>
        <v>Tender-based</v>
      </c>
      <c r="F181">
        <f>policy_contributions_cum!F50</f>
        <v>2649.3990473130498</v>
      </c>
      <c r="G181">
        <f>wind_cump_cap!C168</f>
        <v>26819.19</v>
      </c>
      <c r="H181">
        <f>estimated_capacity!C163</f>
        <v>26997.055662927101</v>
      </c>
      <c r="I181" cm="1">
        <f t="array" ref="I181">_xlfn.IFS(D181= ""," ",D181&lt;&gt; " ",F181*(G181/H181))</f>
        <v>2631.9439172502603</v>
      </c>
      <c r="J181" cm="1">
        <f t="array" ref="J181">_xlfn.IFS(D181= ""," ",D181&lt;&gt; " ",(H181-F181)*(G181/H181)-$I$174-$I$163)</f>
        <v>887.63828082042164</v>
      </c>
      <c r="K181" cm="1">
        <f t="array" ref="K181">IF(ISNUMBER(H181),_xlfn.IFS(D181= ""," ",D181&lt;&gt; " ",F181*(G181/H181)),"")</f>
        <v>2631.9439172502603</v>
      </c>
    </row>
    <row r="182" spans="1:11" x14ac:dyDescent="0.35">
      <c r="A182" t="s">
        <v>8</v>
      </c>
      <c r="B182">
        <v>2021</v>
      </c>
      <c r="D182" s="14" t="s">
        <v>157</v>
      </c>
      <c r="E182" t="str" cm="1">
        <f t="array" ref="E182">_xlfn.IFS(D182=policy_name_clustering!$A$2,policy_name_clustering!$C$2,D182=policy_name_clustering!$A$3,policy_name_clustering!$C$3,D182=policy_name_clustering!$A$5,policy_name_clustering!$C$5,D182=policy_name_clustering!$A$6,policy_name_clustering!$C$6,D182=policy_name_clustering!$A$7,policy_name_clustering!$C$7,D182=policy_name_clustering!$A$8,policy_name_clustering!$C$8,D182=policy_name_clustering!$A$9,policy_name_clustering!$C$9,D182=policy_name_clustering!$A$10,policy_name_clustering!$C$10,D182=policy_name_clustering!$A$11,policy_name_clustering!$C$11,D182=policy_name_clustering!$A$12,policy_name_clustering!$C$12,D182=policy_name_clustering!$A$13,policy_name_clustering!$C$13,D182=policy_name_clustering!$A$14,policy_name_clustering!$C$14,D182=policy_name_clustering!$A$15,policy_name_clustering!$C$15,D182=policy_name_clustering!$A$16,policy_name_clustering!$C$16,D182="-","",D182=policy_name_clustering!$A$4,policy_name_clustering!$C$4)</f>
        <v>Tender-based</v>
      </c>
      <c r="F182">
        <f>policy_contributions_cum!F51</f>
        <v>4076.2815188052</v>
      </c>
      <c r="G182">
        <f>wind_cump_cap!C169</f>
        <v>27907.651000000002</v>
      </c>
      <c r="H182">
        <f>estimated_capacity!C164</f>
        <v>28553.2611433559</v>
      </c>
      <c r="I182" cm="1">
        <f t="array" ref="I182">_xlfn.IFS(D182= ""," ",D182&lt;&gt; " ",F182*(G182/H182))</f>
        <v>3984.1138086966403</v>
      </c>
      <c r="J182" cm="1">
        <f t="array" ref="J182">_xlfn.IFS(D182= ""," ",D182&lt;&gt; " ",(H182-F182)*(G182/H182)-$I$174-$I$163)</f>
        <v>623.92938937404324</v>
      </c>
      <c r="K182" cm="1">
        <f t="array" ref="K182">IF(ISNUMBER(H182),_xlfn.IFS(D182= ""," ",D182&lt;&gt; " ",F182*(G182/H182)),"")</f>
        <v>3984.1138086966403</v>
      </c>
    </row>
    <row r="183" spans="1:11" x14ac:dyDescent="0.35">
      <c r="A183" t="s">
        <v>8</v>
      </c>
      <c r="B183">
        <v>2022</v>
      </c>
      <c r="D183" s="14" t="s">
        <v>157</v>
      </c>
      <c r="E183" t="str" cm="1">
        <f t="array" ref="E183">_xlfn.IFS(D183=policy_name_clustering!$A$2,policy_name_clustering!$C$2,D183=policy_name_clustering!$A$3,policy_name_clustering!$C$3,D183=policy_name_clustering!$A$5,policy_name_clustering!$C$5,D183=policy_name_clustering!$A$6,policy_name_clustering!$C$6,D183=policy_name_clustering!$A$7,policy_name_clustering!$C$7,D183=policy_name_clustering!$A$8,policy_name_clustering!$C$8,D183=policy_name_clustering!$A$9,policy_name_clustering!$C$9,D183=policy_name_clustering!$A$10,policy_name_clustering!$C$10,D183=policy_name_clustering!$A$11,policy_name_clustering!$C$11,D183=policy_name_clustering!$A$12,policy_name_clustering!$C$12,D183=policy_name_clustering!$A$13,policy_name_clustering!$C$13,D183=policy_name_clustering!$A$14,policy_name_clustering!$C$14,D183=policy_name_clustering!$A$15,policy_name_clustering!$C$15,D183=policy_name_clustering!$A$16,policy_name_clustering!$C$16,D183="-","",D183=policy_name_clustering!$A$4,policy_name_clustering!$C$4)</f>
        <v>Tender-based</v>
      </c>
      <c r="F183">
        <f>policy_contributions_cum!F52</f>
        <v>5431.7410400270901</v>
      </c>
      <c r="G183">
        <f>wind_cump_cap!C170</f>
        <v>30113.763999999999</v>
      </c>
      <c r="H183">
        <f>estimated_capacity!C165</f>
        <v>30026.490472254602</v>
      </c>
      <c r="I183" cm="1">
        <f t="array" ref="I183">_xlfn.IFS(D183= ""," ",D183&lt;&gt; " ",F183*(G183/H183))</f>
        <v>5447.5286727109915</v>
      </c>
      <c r="J183" cm="1">
        <f t="array" ref="J183">_xlfn.IFS(D183= ""," ",D183&lt;&gt; " ",(H183-F183)*(G183/H183)-$I$174-$I$163)</f>
        <v>1366.6275253596941</v>
      </c>
      <c r="K183" cm="1">
        <f t="array" ref="K183">IF(ISNUMBER(H183),_xlfn.IFS(D183= ""," ",D183&lt;&gt; " ",F183*(G183/H183)),"")</f>
        <v>5447.5286727109915</v>
      </c>
    </row>
    <row r="184" spans="1:11" x14ac:dyDescent="0.35">
      <c r="A184" t="s">
        <v>8</v>
      </c>
      <c r="B184">
        <v>2023</v>
      </c>
      <c r="D184" s="14" t="s">
        <v>157</v>
      </c>
      <c r="E184" t="str" cm="1">
        <f t="array" ref="E184">_xlfn.IFS(D184=policy_name_clustering!$A$2,policy_name_clustering!$C$2,D184=policy_name_clustering!$A$3,policy_name_clustering!$C$3,D184=policy_name_clustering!$A$5,policy_name_clustering!$C$5,D184=policy_name_clustering!$A$6,policy_name_clustering!$C$6,D184=policy_name_clustering!$A$7,policy_name_clustering!$C$7,D184=policy_name_clustering!$A$8,policy_name_clustering!$C$8,D184=policy_name_clustering!$A$9,policy_name_clustering!$C$9,D184=policy_name_clustering!$A$10,policy_name_clustering!$C$10,D184=policy_name_clustering!$A$11,policy_name_clustering!$C$11,D184=policy_name_clustering!$A$12,policy_name_clustering!$C$12,D184=policy_name_clustering!$A$13,policy_name_clustering!$C$13,D184=policy_name_clustering!$A$14,policy_name_clustering!$C$14,D184=policy_name_clustering!$A$15,policy_name_clustering!$C$15,D184=policy_name_clustering!$A$16,policy_name_clustering!$C$16,D184="-","",D184=policy_name_clustering!$A$4,policy_name_clustering!$C$4)</f>
        <v>Tender-based</v>
      </c>
      <c r="F184">
        <f>policy_contributions_cum!F53</f>
        <v>6860.78097847357</v>
      </c>
      <c r="G184">
        <f>wind_cump_cap!C171</f>
        <v>30868.494999999999</v>
      </c>
      <c r="H184">
        <f>estimated_capacity!C166</f>
        <v>31585.202406200598</v>
      </c>
      <c r="I184" cm="1">
        <f t="array" ref="I184">_xlfn.IFS(D184= ""," ",D184&lt;&gt; " ",F184*(G184/H184))</f>
        <v>6705.101351148247</v>
      </c>
      <c r="J184" cm="1">
        <f t="array" ref="J184">_xlfn.IFS(D184= ""," ",D184&lt;&gt; " ",(H184-F184)*(G184/H184)-$I$174-$I$163)</f>
        <v>863.78584692243749</v>
      </c>
      <c r="K184" cm="1">
        <f t="array" ref="K184">IF(ISNUMBER(H184),_xlfn.IFS(D184= ""," ",D184&lt;&gt; " ",F184*(G184/H184)),"")</f>
        <v>6705.101351148247</v>
      </c>
    </row>
    <row r="185" spans="1:11" x14ac:dyDescent="0.35">
      <c r="A185" t="s">
        <v>25</v>
      </c>
      <c r="B185">
        <v>1991</v>
      </c>
      <c r="D185" s="14" t="s">
        <v>137</v>
      </c>
      <c r="E185" t="str" cm="1">
        <f t="array" ref="E185">_xlfn.IFS(D185=policy_name_clustering!$A$2,policy_name_clustering!$C$2,D185=policy_name_clustering!$A$3,policy_name_clustering!$C$3,D185=policy_name_clustering!$A$5,policy_name_clustering!$C$5,D185=policy_name_clustering!$A$6,policy_name_clustering!$C$6,D185=policy_name_clustering!$A$7,policy_name_clustering!$C$7,D185=policy_name_clustering!$A$8,policy_name_clustering!$C$8,D185=policy_name_clustering!$A$9,policy_name_clustering!$C$9,D185=policy_name_clustering!$A$10,policy_name_clustering!$C$10,D185=policy_name_clustering!$A$11,policy_name_clustering!$C$11,D185=policy_name_clustering!$A$12,policy_name_clustering!$C$12,D185=policy_name_clustering!$A$13,policy_name_clustering!$C$13,D185=policy_name_clustering!$A$14,policy_name_clustering!$C$14,D185=policy_name_clustering!$A$15,policy_name_clustering!$C$15,D185=policy_name_clustering!$A$16,policy_name_clustering!$C$16,D185="-","",D185=policy_name_clustering!$A$4,policy_name_clustering!$C$4)</f>
        <v/>
      </c>
      <c r="G185">
        <f>wind_cump_cap!C173</f>
        <v>1</v>
      </c>
      <c r="H185">
        <f>estimated_capacity!C167</f>
        <v>-24.178306926821701</v>
      </c>
      <c r="I185" cm="1">
        <f t="array" ref="I185">_xlfn.IFS(D185= ""," ",D185&lt;&gt; " ",F185*(G185/H185))</f>
        <v>0</v>
      </c>
      <c r="J185" cm="1">
        <f t="array" ref="J185">_xlfn.IFS(D185= ""," ",D185&lt;&gt; " ",(H185-F185)*(G185/H185))</f>
        <v>1</v>
      </c>
      <c r="K185" cm="1">
        <f t="array" ref="K185">IF(ISNUMBER(H185),_xlfn.IFS(D185= ""," ",D185&lt;&gt; " ",F185*(G185/H185)),"")</f>
        <v>0</v>
      </c>
    </row>
    <row r="186" spans="1:11" x14ac:dyDescent="0.35">
      <c r="A186" t="s">
        <v>25</v>
      </c>
      <c r="B186">
        <v>1992</v>
      </c>
      <c r="D186" s="14" t="s">
        <v>137</v>
      </c>
      <c r="E186" t="str" cm="1">
        <f t="array" ref="E186">_xlfn.IFS(D186=policy_name_clustering!$A$2,policy_name_clustering!$C$2,D186=policy_name_clustering!$A$3,policy_name_clustering!$C$3,D186=policy_name_clustering!$A$5,policy_name_clustering!$C$5,D186=policy_name_clustering!$A$6,policy_name_clustering!$C$6,D186=policy_name_clustering!$A$7,policy_name_clustering!$C$7,D186=policy_name_clustering!$A$8,policy_name_clustering!$C$8,D186=policy_name_clustering!$A$9,policy_name_clustering!$C$9,D186=policy_name_clustering!$A$10,policy_name_clustering!$C$10,D186=policy_name_clustering!$A$11,policy_name_clustering!$C$11,D186=policy_name_clustering!$A$12,policy_name_clustering!$C$12,D186=policy_name_clustering!$A$13,policy_name_clustering!$C$13,D186=policy_name_clustering!$A$14,policy_name_clustering!$C$14,D186=policy_name_clustering!$A$15,policy_name_clustering!$C$15,D186=policy_name_clustering!$A$16,policy_name_clustering!$C$16,D186="-","",D186=policy_name_clustering!$A$4,policy_name_clustering!$C$4)</f>
        <v/>
      </c>
      <c r="G186">
        <f>wind_cump_cap!C174</f>
        <v>1</v>
      </c>
      <c r="H186">
        <f>estimated_capacity!C168</f>
        <v>-47.697631222512697</v>
      </c>
      <c r="I186" cm="1">
        <f t="array" ref="I186">_xlfn.IFS(D186= ""," ",D186&lt;&gt; " ",F186*(G186/H186))</f>
        <v>0</v>
      </c>
      <c r="J186" cm="1">
        <f t="array" ref="J186">_xlfn.IFS(D186= ""," ",D186&lt;&gt; " ",(H186-F186)*(G186/H186))</f>
        <v>1</v>
      </c>
      <c r="K186" cm="1">
        <f t="array" ref="K186">IF(ISNUMBER(H186),_xlfn.IFS(D186= ""," ",D186&lt;&gt; " ",F186*(G186/H186)),"")</f>
        <v>0</v>
      </c>
    </row>
    <row r="187" spans="1:11" x14ac:dyDescent="0.35">
      <c r="A187" t="s">
        <v>25</v>
      </c>
      <c r="B187">
        <v>1993</v>
      </c>
      <c r="D187" s="14" t="s">
        <v>137</v>
      </c>
      <c r="E187" t="str" cm="1">
        <f t="array" ref="E187">_xlfn.IFS(D187=policy_name_clustering!$A$2,policy_name_clustering!$C$2,D187=policy_name_clustering!$A$3,policy_name_clustering!$C$3,D187=policy_name_clustering!$A$5,policy_name_clustering!$C$5,D187=policy_name_clustering!$A$6,policy_name_clustering!$C$6,D187=policy_name_clustering!$A$7,policy_name_clustering!$C$7,D187=policy_name_clustering!$A$8,policy_name_clustering!$C$8,D187=policy_name_clustering!$A$9,policy_name_clustering!$C$9,D187=policy_name_clustering!$A$10,policy_name_clustering!$C$10,D187=policy_name_clustering!$A$11,policy_name_clustering!$C$11,D187=policy_name_clustering!$A$12,policy_name_clustering!$C$12,D187=policy_name_clustering!$A$13,policy_name_clustering!$C$13,D187=policy_name_clustering!$A$14,policy_name_clustering!$C$14,D187=policy_name_clustering!$A$15,policy_name_clustering!$C$15,D187=policy_name_clustering!$A$16,policy_name_clustering!$C$16,D187="-","",D187=policy_name_clustering!$A$4,policy_name_clustering!$C$4)</f>
        <v/>
      </c>
      <c r="G187">
        <f>wind_cump_cap!C175</f>
        <v>5</v>
      </c>
      <c r="H187">
        <f>estimated_capacity!C169</f>
        <v>-63.453664398730098</v>
      </c>
      <c r="I187" cm="1">
        <f t="array" ref="I187">_xlfn.IFS(D187= ""," ",D187&lt;&gt; " ",F187*(G187/H187))</f>
        <v>0</v>
      </c>
      <c r="J187" cm="1">
        <f t="array" ref="J187">_xlfn.IFS(D187= ""," ",D187&lt;&gt; " ",(H187-F187)*(G187/H187))</f>
        <v>5</v>
      </c>
      <c r="K187" cm="1">
        <f t="array" ref="K187">IF(ISNUMBER(H187),_xlfn.IFS(D187= ""," ",D187&lt;&gt; " ",F187*(G187/H187)),"")</f>
        <v>0</v>
      </c>
    </row>
    <row r="188" spans="1:11" x14ac:dyDescent="0.35">
      <c r="A188" t="s">
        <v>25</v>
      </c>
      <c r="B188">
        <v>1994</v>
      </c>
      <c r="D188" s="14" t="s">
        <v>137</v>
      </c>
      <c r="E188" t="str" cm="1">
        <f t="array" ref="E188">_xlfn.IFS(D188=policy_name_clustering!$A$2,policy_name_clustering!$C$2,D188=policy_name_clustering!$A$3,policy_name_clustering!$C$3,D188=policy_name_clustering!$A$5,policy_name_clustering!$C$5,D188=policy_name_clustering!$A$6,policy_name_clustering!$C$6,D188=policy_name_clustering!$A$7,policy_name_clustering!$C$7,D188=policy_name_clustering!$A$8,policy_name_clustering!$C$8,D188=policy_name_clustering!$A$9,policy_name_clustering!$C$9,D188=policy_name_clustering!$A$10,policy_name_clustering!$C$10,D188=policy_name_clustering!$A$11,policy_name_clustering!$C$11,D188=policy_name_clustering!$A$12,policy_name_clustering!$C$12,D188=policy_name_clustering!$A$13,policy_name_clustering!$C$13,D188=policy_name_clustering!$A$14,policy_name_clustering!$C$14,D188=policy_name_clustering!$A$15,policy_name_clustering!$C$15,D188=policy_name_clustering!$A$16,policy_name_clustering!$C$16,D188="-","",D188=policy_name_clustering!$A$4,policy_name_clustering!$C$4)</f>
        <v/>
      </c>
      <c r="G188">
        <f>wind_cump_cap!C176</f>
        <v>5</v>
      </c>
      <c r="H188">
        <f>estimated_capacity!C170</f>
        <v>-75.512767525596701</v>
      </c>
      <c r="I188" cm="1">
        <f t="array" ref="I188">_xlfn.IFS(D188= ""," ",D188&lt;&gt; " ",F188*(G188/H188))</f>
        <v>0</v>
      </c>
      <c r="J188" cm="1">
        <f t="array" ref="J188">_xlfn.IFS(D188= ""," ",D188&lt;&gt; " ",(H188-F188)*(G188/H188))</f>
        <v>5</v>
      </c>
      <c r="K188" cm="1">
        <f t="array" ref="K188">IF(ISNUMBER(H188),_xlfn.IFS(D188= ""," ",D188&lt;&gt; " ",F188*(G188/H188)),"")</f>
        <v>0</v>
      </c>
    </row>
    <row r="189" spans="1:11" x14ac:dyDescent="0.35">
      <c r="A189" t="s">
        <v>25</v>
      </c>
      <c r="B189">
        <v>1995</v>
      </c>
      <c r="D189" s="14" t="s">
        <v>137</v>
      </c>
      <c r="E189" t="str" cm="1">
        <f t="array" ref="E189">_xlfn.IFS(D189=policy_name_clustering!$A$2,policy_name_clustering!$C$2,D189=policy_name_clustering!$A$3,policy_name_clustering!$C$3,D189=policy_name_clustering!$A$5,policy_name_clustering!$C$5,D189=policy_name_clustering!$A$6,policy_name_clustering!$C$6,D189=policy_name_clustering!$A$7,policy_name_clustering!$C$7,D189=policy_name_clustering!$A$8,policy_name_clustering!$C$8,D189=policy_name_clustering!$A$9,policy_name_clustering!$C$9,D189=policy_name_clustering!$A$10,policy_name_clustering!$C$10,D189=policy_name_clustering!$A$11,policy_name_clustering!$C$11,D189=policy_name_clustering!$A$12,policy_name_clustering!$C$12,D189=policy_name_clustering!$A$13,policy_name_clustering!$C$13,D189=policy_name_clustering!$A$14,policy_name_clustering!$C$14,D189=policy_name_clustering!$A$15,policy_name_clustering!$C$15,D189=policy_name_clustering!$A$16,policy_name_clustering!$C$16,D189="-","",D189=policy_name_clustering!$A$4,policy_name_clustering!$C$4)</f>
        <v/>
      </c>
      <c r="G189">
        <f>wind_cump_cap!C177</f>
        <v>6</v>
      </c>
      <c r="H189">
        <f>estimated_capacity!C171</f>
        <v>-77.001012198139506</v>
      </c>
      <c r="I189" cm="1">
        <f t="array" ref="I189">_xlfn.IFS(D189= ""," ",D189&lt;&gt; " ",F189*(G189/H189))</f>
        <v>0</v>
      </c>
      <c r="J189" cm="1">
        <f t="array" ref="J189">_xlfn.IFS(D189= ""," ",D189&lt;&gt; " ",(H189-F189)*(G189/H189))</f>
        <v>6</v>
      </c>
      <c r="K189" cm="1">
        <f t="array" ref="K189">IF(ISNUMBER(H189),_xlfn.IFS(D189= ""," ",D189&lt;&gt; " ",F189*(G189/H189)),"")</f>
        <v>0</v>
      </c>
    </row>
    <row r="190" spans="1:11" x14ac:dyDescent="0.35">
      <c r="A190" t="s">
        <v>25</v>
      </c>
      <c r="B190">
        <v>1996</v>
      </c>
      <c r="D190" s="14" t="s">
        <v>137</v>
      </c>
      <c r="E190" t="str" cm="1">
        <f t="array" ref="E190">_xlfn.IFS(D190=policy_name_clustering!$A$2,policy_name_clustering!$C$2,D190=policy_name_clustering!$A$3,policy_name_clustering!$C$3,D190=policy_name_clustering!$A$5,policy_name_clustering!$C$5,D190=policy_name_clustering!$A$6,policy_name_clustering!$C$6,D190=policy_name_clustering!$A$7,policy_name_clustering!$C$7,D190=policy_name_clustering!$A$8,policy_name_clustering!$C$8,D190=policy_name_clustering!$A$9,policy_name_clustering!$C$9,D190=policy_name_clustering!$A$10,policy_name_clustering!$C$10,D190=policy_name_clustering!$A$11,policy_name_clustering!$C$11,D190=policy_name_clustering!$A$12,policy_name_clustering!$C$12,D190=policy_name_clustering!$A$13,policy_name_clustering!$C$13,D190=policy_name_clustering!$A$14,policy_name_clustering!$C$14,D190=policy_name_clustering!$A$15,policy_name_clustering!$C$15,D190=policy_name_clustering!$A$16,policy_name_clustering!$C$16,D190="-","",D190=policy_name_clustering!$A$4,policy_name_clustering!$C$4)</f>
        <v/>
      </c>
      <c r="G190">
        <f>wind_cump_cap!C178</f>
        <v>7</v>
      </c>
      <c r="H190">
        <f>estimated_capacity!C172</f>
        <v>-68.802263652906106</v>
      </c>
      <c r="I190" cm="1">
        <f t="array" ref="I190">_xlfn.IFS(D190= ""," ",D190&lt;&gt; " ",F190*(G190/H190))</f>
        <v>0</v>
      </c>
      <c r="J190" cm="1">
        <f t="array" ref="J190">_xlfn.IFS(D190= ""," ",D190&lt;&gt; " ",(H190-F190)*(G190/H190))</f>
        <v>7</v>
      </c>
      <c r="K190" cm="1">
        <f t="array" ref="K190">IF(ISNUMBER(H190),_xlfn.IFS(D190= ""," ",D190&lt;&gt; " ",F190*(G190/H190)),"")</f>
        <v>0</v>
      </c>
    </row>
    <row r="191" spans="1:11" x14ac:dyDescent="0.35">
      <c r="A191" t="s">
        <v>25</v>
      </c>
      <c r="B191">
        <v>1997</v>
      </c>
      <c r="D191" s="14" t="s">
        <v>137</v>
      </c>
      <c r="E191" t="str" cm="1">
        <f t="array" ref="E191">_xlfn.IFS(D191=policy_name_clustering!$A$2,policy_name_clustering!$C$2,D191=policy_name_clustering!$A$3,policy_name_clustering!$C$3,D191=policy_name_clustering!$A$5,policy_name_clustering!$C$5,D191=policy_name_clustering!$A$6,policy_name_clustering!$C$6,D191=policy_name_clustering!$A$7,policy_name_clustering!$C$7,D191=policy_name_clustering!$A$8,policy_name_clustering!$C$8,D191=policy_name_clustering!$A$9,policy_name_clustering!$C$9,D191=policy_name_clustering!$A$10,policy_name_clustering!$C$10,D191=policy_name_clustering!$A$11,policy_name_clustering!$C$11,D191=policy_name_clustering!$A$12,policy_name_clustering!$C$12,D191=policy_name_clustering!$A$13,policy_name_clustering!$C$13,D191=policy_name_clustering!$A$14,policy_name_clustering!$C$14,D191=policy_name_clustering!$A$15,policy_name_clustering!$C$15,D191=policy_name_clustering!$A$16,policy_name_clustering!$C$16,D191="-","",D191=policy_name_clustering!$A$4,policy_name_clustering!$C$4)</f>
        <v/>
      </c>
      <c r="G191">
        <f>wind_cump_cap!C179</f>
        <v>12</v>
      </c>
      <c r="H191">
        <f>estimated_capacity!C173</f>
        <v>-48.5940534764378</v>
      </c>
      <c r="I191" cm="1">
        <f t="array" ref="I191">_xlfn.IFS(D191= ""," ",D191&lt;&gt; " ",F191*(G191/H191))</f>
        <v>0</v>
      </c>
      <c r="J191" cm="1">
        <f t="array" ref="J191">_xlfn.IFS(D191= ""," ",D191&lt;&gt; " ",(H191-F191)*(G191/H191))</f>
        <v>12</v>
      </c>
      <c r="K191" cm="1">
        <f t="array" ref="K191">IF(ISNUMBER(H191),_xlfn.IFS(D191= ""," ",D191&lt;&gt; " ",F191*(G191/H191)),"")</f>
        <v>0</v>
      </c>
    </row>
    <row r="192" spans="1:11" x14ac:dyDescent="0.35">
      <c r="A192" t="s">
        <v>25</v>
      </c>
      <c r="B192">
        <v>1998</v>
      </c>
      <c r="D192" s="14" t="s">
        <v>137</v>
      </c>
      <c r="E192" t="str" cm="1">
        <f t="array" ref="E192">_xlfn.IFS(D192=policy_name_clustering!$A$2,policy_name_clustering!$C$2,D192=policy_name_clustering!$A$3,policy_name_clustering!$C$3,D192=policy_name_clustering!$A$5,policy_name_clustering!$C$5,D192=policy_name_clustering!$A$6,policy_name_clustering!$C$6,D192=policy_name_clustering!$A$7,policy_name_clustering!$C$7,D192=policy_name_clustering!$A$8,policy_name_clustering!$C$8,D192=policy_name_clustering!$A$9,policy_name_clustering!$C$9,D192=policy_name_clustering!$A$10,policy_name_clustering!$C$10,D192=policy_name_clustering!$A$11,policy_name_clustering!$C$11,D192=policy_name_clustering!$A$12,policy_name_clustering!$C$12,D192=policy_name_clustering!$A$13,policy_name_clustering!$C$13,D192=policy_name_clustering!$A$14,policy_name_clustering!$C$14,D192=policy_name_clustering!$A$15,policy_name_clustering!$C$15,D192=policy_name_clustering!$A$16,policy_name_clustering!$C$16,D192="-","",D192=policy_name_clustering!$A$4,policy_name_clustering!$C$4)</f>
        <v/>
      </c>
      <c r="G192">
        <f>wind_cump_cap!C180</f>
        <v>17</v>
      </c>
      <c r="H192">
        <f>estimated_capacity!C174</f>
        <v>-24.883390408506699</v>
      </c>
      <c r="I192" cm="1">
        <f t="array" ref="I192">_xlfn.IFS(D192= ""," ",D192&lt;&gt; " ",F192*(G192/H192))</f>
        <v>0</v>
      </c>
      <c r="J192" cm="1">
        <f t="array" ref="J192">_xlfn.IFS(D192= ""," ",D192&lt;&gt; " ",(H192-F192)*(G192/H192))</f>
        <v>17</v>
      </c>
      <c r="K192" cm="1">
        <f t="array" ref="K192">IF(ISNUMBER(H192),_xlfn.IFS(D192= ""," ",D192&lt;&gt; " ",F192*(G192/H192)),"")</f>
        <v>0</v>
      </c>
    </row>
    <row r="193" spans="1:11" x14ac:dyDescent="0.35">
      <c r="A193" t="s">
        <v>25</v>
      </c>
      <c r="B193">
        <v>1999</v>
      </c>
      <c r="D193" s="14" t="s">
        <v>137</v>
      </c>
      <c r="E193" t="str" cm="1">
        <f t="array" ref="E193">_xlfn.IFS(D193=policy_name_clustering!$A$2,policy_name_clustering!$C$2,D193=policy_name_clustering!$A$3,policy_name_clustering!$C$3,D193=policy_name_clustering!$A$5,policy_name_clustering!$C$5,D193=policy_name_clustering!$A$6,policy_name_clustering!$C$6,D193=policy_name_clustering!$A$7,policy_name_clustering!$C$7,D193=policy_name_clustering!$A$8,policy_name_clustering!$C$8,D193=policy_name_clustering!$A$9,policy_name_clustering!$C$9,D193=policy_name_clustering!$A$10,policy_name_clustering!$C$10,D193=policy_name_clustering!$A$11,policy_name_clustering!$C$11,D193=policy_name_clustering!$A$12,policy_name_clustering!$C$12,D193=policy_name_clustering!$A$13,policy_name_clustering!$C$13,D193=policy_name_clustering!$A$14,policy_name_clustering!$C$14,D193=policy_name_clustering!$A$15,policy_name_clustering!$C$15,D193=policy_name_clustering!$A$16,policy_name_clustering!$C$16,D193="-","",D193=policy_name_clustering!$A$4,policy_name_clustering!$C$4)</f>
        <v/>
      </c>
      <c r="G193">
        <f>wind_cump_cap!C181</f>
        <v>38</v>
      </c>
      <c r="H193">
        <f>estimated_capacity!C175</f>
        <v>9.7838796863319697</v>
      </c>
      <c r="I193" cm="1">
        <f t="array" ref="I193">_xlfn.IFS(D193= ""," ",D193&lt;&gt; " ",F193*(G193/H193))</f>
        <v>0</v>
      </c>
      <c r="J193" cm="1">
        <f t="array" ref="J193">_xlfn.IFS(D193= ""," ",D193&lt;&gt; " ",(H193-F193)*(G193/H193))</f>
        <v>38</v>
      </c>
      <c r="K193" cm="1">
        <f t="array" ref="K193">IF(ISNUMBER(H193),_xlfn.IFS(D193= ""," ",D193&lt;&gt; " ",F193*(G193/H193)),"")</f>
        <v>0</v>
      </c>
    </row>
    <row r="194" spans="1:11" x14ac:dyDescent="0.35">
      <c r="A194" t="s">
        <v>25</v>
      </c>
      <c r="B194">
        <v>2000</v>
      </c>
      <c r="D194" s="14" t="s">
        <v>137</v>
      </c>
      <c r="E194" t="str" cm="1">
        <f t="array" ref="E194">_xlfn.IFS(D194=policy_name_clustering!$A$2,policy_name_clustering!$C$2,D194=policy_name_clustering!$A$3,policy_name_clustering!$C$3,D194=policy_name_clustering!$A$5,policy_name_clustering!$C$5,D194=policy_name_clustering!$A$6,policy_name_clustering!$C$6,D194=policy_name_clustering!$A$7,policy_name_clustering!$C$7,D194=policy_name_clustering!$A$8,policy_name_clustering!$C$8,D194=policy_name_clustering!$A$9,policy_name_clustering!$C$9,D194=policy_name_clustering!$A$10,policy_name_clustering!$C$10,D194=policy_name_clustering!$A$11,policy_name_clustering!$C$11,D194=policy_name_clustering!$A$12,policy_name_clustering!$C$12,D194=policy_name_clustering!$A$13,policy_name_clustering!$C$13,D194=policy_name_clustering!$A$14,policy_name_clustering!$C$14,D194=policy_name_clustering!$A$15,policy_name_clustering!$C$15,D194=policy_name_clustering!$A$16,policy_name_clustering!$C$16,D194="-","",D194=policy_name_clustering!$A$4,policy_name_clustering!$C$4)</f>
        <v/>
      </c>
      <c r="G194">
        <f>wind_cump_cap!C182</f>
        <v>38</v>
      </c>
      <c r="H194">
        <f>estimated_capacity!C176</f>
        <v>46.2090288653283</v>
      </c>
      <c r="I194" cm="1">
        <f t="array" ref="I194">_xlfn.IFS(D194= ""," ",D194&lt;&gt; " ",F194*(G194/H194))</f>
        <v>0</v>
      </c>
      <c r="J194" cm="1">
        <f t="array" ref="J194">_xlfn.IFS(D194= ""," ",D194&lt;&gt; " ",(H194-F194)*(G194/H194))</f>
        <v>38</v>
      </c>
      <c r="K194" cm="1">
        <f t="array" ref="K194">IF(ISNUMBER(H194),_xlfn.IFS(D194= ""," ",D194&lt;&gt; " ",F194*(G194/H194)),"")</f>
        <v>0</v>
      </c>
    </row>
    <row r="195" spans="1:11" x14ac:dyDescent="0.35">
      <c r="A195" t="s">
        <v>25</v>
      </c>
      <c r="B195">
        <v>2001</v>
      </c>
      <c r="D195" s="14" t="s">
        <v>137</v>
      </c>
      <c r="E195" t="str" cm="1">
        <f t="array" ref="E195">_xlfn.IFS(D195=policy_name_clustering!$A$2,policy_name_clustering!$C$2,D195=policy_name_clustering!$A$3,policy_name_clustering!$C$3,D195=policy_name_clustering!$A$5,policy_name_clustering!$C$5,D195=policy_name_clustering!$A$6,policy_name_clustering!$C$6,D195=policy_name_clustering!$A$7,policy_name_clustering!$C$7,D195=policy_name_clustering!$A$8,policy_name_clustering!$C$8,D195=policy_name_clustering!$A$9,policy_name_clustering!$C$9,D195=policy_name_clustering!$A$10,policy_name_clustering!$C$10,D195=policy_name_clustering!$A$11,policy_name_clustering!$C$11,D195=policy_name_clustering!$A$12,policy_name_clustering!$C$12,D195=policy_name_clustering!$A$13,policy_name_clustering!$C$13,D195=policy_name_clustering!$A$14,policy_name_clustering!$C$14,D195=policy_name_clustering!$A$15,policy_name_clustering!$C$15,D195=policy_name_clustering!$A$16,policy_name_clustering!$C$16,D195="-","",D195=policy_name_clustering!$A$4,policy_name_clustering!$C$4)</f>
        <v/>
      </c>
      <c r="G195">
        <f>wind_cump_cap!C183</f>
        <v>39</v>
      </c>
      <c r="H195">
        <f>estimated_capacity!C177</f>
        <v>95.362779177425296</v>
      </c>
      <c r="I195" cm="1">
        <f t="array" ref="I195">_xlfn.IFS(D195= ""," ",D195&lt;&gt; " ",F195*(G195/H195))</f>
        <v>0</v>
      </c>
      <c r="J195" cm="1">
        <f t="array" ref="J195">_xlfn.IFS(D195= ""," ",D195&lt;&gt; " ",(H195-F195)*(G195/H195))</f>
        <v>39</v>
      </c>
      <c r="K195" cm="1">
        <f t="array" ref="K195">IF(ISNUMBER(H195),_xlfn.IFS(D195= ""," ",D195&lt;&gt; " ",F195*(G195/H195)),"")</f>
        <v>0</v>
      </c>
    </row>
    <row r="196" spans="1:11" x14ac:dyDescent="0.35">
      <c r="A196" t="s">
        <v>25</v>
      </c>
      <c r="B196">
        <v>2002</v>
      </c>
      <c r="D196" s="14" t="s">
        <v>137</v>
      </c>
      <c r="E196" t="str" cm="1">
        <f t="array" ref="E196">_xlfn.IFS(D196=policy_name_clustering!$A$2,policy_name_clustering!$C$2,D196=policy_name_clustering!$A$3,policy_name_clustering!$C$3,D196=policy_name_clustering!$A$5,policy_name_clustering!$C$5,D196=policy_name_clustering!$A$6,policy_name_clustering!$C$6,D196=policy_name_clustering!$A$7,policy_name_clustering!$C$7,D196=policy_name_clustering!$A$8,policy_name_clustering!$C$8,D196=policy_name_clustering!$A$9,policy_name_clustering!$C$9,D196=policy_name_clustering!$A$10,policy_name_clustering!$C$10,D196=policy_name_clustering!$A$11,policy_name_clustering!$C$11,D196=policy_name_clustering!$A$12,policy_name_clustering!$C$12,D196=policy_name_clustering!$A$13,policy_name_clustering!$C$13,D196=policy_name_clustering!$A$14,policy_name_clustering!$C$14,D196=policy_name_clustering!$A$15,policy_name_clustering!$C$15,D196=policy_name_clustering!$A$16,policy_name_clustering!$C$16,D196="-","",D196=policy_name_clustering!$A$4,policy_name_clustering!$C$4)</f>
        <v/>
      </c>
      <c r="G196">
        <f>wind_cump_cap!C184</f>
        <v>43</v>
      </c>
      <c r="H196">
        <f>estimated_capacity!C178</f>
        <v>146.03363900068399</v>
      </c>
      <c r="I196" cm="1">
        <f t="array" ref="I196">_xlfn.IFS(D196= ""," ",D196&lt;&gt; " ",F196*(G196/H196))</f>
        <v>0</v>
      </c>
      <c r="J196" cm="1">
        <f t="array" ref="J196">_xlfn.IFS(D196= ""," ",D196&lt;&gt; " ",(H196-F196)*(G196/H196))</f>
        <v>42.999999999999993</v>
      </c>
      <c r="K196" cm="1">
        <f t="array" ref="K196">IF(ISNUMBER(H196),_xlfn.IFS(D196= ""," ",D196&lt;&gt; " ",F196*(G196/H196)),"")</f>
        <v>0</v>
      </c>
    </row>
    <row r="197" spans="1:11" x14ac:dyDescent="0.35">
      <c r="A197" t="s">
        <v>25</v>
      </c>
      <c r="B197">
        <v>2003</v>
      </c>
      <c r="D197" s="14" t="s">
        <v>137</v>
      </c>
      <c r="E197" t="str" cm="1">
        <f t="array" ref="E197">_xlfn.IFS(D197=policy_name_clustering!$A$2,policy_name_clustering!$C$2,D197=policy_name_clustering!$A$3,policy_name_clustering!$C$3,D197=policy_name_clustering!$A$5,policy_name_clustering!$C$5,D197=policy_name_clustering!$A$6,policy_name_clustering!$C$6,D197=policy_name_clustering!$A$7,policy_name_clustering!$C$7,D197=policy_name_clustering!$A$8,policy_name_clustering!$C$8,D197=policy_name_clustering!$A$9,policy_name_clustering!$C$9,D197=policy_name_clustering!$A$10,policy_name_clustering!$C$10,D197=policy_name_clustering!$A$11,policy_name_clustering!$C$11,D197=policy_name_clustering!$A$12,policy_name_clustering!$C$12,D197=policy_name_clustering!$A$13,policy_name_clustering!$C$13,D197=policy_name_clustering!$A$14,policy_name_clustering!$C$14,D197=policy_name_clustering!$A$15,policy_name_clustering!$C$15,D197=policy_name_clustering!$A$16,policy_name_clustering!$C$16,D197="-","",D197=policy_name_clustering!$A$4,policy_name_clustering!$C$4)</f>
        <v/>
      </c>
      <c r="G197">
        <f>wind_cump_cap!C185</f>
        <v>52</v>
      </c>
      <c r="H197">
        <f>estimated_capacity!C179</f>
        <v>211.88882344563601</v>
      </c>
      <c r="I197" cm="1">
        <f t="array" ref="I197">_xlfn.IFS(D197= ""," ",D197&lt;&gt; " ",F197*(G197/H197))</f>
        <v>0</v>
      </c>
      <c r="J197" cm="1">
        <f t="array" ref="J197">_xlfn.IFS(D197= ""," ",D197&lt;&gt; " ",(H197-F197)*(G197/H197))</f>
        <v>52</v>
      </c>
      <c r="K197" cm="1">
        <f t="array" ref="K197">IF(ISNUMBER(H197),_xlfn.IFS(D197= ""," ",D197&lt;&gt; " ",F197*(G197/H197)),"")</f>
        <v>0</v>
      </c>
    </row>
    <row r="198" spans="1:11" x14ac:dyDescent="0.35">
      <c r="A198" t="s">
        <v>25</v>
      </c>
      <c r="B198">
        <v>2004</v>
      </c>
      <c r="D198" s="14" t="s">
        <v>137</v>
      </c>
      <c r="E198" t="str" cm="1">
        <f t="array" ref="E198">_xlfn.IFS(D198=policy_name_clustering!$A$2,policy_name_clustering!$C$2,D198=policy_name_clustering!$A$3,policy_name_clustering!$C$3,D198=policy_name_clustering!$A$5,policy_name_clustering!$C$5,D198=policy_name_clustering!$A$6,policy_name_clustering!$C$6,D198=policy_name_clustering!$A$7,policy_name_clustering!$C$7,D198=policy_name_clustering!$A$8,policy_name_clustering!$C$8,D198=policy_name_clustering!$A$9,policy_name_clustering!$C$9,D198=policy_name_clustering!$A$10,policy_name_clustering!$C$10,D198=policy_name_clustering!$A$11,policy_name_clustering!$C$11,D198=policy_name_clustering!$A$12,policy_name_clustering!$C$12,D198=policy_name_clustering!$A$13,policy_name_clustering!$C$13,D198=policy_name_clustering!$A$14,policy_name_clustering!$C$14,D198=policy_name_clustering!$A$15,policy_name_clustering!$C$15,D198=policy_name_clustering!$A$16,policy_name_clustering!$C$16,D198="-","",D198=policy_name_clustering!$A$4,policy_name_clustering!$C$4)</f>
        <v/>
      </c>
      <c r="G198">
        <f>wind_cump_cap!C186</f>
        <v>82</v>
      </c>
      <c r="H198">
        <f>estimated_capacity!C180</f>
        <v>275.19569252694203</v>
      </c>
      <c r="I198" cm="1">
        <f t="array" ref="I198">_xlfn.IFS(D198= ""," ",D198&lt;&gt; " ",F198*(G198/H198))</f>
        <v>0</v>
      </c>
      <c r="J198" cm="1">
        <f t="array" ref="J198">_xlfn.IFS(D198= ""," ",D198&lt;&gt; " ",(H198-F198)*(G198/H198))</f>
        <v>82</v>
      </c>
      <c r="K198" cm="1">
        <f t="array" ref="K198">IF(ISNUMBER(H198),_xlfn.IFS(D198= ""," ",D198&lt;&gt; " ",F198*(G198/H198)),"")</f>
        <v>0</v>
      </c>
    </row>
    <row r="199" spans="1:11" x14ac:dyDescent="0.35">
      <c r="A199" t="s">
        <v>25</v>
      </c>
      <c r="B199">
        <v>2005</v>
      </c>
      <c r="D199" s="14" t="s">
        <v>137</v>
      </c>
      <c r="E199" t="str" cm="1">
        <f t="array" ref="E199">_xlfn.IFS(D199=policy_name_clustering!$A$2,policy_name_clustering!$C$2,D199=policy_name_clustering!$A$3,policy_name_clustering!$C$3,D199=policy_name_clustering!$A$5,policy_name_clustering!$C$5,D199=policy_name_clustering!$A$6,policy_name_clustering!$C$6,D199=policy_name_clustering!$A$7,policy_name_clustering!$C$7,D199=policy_name_clustering!$A$8,policy_name_clustering!$C$8,D199=policy_name_clustering!$A$9,policy_name_clustering!$C$9,D199=policy_name_clustering!$A$10,policy_name_clustering!$C$10,D199=policy_name_clustering!$A$11,policy_name_clustering!$C$11,D199=policy_name_clustering!$A$12,policy_name_clustering!$C$12,D199=policy_name_clustering!$A$13,policy_name_clustering!$C$13,D199=policy_name_clustering!$A$14,policy_name_clustering!$C$14,D199=policy_name_clustering!$A$15,policy_name_clustering!$C$15,D199=policy_name_clustering!$A$16,policy_name_clustering!$C$16,D199="-","",D199=policy_name_clustering!$A$4,policy_name_clustering!$C$4)</f>
        <v/>
      </c>
      <c r="G199">
        <f>wind_cump_cap!C187</f>
        <v>82</v>
      </c>
      <c r="H199">
        <f>estimated_capacity!C181</f>
        <v>354.613197652118</v>
      </c>
      <c r="I199" cm="1">
        <f t="array" ref="I199">_xlfn.IFS(D199= ""," ",D199&lt;&gt; " ",F199*(G199/H199))</f>
        <v>0</v>
      </c>
      <c r="J199" cm="1">
        <f t="array" ref="J199">_xlfn.IFS(D199= ""," ",D199&lt;&gt; " ",(H199-F199)*(G199/H199))</f>
        <v>82</v>
      </c>
      <c r="K199" cm="1">
        <f t="array" ref="K199">IF(ISNUMBER(H199),_xlfn.IFS(D199= ""," ",D199&lt;&gt; " ",F199*(G199/H199)),"")</f>
        <v>0</v>
      </c>
    </row>
    <row r="200" spans="1:11" x14ac:dyDescent="0.35">
      <c r="A200" t="s">
        <v>25</v>
      </c>
      <c r="B200">
        <v>2006</v>
      </c>
      <c r="D200" s="14" t="s">
        <v>137</v>
      </c>
      <c r="E200" t="str" cm="1">
        <f t="array" ref="E200">_xlfn.IFS(D200=policy_name_clustering!$A$2,policy_name_clustering!$C$2,D200=policy_name_clustering!$A$3,policy_name_clustering!$C$3,D200=policy_name_clustering!$A$5,policy_name_clustering!$C$5,D200=policy_name_clustering!$A$6,policy_name_clustering!$C$6,D200=policy_name_clustering!$A$7,policy_name_clustering!$C$7,D200=policy_name_clustering!$A$8,policy_name_clustering!$C$8,D200=policy_name_clustering!$A$9,policy_name_clustering!$C$9,D200=policy_name_clustering!$A$10,policy_name_clustering!$C$10,D200=policy_name_clustering!$A$11,policy_name_clustering!$C$11,D200=policy_name_clustering!$A$12,policy_name_clustering!$C$12,D200=policy_name_clustering!$A$13,policy_name_clustering!$C$13,D200=policy_name_clustering!$A$14,policy_name_clustering!$C$14,D200=policy_name_clustering!$A$15,policy_name_clustering!$C$15,D200=policy_name_clustering!$A$16,policy_name_clustering!$C$16,D200="-","",D200=policy_name_clustering!$A$4,policy_name_clustering!$C$4)</f>
        <v/>
      </c>
      <c r="G200">
        <f>wind_cump_cap!C188</f>
        <v>86</v>
      </c>
      <c r="H200">
        <f>estimated_capacity!C182</f>
        <v>427.03041714911598</v>
      </c>
      <c r="I200" cm="1">
        <f t="array" ref="I200">_xlfn.IFS(D200= ""," ",D200&lt;&gt; " ",F200*(G200/H200))</f>
        <v>0</v>
      </c>
      <c r="J200" cm="1">
        <f t="array" ref="J200">_xlfn.IFS(D200= ""," ",D200&lt;&gt; " ",(H200-F200)*(G200/H200))</f>
        <v>86</v>
      </c>
      <c r="K200" cm="1">
        <f t="array" ref="K200">IF(ISNUMBER(H200),_xlfn.IFS(D200= ""," ",D200&lt;&gt; " ",F200*(G200/H200)),"")</f>
        <v>0</v>
      </c>
    </row>
    <row r="201" spans="1:11" x14ac:dyDescent="0.35">
      <c r="A201" t="s">
        <v>25</v>
      </c>
      <c r="B201">
        <v>2007</v>
      </c>
      <c r="D201" s="14" t="s">
        <v>137</v>
      </c>
      <c r="E201" t="str" cm="1">
        <f t="array" ref="E201">_xlfn.IFS(D201=policy_name_clustering!$A$2,policy_name_clustering!$C$2,D201=policy_name_clustering!$A$3,policy_name_clustering!$C$3,D201=policy_name_clustering!$A$5,policy_name_clustering!$C$5,D201=policy_name_clustering!$A$6,policy_name_clustering!$C$6,D201=policy_name_clustering!$A$7,policy_name_clustering!$C$7,D201=policy_name_clustering!$A$8,policy_name_clustering!$C$8,D201=policy_name_clustering!$A$9,policy_name_clustering!$C$9,D201=policy_name_clustering!$A$10,policy_name_clustering!$C$10,D201=policy_name_clustering!$A$11,policy_name_clustering!$C$11,D201=policy_name_clustering!$A$12,policy_name_clustering!$C$12,D201=policy_name_clustering!$A$13,policy_name_clustering!$C$13,D201=policy_name_clustering!$A$14,policy_name_clustering!$C$14,D201=policy_name_clustering!$A$15,policy_name_clustering!$C$15,D201=policy_name_clustering!$A$16,policy_name_clustering!$C$16,D201="-","",D201=policy_name_clustering!$A$4,policy_name_clustering!$C$4)</f>
        <v/>
      </c>
      <c r="G201">
        <f>wind_cump_cap!C189</f>
        <v>110</v>
      </c>
      <c r="H201">
        <f>estimated_capacity!C183</f>
        <v>495.53758140793798</v>
      </c>
      <c r="I201" cm="1">
        <f t="array" ref="I201">_xlfn.IFS(D201= ""," ",D201&lt;&gt; " ",F201*(G201/H201))</f>
        <v>0</v>
      </c>
      <c r="J201" cm="1">
        <f t="array" ref="J201">_xlfn.IFS(D201= ""," ",D201&lt;&gt; " ",(H201-F201)*(G201/H201))</f>
        <v>110</v>
      </c>
      <c r="K201" cm="1">
        <f t="array" ref="K201">IF(ISNUMBER(H201),_xlfn.IFS(D201= ""," ",D201&lt;&gt; " ",F201*(G201/H201)),"")</f>
        <v>0</v>
      </c>
    </row>
    <row r="202" spans="1:11" x14ac:dyDescent="0.35">
      <c r="A202" t="s">
        <v>25</v>
      </c>
      <c r="B202">
        <v>2008</v>
      </c>
      <c r="D202" s="14" t="s">
        <v>137</v>
      </c>
      <c r="E202" t="str" cm="1">
        <f t="array" ref="E202">_xlfn.IFS(D202=policy_name_clustering!$A$2,policy_name_clustering!$C$2,D202=policy_name_clustering!$A$3,policy_name_clustering!$C$3,D202=policy_name_clustering!$A$5,policy_name_clustering!$C$5,D202=policy_name_clustering!$A$6,policy_name_clustering!$C$6,D202=policy_name_clustering!$A$7,policy_name_clustering!$C$7,D202=policy_name_clustering!$A$8,policy_name_clustering!$C$8,D202=policy_name_clustering!$A$9,policy_name_clustering!$C$9,D202=policy_name_clustering!$A$10,policy_name_clustering!$C$10,D202=policy_name_clustering!$A$11,policy_name_clustering!$C$11,D202=policy_name_clustering!$A$12,policy_name_clustering!$C$12,D202=policy_name_clustering!$A$13,policy_name_clustering!$C$13,D202=policy_name_clustering!$A$14,policy_name_clustering!$C$14,D202=policy_name_clustering!$A$15,policy_name_clustering!$C$15,D202=policy_name_clustering!$A$16,policy_name_clustering!$C$16,D202="-","",D202=policy_name_clustering!$A$4,policy_name_clustering!$C$4)</f>
        <v/>
      </c>
      <c r="G202">
        <f>wind_cump_cap!C190</f>
        <v>143</v>
      </c>
      <c r="H202">
        <f>estimated_capacity!C184</f>
        <v>553.35792761444395</v>
      </c>
      <c r="I202" cm="1">
        <f t="array" ref="I202">_xlfn.IFS(D202= ""," ",D202&lt;&gt; " ",F202*(G202/H202))</f>
        <v>0</v>
      </c>
      <c r="J202" cm="1">
        <f t="array" ref="J202">_xlfn.IFS(D202= ""," ",D202&lt;&gt; " ",(H202-F202)*(G202/H202))</f>
        <v>143</v>
      </c>
      <c r="K202" cm="1">
        <f t="array" ref="K202">IF(ISNUMBER(H202),_xlfn.IFS(D202= ""," ",D202&lt;&gt; " ",F202*(G202/H202)),"")</f>
        <v>0</v>
      </c>
    </row>
    <row r="203" spans="1:11" x14ac:dyDescent="0.35">
      <c r="A203" t="s">
        <v>25</v>
      </c>
      <c r="B203">
        <v>2009</v>
      </c>
      <c r="D203" s="14" t="s">
        <v>137</v>
      </c>
      <c r="E203" t="str" cm="1">
        <f t="array" ref="E203">_xlfn.IFS(D203=policy_name_clustering!$A$2,policy_name_clustering!$C$2,D203=policy_name_clustering!$A$3,policy_name_clustering!$C$3,D203=policy_name_clustering!$A$5,policy_name_clustering!$C$5,D203=policy_name_clustering!$A$6,policy_name_clustering!$C$6,D203=policy_name_clustering!$A$7,policy_name_clustering!$C$7,D203=policy_name_clustering!$A$8,policy_name_clustering!$C$8,D203=policy_name_clustering!$A$9,policy_name_clustering!$C$9,D203=policy_name_clustering!$A$10,policy_name_clustering!$C$10,D203=policy_name_clustering!$A$11,policy_name_clustering!$C$11,D203=policy_name_clustering!$A$12,policy_name_clustering!$C$12,D203=policy_name_clustering!$A$13,policy_name_clustering!$C$13,D203=policy_name_clustering!$A$14,policy_name_clustering!$C$14,D203=policy_name_clustering!$A$15,policy_name_clustering!$C$15,D203=policy_name_clustering!$A$16,policy_name_clustering!$C$16,D203="-","",D203=policy_name_clustering!$A$4,policy_name_clustering!$C$4)</f>
        <v/>
      </c>
      <c r="G203">
        <f>wind_cump_cap!C191</f>
        <v>147</v>
      </c>
      <c r="H203">
        <f>estimated_capacity!C185</f>
        <v>610.10041745044202</v>
      </c>
      <c r="I203" cm="1">
        <f t="array" ref="I203">_xlfn.IFS(D203= ""," ",D203&lt;&gt; " ",F203*(G203/H203))</f>
        <v>0</v>
      </c>
      <c r="J203" cm="1">
        <f t="array" ref="J203">_xlfn.IFS(D203= ""," ",D203&lt;&gt; " ",(H203-F203)*(G203/H203))</f>
        <v>147</v>
      </c>
      <c r="K203" cm="1">
        <f t="array" ref="K203">IF(ISNUMBER(H203),_xlfn.IFS(D203= ""," ",D203&lt;&gt; " ",F203*(G203/H203)),"")</f>
        <v>0</v>
      </c>
    </row>
    <row r="204" spans="1:11" x14ac:dyDescent="0.35">
      <c r="A204" t="s">
        <v>25</v>
      </c>
      <c r="B204">
        <v>2010</v>
      </c>
      <c r="D204" s="14" t="s">
        <v>137</v>
      </c>
      <c r="E204" t="str" cm="1">
        <f t="array" ref="E204">_xlfn.IFS(D204=policy_name_clustering!$A$2,policy_name_clustering!$C$2,D204=policy_name_clustering!$A$3,policy_name_clustering!$C$3,D204=policy_name_clustering!$A$5,policy_name_clustering!$C$5,D204=policy_name_clustering!$A$6,policy_name_clustering!$C$6,D204=policy_name_clustering!$A$7,policy_name_clustering!$C$7,D204=policy_name_clustering!$A$8,policy_name_clustering!$C$8,D204=policy_name_clustering!$A$9,policy_name_clustering!$C$9,D204=policy_name_clustering!$A$10,policy_name_clustering!$C$10,D204=policy_name_clustering!$A$11,policy_name_clustering!$C$11,D204=policy_name_clustering!$A$12,policy_name_clustering!$C$12,D204=policy_name_clustering!$A$13,policy_name_clustering!$C$13,D204=policy_name_clustering!$A$14,policy_name_clustering!$C$14,D204=policy_name_clustering!$A$15,policy_name_clustering!$C$15,D204=policy_name_clustering!$A$16,policy_name_clustering!$C$16,D204="-","",D204=policy_name_clustering!$A$4,policy_name_clustering!$C$4)</f>
        <v/>
      </c>
      <c r="G204">
        <f>wind_cump_cap!C192</f>
        <v>197</v>
      </c>
      <c r="H204">
        <f>estimated_capacity!C186</f>
        <v>681.37989053875901</v>
      </c>
      <c r="I204" cm="1">
        <f t="array" ref="I204">_xlfn.IFS(D204= ""," ",D204&lt;&gt; " ",F204*(G204/H204))</f>
        <v>0</v>
      </c>
      <c r="J204" cm="1">
        <f t="array" ref="J204">_xlfn.IFS(D204= ""," ",D204&lt;&gt; " ",(H204-F204)*(G204/H204))</f>
        <v>197</v>
      </c>
      <c r="K204" cm="1">
        <f t="array" ref="K204">IF(ISNUMBER(H204),_xlfn.IFS(D204= ""," ",D204&lt;&gt; " ",F204*(G204/H204)),"")</f>
        <v>0</v>
      </c>
    </row>
    <row r="205" spans="1:11" x14ac:dyDescent="0.35">
      <c r="A205" t="s">
        <v>25</v>
      </c>
      <c r="B205">
        <v>2011</v>
      </c>
      <c r="D205" s="14" t="s">
        <v>137</v>
      </c>
      <c r="E205" t="str" cm="1">
        <f t="array" ref="E205">_xlfn.IFS(D205=policy_name_clustering!$A$2,policy_name_clustering!$C$2,D205=policy_name_clustering!$A$3,policy_name_clustering!$C$3,D205=policy_name_clustering!$A$5,policy_name_clustering!$C$5,D205=policy_name_clustering!$A$6,policy_name_clustering!$C$6,D205=policy_name_clustering!$A$7,policy_name_clustering!$C$7,D205=policy_name_clustering!$A$8,policy_name_clustering!$C$8,D205=policy_name_clustering!$A$9,policy_name_clustering!$C$9,D205=policy_name_clustering!$A$10,policy_name_clustering!$C$10,D205=policy_name_clustering!$A$11,policy_name_clustering!$C$11,D205=policy_name_clustering!$A$12,policy_name_clustering!$C$12,D205=policy_name_clustering!$A$13,policy_name_clustering!$C$13,D205=policy_name_clustering!$A$14,policy_name_clustering!$C$14,D205=policy_name_clustering!$A$15,policy_name_clustering!$C$15,D205=policy_name_clustering!$A$16,policy_name_clustering!$C$16,D205="-","",D205=policy_name_clustering!$A$4,policy_name_clustering!$C$4)</f>
        <v/>
      </c>
      <c r="G205">
        <f>wind_cump_cap!C193</f>
        <v>199</v>
      </c>
      <c r="H205">
        <f>estimated_capacity!C187</f>
        <v>754.97334388554805</v>
      </c>
      <c r="I205" cm="1">
        <f t="array" ref="I205">_xlfn.IFS(D205= ""," ",D205&lt;&gt; " ",F205*(G205/H205))</f>
        <v>0</v>
      </c>
      <c r="J205" cm="1">
        <f t="array" ref="J205">_xlfn.IFS(D205= ""," ",D205&lt;&gt; " ",(H205-F205)*(G205/H205))</f>
        <v>199</v>
      </c>
      <c r="K205" cm="1">
        <f t="array" ref="K205">IF(ISNUMBER(H205),_xlfn.IFS(D205= ""," ",D205&lt;&gt; " ",F205*(G205/H205)),"")</f>
        <v>0</v>
      </c>
    </row>
    <row r="206" spans="1:11" x14ac:dyDescent="0.35">
      <c r="A206" t="s">
        <v>25</v>
      </c>
      <c r="B206">
        <v>2012</v>
      </c>
      <c r="D206" s="14" t="s">
        <v>137</v>
      </c>
      <c r="E206" t="str" cm="1">
        <f t="array" ref="E206">_xlfn.IFS(D206=policy_name_clustering!$A$2,policy_name_clustering!$C$2,D206=policy_name_clustering!$A$3,policy_name_clustering!$C$3,D206=policy_name_clustering!$A$5,policy_name_clustering!$C$5,D206=policy_name_clustering!$A$6,policy_name_clustering!$C$6,D206=policy_name_clustering!$A$7,policy_name_clustering!$C$7,D206=policy_name_clustering!$A$8,policy_name_clustering!$C$8,D206=policy_name_clustering!$A$9,policy_name_clustering!$C$9,D206=policy_name_clustering!$A$10,policy_name_clustering!$C$10,D206=policy_name_clustering!$A$11,policy_name_clustering!$C$11,D206=policy_name_clustering!$A$12,policy_name_clustering!$C$12,D206=policy_name_clustering!$A$13,policy_name_clustering!$C$13,D206=policy_name_clustering!$A$14,policy_name_clustering!$C$14,D206=policy_name_clustering!$A$15,policy_name_clustering!$C$15,D206=policy_name_clustering!$A$16,policy_name_clustering!$C$16,D206="-","",D206=policy_name_clustering!$A$4,policy_name_clustering!$C$4)</f>
        <v/>
      </c>
      <c r="G206">
        <f>wind_cump_cap!C194</f>
        <v>257</v>
      </c>
      <c r="H206">
        <f>estimated_capacity!C188</f>
        <v>851.63699687615804</v>
      </c>
      <c r="I206" cm="1">
        <f t="array" ref="I206">_xlfn.IFS(D206= ""," ",D206&lt;&gt; " ",F206*(G206/H206))</f>
        <v>0</v>
      </c>
      <c r="J206" cm="1">
        <f t="array" ref="J206">_xlfn.IFS(D206= ""," ",D206&lt;&gt; " ",(H206-F206)*(G206/H206))</f>
        <v>257</v>
      </c>
      <c r="K206" cm="1">
        <f t="array" ref="K206">IF(ISNUMBER(H206),_xlfn.IFS(D206= ""," ",D206&lt;&gt; " ",F206*(G206/H206)),"")</f>
        <v>0</v>
      </c>
    </row>
    <row r="207" spans="1:11" x14ac:dyDescent="0.35">
      <c r="A207" t="s">
        <v>25</v>
      </c>
      <c r="B207">
        <v>2013</v>
      </c>
      <c r="D207" s="14" t="s">
        <v>137</v>
      </c>
      <c r="E207" t="str" cm="1">
        <f t="array" ref="E207">_xlfn.IFS(D207=policy_name_clustering!$A$2,policy_name_clustering!$C$2,D207=policy_name_clustering!$A$3,policy_name_clustering!$C$3,D207=policy_name_clustering!$A$5,policy_name_clustering!$C$5,D207=policy_name_clustering!$A$6,policy_name_clustering!$C$6,D207=policy_name_clustering!$A$7,policy_name_clustering!$C$7,D207=policy_name_clustering!$A$8,policy_name_clustering!$C$8,D207=policy_name_clustering!$A$9,policy_name_clustering!$C$9,D207=policy_name_clustering!$A$10,policy_name_clustering!$C$10,D207=policy_name_clustering!$A$11,policy_name_clustering!$C$11,D207=policy_name_clustering!$A$12,policy_name_clustering!$C$12,D207=policy_name_clustering!$A$13,policy_name_clustering!$C$13,D207=policy_name_clustering!$A$14,policy_name_clustering!$C$14,D207=policy_name_clustering!$A$15,policy_name_clustering!$C$15,D207=policy_name_clustering!$A$16,policy_name_clustering!$C$16,D207="-","",D207=policy_name_clustering!$A$4,policy_name_clustering!$C$4)</f>
        <v/>
      </c>
      <c r="G207">
        <f>wind_cump_cap!C195</f>
        <v>447</v>
      </c>
      <c r="H207">
        <f>estimated_capacity!C189</f>
        <v>940.79370717268</v>
      </c>
      <c r="I207" cm="1">
        <f t="array" ref="I207">_xlfn.IFS(D207= ""," ",D207&lt;&gt; " ",F207*(G207/H207))</f>
        <v>0</v>
      </c>
      <c r="J207" cm="1">
        <f t="array" ref="J207">_xlfn.IFS(D207= ""," ",D207&lt;&gt; " ",(H207-F207)*(G207/H207))</f>
        <v>447</v>
      </c>
      <c r="K207" cm="1">
        <f t="array" ref="K207">IF(ISNUMBER(H207),_xlfn.IFS(D207= ""," ",D207&lt;&gt; " ",F207*(G207/H207)),"")</f>
        <v>0</v>
      </c>
    </row>
    <row r="208" spans="1:11" x14ac:dyDescent="0.35">
      <c r="A208" t="s">
        <v>25</v>
      </c>
      <c r="B208">
        <v>2014</v>
      </c>
      <c r="D208" s="14" t="s">
        <v>137</v>
      </c>
      <c r="E208" t="str" cm="1">
        <f t="array" ref="E208">_xlfn.IFS(D208=policy_name_clustering!$A$2,policy_name_clustering!$C$2,D208=policy_name_clustering!$A$3,policy_name_clustering!$C$3,D208=policy_name_clustering!$A$5,policy_name_clustering!$C$5,D208=policy_name_clustering!$A$6,policy_name_clustering!$C$6,D208=policy_name_clustering!$A$7,policy_name_clustering!$C$7,D208=policy_name_clustering!$A$8,policy_name_clustering!$C$8,D208=policy_name_clustering!$A$9,policy_name_clustering!$C$9,D208=policy_name_clustering!$A$10,policy_name_clustering!$C$10,D208=policy_name_clustering!$A$11,policy_name_clustering!$C$11,D208=policy_name_clustering!$A$12,policy_name_clustering!$C$12,D208=policy_name_clustering!$A$13,policy_name_clustering!$C$13,D208=policy_name_clustering!$A$14,policy_name_clustering!$C$14,D208=policy_name_clustering!$A$15,policy_name_clustering!$C$15,D208=policy_name_clustering!$A$16,policy_name_clustering!$C$16,D208="-","",D208=policy_name_clustering!$A$4,policy_name_clustering!$C$4)</f>
        <v/>
      </c>
      <c r="G208">
        <f>wind_cump_cap!C196</f>
        <v>627</v>
      </c>
      <c r="H208">
        <f>estimated_capacity!C190</f>
        <v>1044.3739774574001</v>
      </c>
      <c r="I208" cm="1">
        <f t="array" ref="I208">_xlfn.IFS(D208= ""," ",D208&lt;&gt; " ",F208*(G208/H208))</f>
        <v>0</v>
      </c>
      <c r="J208" cm="1">
        <f t="array" ref="J208">_xlfn.IFS(D208= ""," ",D208&lt;&gt; " ",(H208-F208)*(G208/H208))</f>
        <v>627</v>
      </c>
      <c r="K208" cm="1">
        <f t="array" ref="K208">IF(ISNUMBER(H208),_xlfn.IFS(D208= ""," ",D208&lt;&gt; " ",F208*(G208/H208)),"")</f>
        <v>0</v>
      </c>
    </row>
    <row r="209" spans="1:11" x14ac:dyDescent="0.35">
      <c r="A209" t="s">
        <v>25</v>
      </c>
      <c r="B209">
        <v>2015</v>
      </c>
      <c r="D209" s="14" t="s">
        <v>137</v>
      </c>
      <c r="E209" t="str" cm="1">
        <f t="array" ref="E209">_xlfn.IFS(D209=policy_name_clustering!$A$2,policy_name_clustering!$C$2,D209=policy_name_clustering!$A$3,policy_name_clustering!$C$3,D209=policy_name_clustering!$A$5,policy_name_clustering!$C$5,D209=policy_name_clustering!$A$6,policy_name_clustering!$C$6,D209=policy_name_clustering!$A$7,policy_name_clustering!$C$7,D209=policy_name_clustering!$A$8,policy_name_clustering!$C$8,D209=policy_name_clustering!$A$9,policy_name_clustering!$C$9,D209=policy_name_clustering!$A$10,policy_name_clustering!$C$10,D209=policy_name_clustering!$A$11,policy_name_clustering!$C$11,D209=policy_name_clustering!$A$12,policy_name_clustering!$C$12,D209=policy_name_clustering!$A$13,policy_name_clustering!$C$13,D209=policy_name_clustering!$A$14,policy_name_clustering!$C$14,D209=policy_name_clustering!$A$15,policy_name_clustering!$C$15,D209=policy_name_clustering!$A$16,policy_name_clustering!$C$16,D209="-","",D209=policy_name_clustering!$A$4,policy_name_clustering!$C$4)</f>
        <v/>
      </c>
      <c r="G209">
        <f>wind_cump_cap!C197</f>
        <v>1005</v>
      </c>
      <c r="H209">
        <f>estimated_capacity!C191</f>
        <v>1184.83395580805</v>
      </c>
      <c r="I209" cm="1">
        <f t="array" ref="I209">_xlfn.IFS(D209= ""," ",D209&lt;&gt; " ",F209*(G209/H209))</f>
        <v>0</v>
      </c>
      <c r="J209" cm="1">
        <f t="array" ref="J209">_xlfn.IFS(D209= ""," ",D209&lt;&gt; " ",(H209-F209)*(G209/H209))</f>
        <v>1005</v>
      </c>
      <c r="K209" cm="1">
        <f t="array" ref="K209">IF(ISNUMBER(H209),_xlfn.IFS(D209= ""," ",D209&lt;&gt; " ",F209*(G209/H209)),"")</f>
        <v>0</v>
      </c>
    </row>
    <row r="210" spans="1:11" x14ac:dyDescent="0.35">
      <c r="A210" t="s">
        <v>25</v>
      </c>
      <c r="B210">
        <v>2016</v>
      </c>
      <c r="D210" s="14" t="s">
        <v>137</v>
      </c>
      <c r="E210" t="str" cm="1">
        <f t="array" ref="E210">_xlfn.IFS(D210=policy_name_clustering!$A$2,policy_name_clustering!$C$2,D210=policy_name_clustering!$A$3,policy_name_clustering!$C$3,D210=policy_name_clustering!$A$5,policy_name_clustering!$C$5,D210=policy_name_clustering!$A$6,policy_name_clustering!$C$6,D210=policy_name_clustering!$A$7,policy_name_clustering!$C$7,D210=policy_name_clustering!$A$8,policy_name_clustering!$C$8,D210=policy_name_clustering!$A$9,policy_name_clustering!$C$9,D210=policy_name_clustering!$A$10,policy_name_clustering!$C$10,D210=policy_name_clustering!$A$11,policy_name_clustering!$C$11,D210=policy_name_clustering!$A$12,policy_name_clustering!$C$12,D210=policy_name_clustering!$A$13,policy_name_clustering!$C$13,D210=policy_name_clustering!$A$14,policy_name_clustering!$C$14,D210=policy_name_clustering!$A$15,policy_name_clustering!$C$15,D210=policy_name_clustering!$A$16,policy_name_clustering!$C$16,D210="-","",D210=policy_name_clustering!$A$4,policy_name_clustering!$C$4)</f>
        <v/>
      </c>
      <c r="G210">
        <f>wind_cump_cap!C198</f>
        <v>1565</v>
      </c>
      <c r="H210">
        <f>estimated_capacity!C192</f>
        <v>1331.13454416696</v>
      </c>
      <c r="I210" cm="1">
        <f t="array" ref="I210">_xlfn.IFS(D210= ""," ",D210&lt;&gt; " ",F210*(G210/H210))</f>
        <v>0</v>
      </c>
      <c r="J210" cm="1">
        <f t="array" ref="J210">_xlfn.IFS(D210= ""," ",D210&lt;&gt; " ",(H210-F210)*(G210/H210))</f>
        <v>1565</v>
      </c>
      <c r="K210" cm="1">
        <f t="array" ref="K210">IF(ISNUMBER(H210),_xlfn.IFS(D210= ""," ",D210&lt;&gt; " ",F210*(G210/H210)),"")</f>
        <v>0</v>
      </c>
    </row>
    <row r="211" spans="1:11" x14ac:dyDescent="0.35">
      <c r="A211" t="s">
        <v>25</v>
      </c>
      <c r="B211">
        <v>2017</v>
      </c>
      <c r="D211" s="14" t="s">
        <v>137</v>
      </c>
      <c r="E211" t="str" cm="1">
        <f t="array" ref="E211">_xlfn.IFS(D211=policy_name_clustering!$A$2,policy_name_clustering!$C$2,D211=policy_name_clustering!$A$3,policy_name_clustering!$C$3,D211=policy_name_clustering!$A$5,policy_name_clustering!$C$5,D211=policy_name_clustering!$A$6,policy_name_clustering!$C$6,D211=policy_name_clustering!$A$7,policy_name_clustering!$C$7,D211=policy_name_clustering!$A$8,policy_name_clustering!$C$8,D211=policy_name_clustering!$A$9,policy_name_clustering!$C$9,D211=policy_name_clustering!$A$10,policy_name_clustering!$C$10,D211=policy_name_clustering!$A$11,policy_name_clustering!$C$11,D211=policy_name_clustering!$A$12,policy_name_clustering!$C$12,D211=policy_name_clustering!$A$13,policy_name_clustering!$C$13,D211=policy_name_clustering!$A$14,policy_name_clustering!$C$14,D211=policy_name_clustering!$A$15,policy_name_clustering!$C$15,D211=policy_name_clustering!$A$16,policy_name_clustering!$C$16,D211="-","",D211=policy_name_clustering!$A$4,policy_name_clustering!$C$4)</f>
        <v/>
      </c>
      <c r="G211">
        <f>wind_cump_cap!C199</f>
        <v>2044</v>
      </c>
      <c r="H211">
        <f>estimated_capacity!C193</f>
        <v>1472.70941297027</v>
      </c>
      <c r="I211" cm="1">
        <f t="array" ref="I211">_xlfn.IFS(D211= ""," ",D211&lt;&gt; " ",F211*(G211/H211))</f>
        <v>0</v>
      </c>
      <c r="J211" cm="1">
        <f t="array" ref="J211">_xlfn.IFS(D211= ""," ",D211&lt;&gt; " ",(H211-F211)*(G211/H211))</f>
        <v>2043.9999999999998</v>
      </c>
      <c r="K211" cm="1">
        <f t="array" ref="K211">IF(ISNUMBER(H211),_xlfn.IFS(D211= ""," ",D211&lt;&gt; " ",F211*(G211/H211)),"")</f>
        <v>0</v>
      </c>
    </row>
    <row r="212" spans="1:11" x14ac:dyDescent="0.35">
      <c r="A212" t="s">
        <v>25</v>
      </c>
      <c r="B212">
        <v>2018</v>
      </c>
      <c r="D212" s="14" t="s">
        <v>137</v>
      </c>
      <c r="E212" t="str" cm="1">
        <f t="array" ref="E212">_xlfn.IFS(D212=policy_name_clustering!$A$2,policy_name_clustering!$C$2,D212=policy_name_clustering!$A$3,policy_name_clustering!$C$3,D212=policy_name_clustering!$A$5,policy_name_clustering!$C$5,D212=policy_name_clustering!$A$6,policy_name_clustering!$C$6,D212=policy_name_clustering!$A$7,policy_name_clustering!$C$7,D212=policy_name_clustering!$A$8,policy_name_clustering!$C$8,D212=policy_name_clustering!$A$9,policy_name_clustering!$C$9,D212=policy_name_clustering!$A$10,policy_name_clustering!$C$10,D212=policy_name_clustering!$A$11,policy_name_clustering!$C$11,D212=policy_name_clustering!$A$12,policy_name_clustering!$C$12,D212=policy_name_clustering!$A$13,policy_name_clustering!$C$13,D212=policy_name_clustering!$A$14,policy_name_clustering!$C$14,D212=policy_name_clustering!$A$15,policy_name_clustering!$C$15,D212=policy_name_clustering!$A$16,policy_name_clustering!$C$16,D212="-","",D212=policy_name_clustering!$A$4,policy_name_clustering!$C$4)</f>
        <v/>
      </c>
      <c r="G212">
        <f>wind_cump_cap!C200</f>
        <v>2041</v>
      </c>
      <c r="H212">
        <f>estimated_capacity!C194</f>
        <v>1627.9584607325401</v>
      </c>
      <c r="I212" cm="1">
        <f t="array" ref="I212">_xlfn.IFS(D212= ""," ",D212&lt;&gt; " ",F212*(G212/H212))</f>
        <v>0</v>
      </c>
      <c r="J212" cm="1">
        <f t="array" ref="J212">_xlfn.IFS(D212= ""," ",D212&lt;&gt; " ",(H212-F212)*(G212/H212))</f>
        <v>2041</v>
      </c>
      <c r="K212" cm="1">
        <f t="array" ref="K212">IF(ISNUMBER(H212),_xlfn.IFS(D212= ""," ",D212&lt;&gt; " ",F212*(G212/H212)),"")</f>
        <v>0</v>
      </c>
    </row>
    <row r="213" spans="1:11" x14ac:dyDescent="0.35">
      <c r="A213" t="s">
        <v>25</v>
      </c>
      <c r="B213">
        <v>2019</v>
      </c>
      <c r="C213" t="s">
        <v>175</v>
      </c>
      <c r="D213" s="14" t="s">
        <v>157</v>
      </c>
      <c r="E213" t="str" cm="1">
        <f t="array" ref="E213">_xlfn.IFS(D213=policy_name_clustering!$A$2,policy_name_clustering!$C$2,D213=policy_name_clustering!$A$3,policy_name_clustering!$C$3,D213=policy_name_clustering!$A$5,policy_name_clustering!$C$5,D213=policy_name_clustering!$A$6,policy_name_clustering!$C$6,D213=policy_name_clustering!$A$7,policy_name_clustering!$C$7,D213=policy_name_clustering!$A$8,policy_name_clustering!$C$8,D213=policy_name_clustering!$A$9,policy_name_clustering!$C$9,D213=policy_name_clustering!$A$10,policy_name_clustering!$C$10,D213=policy_name_clustering!$A$11,policy_name_clustering!$C$11,D213=policy_name_clustering!$A$12,policy_name_clustering!$C$12,D213=policy_name_clustering!$A$13,policy_name_clustering!$C$13,D213=policy_name_clustering!$A$14,policy_name_clustering!$C$14,D213=policy_name_clustering!$A$15,policy_name_clustering!$C$15,D213=policy_name_clustering!$A$16,policy_name_clustering!$C$16,D213="-","",D213=policy_name_clustering!$A$4,policy_name_clustering!$C$4)</f>
        <v>Tender-based</v>
      </c>
      <c r="F213">
        <f>policy_contributions_cum!F84</f>
        <v>112.652322505141</v>
      </c>
      <c r="G213">
        <f>wind_cump_cap!C201</f>
        <v>2284</v>
      </c>
      <c r="H213">
        <f>estimated_capacity!C195</f>
        <v>1928.9054513696201</v>
      </c>
      <c r="I213" cm="1">
        <f t="array" ref="I213">_xlfn.IFS(D213= ""," ",D213&lt;&gt; " ",F213*(G213/H213))</f>
        <v>133.39062545499448</v>
      </c>
      <c r="J213" cm="1">
        <f t="array" ref="J213">_xlfn.IFS(D213= ""," ",D213&lt;&gt; " ",(H213-F213)*(G213/H213))</f>
        <v>2150.6093745450053</v>
      </c>
      <c r="K213" cm="1">
        <f t="array" ref="K213">IF(ISNUMBER(H213),_xlfn.IFS(D213= ""," ",D213&lt;&gt; " ",F213*(G213/H213)),"")</f>
        <v>133.39062545499448</v>
      </c>
    </row>
    <row r="214" spans="1:11" x14ac:dyDescent="0.35">
      <c r="A214" t="s">
        <v>25</v>
      </c>
      <c r="B214">
        <v>2020</v>
      </c>
      <c r="C214" t="s">
        <v>176</v>
      </c>
      <c r="D214" s="14" t="s">
        <v>157</v>
      </c>
      <c r="E214" t="str" cm="1">
        <f t="array" ref="E214">_xlfn.IFS(D214=policy_name_clustering!$A$2,policy_name_clustering!$C$2,D214=policy_name_clustering!$A$3,policy_name_clustering!$C$3,D214=policy_name_clustering!$A$5,policy_name_clustering!$C$5,D214=policy_name_clustering!$A$6,policy_name_clustering!$C$6,D214=policy_name_clustering!$A$7,policy_name_clustering!$C$7,D214=policy_name_clustering!$A$8,policy_name_clustering!$C$8,D214=policy_name_clustering!$A$9,policy_name_clustering!$C$9,D214=policy_name_clustering!$A$10,policy_name_clustering!$C$10,D214=policy_name_clustering!$A$11,policy_name_clustering!$C$11,D214=policy_name_clustering!$A$12,policy_name_clustering!$C$12,D214=policy_name_clustering!$A$13,policy_name_clustering!$C$13,D214=policy_name_clustering!$A$14,policy_name_clustering!$C$14,D214=policy_name_clustering!$A$15,policy_name_clustering!$C$15,D214=policy_name_clustering!$A$16,policy_name_clustering!$C$16,D214="-","",D214=policy_name_clustering!$A$4,policy_name_clustering!$C$4)</f>
        <v>Tender-based</v>
      </c>
      <c r="F214">
        <f>policy_contributions_cum!F85</f>
        <v>429.84311484581099</v>
      </c>
      <c r="G214">
        <f>wind_cump_cap!C202</f>
        <v>2586</v>
      </c>
      <c r="H214">
        <f>estimated_capacity!C196</f>
        <v>2486.17973763193</v>
      </c>
      <c r="I214" cm="1">
        <f t="array" ref="I214">_xlfn.IFS(D214= ""," ",D214&lt;&gt; " ",F214*(G214/H214))</f>
        <v>447.10134113233283</v>
      </c>
      <c r="J214" cm="1">
        <f t="array" ref="J214">_xlfn.IFS(D214= ""," ",D214&lt;&gt; " ",(H214-F214)*(G214/H214))</f>
        <v>2138.8986588676671</v>
      </c>
      <c r="K214" cm="1">
        <f t="array" ref="K214">IF(ISNUMBER(H214),_xlfn.IFS(D214= ""," ",D214&lt;&gt; " ",F214*(G214/H214)),"")</f>
        <v>447.10134113233283</v>
      </c>
    </row>
    <row r="215" spans="1:11" x14ac:dyDescent="0.35">
      <c r="A215" t="s">
        <v>25</v>
      </c>
      <c r="B215">
        <v>2021</v>
      </c>
      <c r="C215" t="s">
        <v>176</v>
      </c>
      <c r="D215" s="14" t="s">
        <v>157</v>
      </c>
      <c r="E215" t="str" cm="1">
        <f t="array" ref="E215">_xlfn.IFS(D215=policy_name_clustering!$A$2,policy_name_clustering!$C$2,D215=policy_name_clustering!$A$3,policy_name_clustering!$C$3,D215=policy_name_clustering!$A$5,policy_name_clustering!$C$5,D215=policy_name_clustering!$A$6,policy_name_clustering!$C$6,D215=policy_name_clustering!$A$7,policy_name_clustering!$C$7,D215=policy_name_clustering!$A$8,policy_name_clustering!$C$8,D215=policy_name_clustering!$A$9,policy_name_clustering!$C$9,D215=policy_name_clustering!$A$10,policy_name_clustering!$C$10,D215=policy_name_clustering!$A$11,policy_name_clustering!$C$11,D215=policy_name_clustering!$A$12,policy_name_clustering!$C$12,D215=policy_name_clustering!$A$13,policy_name_clustering!$C$13,D215=policy_name_clustering!$A$14,policy_name_clustering!$C$14,D215=policy_name_clustering!$A$15,policy_name_clustering!$C$15,D215=policy_name_clustering!$A$16,policy_name_clustering!$C$16,D215="-","",D215=policy_name_clustering!$A$4,policy_name_clustering!$C$4)</f>
        <v>Tender-based</v>
      </c>
      <c r="F215">
        <f>policy_contributions_cum!F86</f>
        <v>1033.1993736961099</v>
      </c>
      <c r="G215">
        <f>wind_cump_cap!C203</f>
        <v>3257</v>
      </c>
      <c r="H215">
        <f>estimated_capacity!C197</f>
        <v>3347.53687014867</v>
      </c>
      <c r="I215" cm="1">
        <f t="array" ref="I215">_xlfn.IFS(D215= ""," ",D215&lt;&gt; " ",F215*(G215/H215))</f>
        <v>1005.2556523384247</v>
      </c>
      <c r="J215" cm="1">
        <f t="array" ref="J215">_xlfn.IFS(D215= ""," ",D215&lt;&gt; " ",(H215-F215)*(G215/H215))</f>
        <v>2251.7443476615754</v>
      </c>
      <c r="K215" cm="1">
        <f t="array" ref="K215">IF(ISNUMBER(H215),_xlfn.IFS(D215= ""," ",D215&lt;&gt; " ",F215*(G215/H215)),"")</f>
        <v>1005.2556523384247</v>
      </c>
    </row>
    <row r="216" spans="1:11" x14ac:dyDescent="0.35">
      <c r="A216" t="s">
        <v>25</v>
      </c>
      <c r="B216">
        <v>2022</v>
      </c>
      <c r="C216" t="s">
        <v>176</v>
      </c>
      <c r="D216" s="14" t="s">
        <v>157</v>
      </c>
      <c r="E216" t="str" cm="1">
        <f t="array" ref="E216">_xlfn.IFS(D216=policy_name_clustering!$A$2,policy_name_clustering!$C$2,D216=policy_name_clustering!$A$3,policy_name_clustering!$C$3,D216=policy_name_clustering!$A$5,policy_name_clustering!$C$5,D216=policy_name_clustering!$A$6,policy_name_clustering!$C$6,D216=policy_name_clustering!$A$7,policy_name_clustering!$C$7,D216=policy_name_clustering!$A$8,policy_name_clustering!$C$8,D216=policy_name_clustering!$A$9,policy_name_clustering!$C$9,D216=policy_name_clustering!$A$10,policy_name_clustering!$C$10,D216=policy_name_clustering!$A$11,policy_name_clustering!$C$11,D216=policy_name_clustering!$A$12,policy_name_clustering!$C$12,D216=policy_name_clustering!$A$13,policy_name_clustering!$C$13,D216=policy_name_clustering!$A$14,policy_name_clustering!$C$14,D216=policy_name_clustering!$A$15,policy_name_clustering!$C$15,D216=policy_name_clustering!$A$16,policy_name_clustering!$C$16,D216="-","",D216=policy_name_clustering!$A$4,policy_name_clustering!$C$4)</f>
        <v>Tender-based</v>
      </c>
      <c r="F216">
        <f>policy_contributions_cum!F87</f>
        <v>1991.2500124814401</v>
      </c>
      <c r="G216">
        <f>wind_cump_cap!C204</f>
        <v>5677</v>
      </c>
      <c r="H216">
        <f>estimated_capacity!C198</f>
        <v>4556.3773394151804</v>
      </c>
      <c r="I216" cm="1">
        <f t="array" ref="I216">_xlfn.IFS(D216= ""," ",D216&lt;&gt; " ",F216*(G216/H216))</f>
        <v>2480.989935374419</v>
      </c>
      <c r="J216" cm="1">
        <f t="array" ref="J216">_xlfn.IFS(D216= ""," ",D216&lt;&gt; " ",(H216-F216)*(G216/H216))</f>
        <v>3196.010064625581</v>
      </c>
      <c r="K216" cm="1">
        <f t="array" ref="K216">IF(ISNUMBER(H216),_xlfn.IFS(D216= ""," ",D216&lt;&gt; " ",F216*(G216/H216)),"")</f>
        <v>2480.989935374419</v>
      </c>
    </row>
    <row r="217" spans="1:11" x14ac:dyDescent="0.35">
      <c r="A217" t="s">
        <v>25</v>
      </c>
      <c r="B217">
        <v>2023</v>
      </c>
      <c r="C217" t="s">
        <v>176</v>
      </c>
      <c r="D217" s="14" t="s">
        <v>157</v>
      </c>
      <c r="E217" t="str" cm="1">
        <f t="array" ref="E217">_xlfn.IFS(D217=policy_name_clustering!$A$2,policy_name_clustering!$C$2,D217=policy_name_clustering!$A$3,policy_name_clustering!$C$3,D217=policy_name_clustering!$A$5,policy_name_clustering!$C$5,D217=policy_name_clustering!$A$6,policy_name_clustering!$C$6,D217=policy_name_clustering!$A$7,policy_name_clustering!$C$7,D217=policy_name_clustering!$A$8,policy_name_clustering!$C$8,D217=policy_name_clustering!$A$9,policy_name_clustering!$C$9,D217=policy_name_clustering!$A$10,policy_name_clustering!$C$10,D217=policy_name_clustering!$A$11,policy_name_clustering!$C$11,D217=policy_name_clustering!$A$12,policy_name_clustering!$C$12,D217=policy_name_clustering!$A$13,policy_name_clustering!$C$13,D217=policy_name_clustering!$A$14,policy_name_clustering!$C$14,D217=policy_name_clustering!$A$15,policy_name_clustering!$C$15,D217=policy_name_clustering!$A$16,policy_name_clustering!$C$16,D217="-","",D217=policy_name_clustering!$A$4,policy_name_clustering!$C$4)</f>
        <v>Tender-based</v>
      </c>
      <c r="F217">
        <f>policy_contributions_cum!F88</f>
        <v>3606.3498626570099</v>
      </c>
      <c r="G217">
        <f>wind_cump_cap!C205</f>
        <v>6946</v>
      </c>
      <c r="H217">
        <f>estimated_capacity!C199</f>
        <v>6457.71434442399</v>
      </c>
      <c r="I217" cm="1">
        <f t="array" ref="I217">_xlfn.IFS(D217= ""," ",D217&lt;&gt; " ",F217*(G217/H217))</f>
        <v>3879.0359576132591</v>
      </c>
      <c r="J217" cm="1">
        <f t="array" ref="J217">_xlfn.IFS(D217= ""," ",D217&lt;&gt; " ",(H217-F217)*(G217/H217))</f>
        <v>3066.9640423867413</v>
      </c>
      <c r="K217" cm="1">
        <f t="array" ref="K217">IF(ISNUMBER(H217),_xlfn.IFS(D217= ""," ",D217&lt;&gt; " ",F217*(G217/H217)),"")</f>
        <v>3879.0359576132591</v>
      </c>
    </row>
    <row r="218" spans="1:11" x14ac:dyDescent="0.35">
      <c r="A218" t="s">
        <v>16</v>
      </c>
      <c r="B218">
        <v>1991</v>
      </c>
      <c r="D218" s="14" t="s">
        <v>137</v>
      </c>
      <c r="E218" t="str" cm="1">
        <f t="array" ref="E218">_xlfn.IFS(D218=policy_name_clustering!$A$2,policy_name_clustering!$C$2,D218=policy_name_clustering!$A$3,policy_name_clustering!$C$3,D218=policy_name_clustering!$A$5,policy_name_clustering!$C$5,D218=policy_name_clustering!$A$6,policy_name_clustering!$C$6,D218=policy_name_clustering!$A$7,policy_name_clustering!$C$7,D218=policy_name_clustering!$A$8,policy_name_clustering!$C$8,D218=policy_name_clustering!$A$9,policy_name_clustering!$C$9,D218=policy_name_clustering!$A$10,policy_name_clustering!$C$10,D218=policy_name_clustering!$A$11,policy_name_clustering!$C$11,D218=policy_name_clustering!$A$12,policy_name_clustering!$C$12,D218=policy_name_clustering!$A$13,policy_name_clustering!$C$13,D218=policy_name_clustering!$A$14,policy_name_clustering!$C$14,D218=policy_name_clustering!$A$15,policy_name_clustering!$C$15,D218=policy_name_clustering!$A$16,policy_name_clustering!$C$16,D218="-","",D218=policy_name_clustering!$A$4,policy_name_clustering!$C$4)</f>
        <v/>
      </c>
      <c r="G218">
        <f>wind_cump_cap!C207</f>
        <v>1</v>
      </c>
      <c r="H218">
        <f>estimated_capacity!C200</f>
        <v>-8.4167272682030205</v>
      </c>
      <c r="I218" cm="1">
        <f t="array" ref="I218">_xlfn.IFS(D218= ""," ",D218&lt;&gt; " ",F218*(G218/H218))</f>
        <v>0</v>
      </c>
      <c r="J218" cm="1">
        <f t="array" ref="J218">_xlfn.IFS(D218= ""," ",D218&lt;&gt; " ",(H218-F218)*(G218/H218))</f>
        <v>1</v>
      </c>
      <c r="K218" cm="1">
        <f t="array" ref="K218">IF(ISNUMBER(H218),_xlfn.IFS(D218= ""," ",D218&lt;&gt; " ",F218*(G218/H218)),"")</f>
        <v>0</v>
      </c>
    </row>
    <row r="219" spans="1:11" x14ac:dyDescent="0.35">
      <c r="A219" t="s">
        <v>16</v>
      </c>
      <c r="B219">
        <v>1992</v>
      </c>
      <c r="D219" s="14" t="s">
        <v>137</v>
      </c>
      <c r="E219" t="str" cm="1">
        <f t="array" ref="E219">_xlfn.IFS(D219=policy_name_clustering!$A$2,policy_name_clustering!$C$2,D219=policy_name_clustering!$A$3,policy_name_clustering!$C$3,D219=policy_name_clustering!$A$5,policy_name_clustering!$C$5,D219=policy_name_clustering!$A$6,policy_name_clustering!$C$6,D219=policy_name_clustering!$A$7,policy_name_clustering!$C$7,D219=policy_name_clustering!$A$8,policy_name_clustering!$C$8,D219=policy_name_clustering!$A$9,policy_name_clustering!$C$9,D219=policy_name_clustering!$A$10,policy_name_clustering!$C$10,D219=policy_name_clustering!$A$11,policy_name_clustering!$C$11,D219=policy_name_clustering!$A$12,policy_name_clustering!$C$12,D219=policy_name_clustering!$A$13,policy_name_clustering!$C$13,D219=policy_name_clustering!$A$14,policy_name_clustering!$C$14,D219=policy_name_clustering!$A$15,policy_name_clustering!$C$15,D219=policy_name_clustering!$A$16,policy_name_clustering!$C$16,D219="-","",D219=policy_name_clustering!$A$4,policy_name_clustering!$C$4)</f>
        <v/>
      </c>
      <c r="G219">
        <f>wind_cump_cap!C208</f>
        <v>1</v>
      </c>
      <c r="H219">
        <f>estimated_capacity!C201</f>
        <v>-14.1748425757178</v>
      </c>
      <c r="I219" cm="1">
        <f t="array" ref="I219">_xlfn.IFS(D219= ""," ",D219&lt;&gt; " ",F219*(G219/H219))</f>
        <v>0</v>
      </c>
      <c r="J219" cm="1">
        <f t="array" ref="J219">_xlfn.IFS(D219= ""," ",D219&lt;&gt; " ",(H219-F219)*(G219/H219))</f>
        <v>1</v>
      </c>
      <c r="K219" cm="1">
        <f t="array" ref="K219">IF(ISNUMBER(H219),_xlfn.IFS(D219= ""," ",D219&lt;&gt; " ",F219*(G219/H219)),"")</f>
        <v>0</v>
      </c>
    </row>
    <row r="220" spans="1:11" x14ac:dyDescent="0.35">
      <c r="A220" t="s">
        <v>16</v>
      </c>
      <c r="B220">
        <v>1993</v>
      </c>
      <c r="D220" s="14" t="s">
        <v>137</v>
      </c>
      <c r="E220" t="str" cm="1">
        <f t="array" ref="E220">_xlfn.IFS(D220=policy_name_clustering!$A$2,policy_name_clustering!$C$2,D220=policy_name_clustering!$A$3,policy_name_clustering!$C$3,D220=policy_name_clustering!$A$5,policy_name_clustering!$C$5,D220=policy_name_clustering!$A$6,policy_name_clustering!$C$6,D220=policy_name_clustering!$A$7,policy_name_clustering!$C$7,D220=policy_name_clustering!$A$8,policy_name_clustering!$C$8,D220=policy_name_clustering!$A$9,policy_name_clustering!$C$9,D220=policy_name_clustering!$A$10,policy_name_clustering!$C$10,D220=policy_name_clustering!$A$11,policy_name_clustering!$C$11,D220=policy_name_clustering!$A$12,policy_name_clustering!$C$12,D220=policy_name_clustering!$A$13,policy_name_clustering!$C$13,D220=policy_name_clustering!$A$14,policy_name_clustering!$C$14,D220=policy_name_clustering!$A$15,policy_name_clustering!$C$15,D220=policy_name_clustering!$A$16,policy_name_clustering!$C$16,D220="-","",D220=policy_name_clustering!$A$4,policy_name_clustering!$C$4)</f>
        <v/>
      </c>
      <c r="G220">
        <f>wind_cump_cap!C209</f>
        <v>3</v>
      </c>
      <c r="H220">
        <f>estimated_capacity!C202</f>
        <v>-11.7977823017443</v>
      </c>
      <c r="I220" cm="1">
        <f t="array" ref="I220">_xlfn.IFS(D220= ""," ",D220&lt;&gt; " ",F220*(G220/H220))</f>
        <v>0</v>
      </c>
      <c r="J220" cm="1">
        <f t="array" ref="J220">_xlfn.IFS(D220= ""," ",D220&lt;&gt; " ",(H220-F220)*(G220/H220))</f>
        <v>3</v>
      </c>
      <c r="K220" cm="1">
        <f t="array" ref="K220">IF(ISNUMBER(H220),_xlfn.IFS(D220= ""," ",D220&lt;&gt; " ",F220*(G220/H220)),"")</f>
        <v>0</v>
      </c>
    </row>
    <row r="221" spans="1:11" x14ac:dyDescent="0.35">
      <c r="A221" t="s">
        <v>16</v>
      </c>
      <c r="B221">
        <v>1994</v>
      </c>
      <c r="D221" s="14" t="s">
        <v>137</v>
      </c>
      <c r="E221" t="str" cm="1">
        <f t="array" ref="E221">_xlfn.IFS(D221=policy_name_clustering!$A$2,policy_name_clustering!$C$2,D221=policy_name_clustering!$A$3,policy_name_clustering!$C$3,D221=policy_name_clustering!$A$5,policy_name_clustering!$C$5,D221=policy_name_clustering!$A$6,policy_name_clustering!$C$6,D221=policy_name_clustering!$A$7,policy_name_clustering!$C$7,D221=policy_name_clustering!$A$8,policy_name_clustering!$C$8,D221=policy_name_clustering!$A$9,policy_name_clustering!$C$9,D221=policy_name_clustering!$A$10,policy_name_clustering!$C$10,D221=policy_name_clustering!$A$11,policy_name_clustering!$C$11,D221=policy_name_clustering!$A$12,policy_name_clustering!$C$12,D221=policy_name_clustering!$A$13,policy_name_clustering!$C$13,D221=policy_name_clustering!$A$14,policy_name_clustering!$C$14,D221=policy_name_clustering!$A$15,policy_name_clustering!$C$15,D221=policy_name_clustering!$A$16,policy_name_clustering!$C$16,D221="-","",D221=policy_name_clustering!$A$4,policy_name_clustering!$C$4)</f>
        <v/>
      </c>
      <c r="G221">
        <f>wind_cump_cap!C210</f>
        <v>3</v>
      </c>
      <c r="H221">
        <f>estimated_capacity!C203</f>
        <v>-5.4829015327997404</v>
      </c>
      <c r="I221" cm="1">
        <f t="array" ref="I221">_xlfn.IFS(D221= ""," ",D221&lt;&gt; " ",F221*(G221/H221))</f>
        <v>0</v>
      </c>
      <c r="J221" cm="1">
        <f t="array" ref="J221">_xlfn.IFS(D221= ""," ",D221&lt;&gt; " ",(H221-F221)*(G221/H221))</f>
        <v>3</v>
      </c>
      <c r="K221" cm="1">
        <f t="array" ref="K221">IF(ISNUMBER(H221),_xlfn.IFS(D221= ""," ",D221&lt;&gt; " ",F221*(G221/H221)),"")</f>
        <v>0</v>
      </c>
    </row>
    <row r="222" spans="1:11" x14ac:dyDescent="0.35">
      <c r="A222" t="s">
        <v>16</v>
      </c>
      <c r="B222">
        <v>1995</v>
      </c>
      <c r="D222" s="14" t="s">
        <v>137</v>
      </c>
      <c r="E222" t="str" cm="1">
        <f t="array" ref="E222">_xlfn.IFS(D222=policy_name_clustering!$A$2,policy_name_clustering!$C$2,D222=policy_name_clustering!$A$3,policy_name_clustering!$C$3,D222=policy_name_clustering!$A$5,policy_name_clustering!$C$5,D222=policy_name_clustering!$A$6,policy_name_clustering!$C$6,D222=policy_name_clustering!$A$7,policy_name_clustering!$C$7,D222=policy_name_clustering!$A$8,policy_name_clustering!$C$8,D222=policy_name_clustering!$A$9,policy_name_clustering!$C$9,D222=policy_name_clustering!$A$10,policy_name_clustering!$C$10,D222=policy_name_clustering!$A$11,policy_name_clustering!$C$11,D222=policy_name_clustering!$A$12,policy_name_clustering!$C$12,D222=policy_name_clustering!$A$13,policy_name_clustering!$C$13,D222=policy_name_clustering!$A$14,policy_name_clustering!$C$14,D222=policy_name_clustering!$A$15,policy_name_clustering!$C$15,D222=policy_name_clustering!$A$16,policy_name_clustering!$C$16,D222="-","",D222=policy_name_clustering!$A$4,policy_name_clustering!$C$4)</f>
        <v/>
      </c>
      <c r="G222">
        <f>wind_cump_cap!C211</f>
        <v>3</v>
      </c>
      <c r="H222">
        <f>estimated_capacity!C204</f>
        <v>12.4282956723696</v>
      </c>
      <c r="I222" cm="1">
        <f t="array" ref="I222">_xlfn.IFS(D222= ""," ",D222&lt;&gt; " ",F222*(G222/H222))</f>
        <v>0</v>
      </c>
      <c r="J222" cm="1">
        <f t="array" ref="J222">_xlfn.IFS(D222= ""," ",D222&lt;&gt; " ",(H222-F222)*(G222/H222))</f>
        <v>3</v>
      </c>
      <c r="K222" cm="1">
        <f t="array" ref="K222">IF(ISNUMBER(H222),_xlfn.IFS(D222= ""," ",D222&lt;&gt; " ",F222*(G222/H222)),"")</f>
        <v>0</v>
      </c>
    </row>
    <row r="223" spans="1:11" x14ac:dyDescent="0.35">
      <c r="A223" t="s">
        <v>16</v>
      </c>
      <c r="B223">
        <v>1996</v>
      </c>
      <c r="D223" s="14" t="s">
        <v>137</v>
      </c>
      <c r="E223" t="str" cm="1">
        <f t="array" ref="E223">_xlfn.IFS(D223=policy_name_clustering!$A$2,policy_name_clustering!$C$2,D223=policy_name_clustering!$A$3,policy_name_clustering!$C$3,D223=policy_name_clustering!$A$5,policy_name_clustering!$C$5,D223=policy_name_clustering!$A$6,policy_name_clustering!$C$6,D223=policy_name_clustering!$A$7,policy_name_clustering!$C$7,D223=policy_name_clustering!$A$8,policy_name_clustering!$C$8,D223=policy_name_clustering!$A$9,policy_name_clustering!$C$9,D223=policy_name_clustering!$A$10,policy_name_clustering!$C$10,D223=policy_name_clustering!$A$11,policy_name_clustering!$C$11,D223=policy_name_clustering!$A$12,policy_name_clustering!$C$12,D223=policy_name_clustering!$A$13,policy_name_clustering!$C$13,D223=policy_name_clustering!$A$14,policy_name_clustering!$C$14,D223=policy_name_clustering!$A$15,policy_name_clustering!$C$15,D223=policy_name_clustering!$A$16,policy_name_clustering!$C$16,D223="-","",D223=policy_name_clustering!$A$4,policy_name_clustering!$C$4)</f>
        <v/>
      </c>
      <c r="G223">
        <f>wind_cump_cap!C212</f>
        <v>6</v>
      </c>
      <c r="H223">
        <f>estimated_capacity!C205</f>
        <v>41.0305477710452</v>
      </c>
      <c r="I223" cm="1">
        <f t="array" ref="I223">_xlfn.IFS(D223= ""," ",D223&lt;&gt; " ",F223*(G223/H223))</f>
        <v>0</v>
      </c>
      <c r="J223" cm="1">
        <f t="array" ref="J223">_xlfn.IFS(D223= ""," ",D223&lt;&gt; " ",(H223-F223)*(G223/H223))</f>
        <v>6</v>
      </c>
      <c r="K223" cm="1">
        <f t="array" ref="K223">IF(ISNUMBER(H223),_xlfn.IFS(D223= ""," ",D223&lt;&gt; " ",F223*(G223/H223)),"")</f>
        <v>0</v>
      </c>
    </row>
    <row r="224" spans="1:11" x14ac:dyDescent="0.35">
      <c r="A224" t="s">
        <v>16</v>
      </c>
      <c r="B224">
        <v>1997</v>
      </c>
      <c r="D224" s="14" t="s">
        <v>137</v>
      </c>
      <c r="E224" t="str" cm="1">
        <f t="array" ref="E224">_xlfn.IFS(D224=policy_name_clustering!$A$2,policy_name_clustering!$C$2,D224=policy_name_clustering!$A$3,policy_name_clustering!$C$3,D224=policy_name_clustering!$A$5,policy_name_clustering!$C$5,D224=policy_name_clustering!$A$6,policy_name_clustering!$C$6,D224=policy_name_clustering!$A$7,policy_name_clustering!$C$7,D224=policy_name_clustering!$A$8,policy_name_clustering!$C$8,D224=policy_name_clustering!$A$9,policy_name_clustering!$C$9,D224=policy_name_clustering!$A$10,policy_name_clustering!$C$10,D224=policy_name_clustering!$A$11,policy_name_clustering!$C$11,D224=policy_name_clustering!$A$12,policy_name_clustering!$C$12,D224=policy_name_clustering!$A$13,policy_name_clustering!$C$13,D224=policy_name_clustering!$A$14,policy_name_clustering!$C$14,D224=policy_name_clustering!$A$15,policy_name_clustering!$C$15,D224=policy_name_clustering!$A$16,policy_name_clustering!$C$16,D224="-","",D224=policy_name_clustering!$A$4,policy_name_clustering!$C$4)</f>
        <v/>
      </c>
      <c r="G224">
        <f>wind_cump_cap!C213</f>
        <v>7</v>
      </c>
      <c r="H224">
        <f>estimated_capacity!C206</f>
        <v>82.768692135497602</v>
      </c>
      <c r="I224" cm="1">
        <f t="array" ref="I224">_xlfn.IFS(D224= ""," ",D224&lt;&gt; " ",F224*(G224/H224))</f>
        <v>0</v>
      </c>
      <c r="J224" cm="1">
        <f t="array" ref="J224">_xlfn.IFS(D224= ""," ",D224&lt;&gt; " ",(H224-F224)*(G224/H224))</f>
        <v>6.9999999999999991</v>
      </c>
      <c r="K224" cm="1">
        <f t="array" ref="K224">IF(ISNUMBER(H224),_xlfn.IFS(D224= ""," ",D224&lt;&gt; " ",F224*(G224/H224)),"")</f>
        <v>0</v>
      </c>
    </row>
    <row r="225" spans="1:11" x14ac:dyDescent="0.35">
      <c r="A225" t="s">
        <v>16</v>
      </c>
      <c r="B225">
        <v>1998</v>
      </c>
      <c r="D225" s="14" t="s">
        <v>137</v>
      </c>
      <c r="E225" t="str" cm="1">
        <f t="array" ref="E225">_xlfn.IFS(D225=policy_name_clustering!$A$2,policy_name_clustering!$C$2,D225=policy_name_clustering!$A$3,policy_name_clustering!$C$3,D225=policy_name_clustering!$A$5,policy_name_clustering!$C$5,D225=policy_name_clustering!$A$6,policy_name_clustering!$C$6,D225=policy_name_clustering!$A$7,policy_name_clustering!$C$7,D225=policy_name_clustering!$A$8,policy_name_clustering!$C$8,D225=policy_name_clustering!$A$9,policy_name_clustering!$C$9,D225=policy_name_clustering!$A$10,policy_name_clustering!$C$10,D225=policy_name_clustering!$A$11,policy_name_clustering!$C$11,D225=policy_name_clustering!$A$12,policy_name_clustering!$C$12,D225=policy_name_clustering!$A$13,policy_name_clustering!$C$13,D225=policy_name_clustering!$A$14,policy_name_clustering!$C$14,D225=policy_name_clustering!$A$15,policy_name_clustering!$C$15,D225=policy_name_clustering!$A$16,policy_name_clustering!$C$16,D225="-","",D225=policy_name_clustering!$A$4,policy_name_clustering!$C$4)</f>
        <v/>
      </c>
      <c r="G225">
        <f>wind_cump_cap!C214</f>
        <v>15</v>
      </c>
      <c r="H225">
        <f>estimated_capacity!C207</f>
        <v>128.032612597125</v>
      </c>
      <c r="I225" cm="1">
        <f t="array" ref="I225">_xlfn.IFS(D225= ""," ",D225&lt;&gt; " ",F225*(G225/H225))</f>
        <v>0</v>
      </c>
      <c r="J225" cm="1">
        <f t="array" ref="J225">_xlfn.IFS(D225= ""," ",D225&lt;&gt; " ",(H225-F225)*(G225/H225))</f>
        <v>15</v>
      </c>
      <c r="K225" cm="1">
        <f t="array" ref="K225">IF(ISNUMBER(H225),_xlfn.IFS(D225= ""," ",D225&lt;&gt; " ",F225*(G225/H225)),"")</f>
        <v>0</v>
      </c>
    </row>
    <row r="226" spans="1:11" x14ac:dyDescent="0.35">
      <c r="A226" t="s">
        <v>16</v>
      </c>
      <c r="B226">
        <v>1999</v>
      </c>
      <c r="D226" s="14" t="s">
        <v>137</v>
      </c>
      <c r="E226" t="str" cm="1">
        <f t="array" ref="E226">_xlfn.IFS(D226=policy_name_clustering!$A$2,policy_name_clustering!$C$2,D226=policy_name_clustering!$A$3,policy_name_clustering!$C$3,D226=policy_name_clustering!$A$5,policy_name_clustering!$C$5,D226=policy_name_clustering!$A$6,policy_name_clustering!$C$6,D226=policy_name_clustering!$A$7,policy_name_clustering!$C$7,D226=policy_name_clustering!$A$8,policy_name_clustering!$C$8,D226=policy_name_clustering!$A$9,policy_name_clustering!$C$9,D226=policy_name_clustering!$A$10,policy_name_clustering!$C$10,D226=policy_name_clustering!$A$11,policy_name_clustering!$C$11,D226=policy_name_clustering!$A$12,policy_name_clustering!$C$12,D226=policy_name_clustering!$A$13,policy_name_clustering!$C$13,D226=policy_name_clustering!$A$14,policy_name_clustering!$C$14,D226=policy_name_clustering!$A$15,policy_name_clustering!$C$15,D226=policy_name_clustering!$A$16,policy_name_clustering!$C$16,D226="-","",D226=policy_name_clustering!$A$4,policy_name_clustering!$C$4)</f>
        <v/>
      </c>
      <c r="G226">
        <f>wind_cump_cap!C215</f>
        <v>18</v>
      </c>
      <c r="H226">
        <f>estimated_capacity!C208</f>
        <v>185.68076456885299</v>
      </c>
      <c r="I226" cm="1">
        <f t="array" ref="I226">_xlfn.IFS(D226= ""," ",D226&lt;&gt; " ",F226*(G226/H226))</f>
        <v>0</v>
      </c>
      <c r="J226" cm="1">
        <f t="array" ref="J226">_xlfn.IFS(D226= ""," ",D226&lt;&gt; " ",(H226-F226)*(G226/H226))</f>
        <v>18</v>
      </c>
      <c r="K226" cm="1">
        <f t="array" ref="K226">IF(ISNUMBER(H226),_xlfn.IFS(D226= ""," ",D226&lt;&gt; " ",F226*(G226/H226)),"")</f>
        <v>0</v>
      </c>
    </row>
    <row r="227" spans="1:11" x14ac:dyDescent="0.35">
      <c r="A227" t="s">
        <v>16</v>
      </c>
      <c r="B227">
        <v>2000</v>
      </c>
      <c r="D227" s="14" t="s">
        <v>137</v>
      </c>
      <c r="E227" t="str" cm="1">
        <f t="array" ref="E227">_xlfn.IFS(D227=policy_name_clustering!$A$2,policy_name_clustering!$C$2,D227=policy_name_clustering!$A$3,policy_name_clustering!$C$3,D227=policy_name_clustering!$A$5,policy_name_clustering!$C$5,D227=policy_name_clustering!$A$6,policy_name_clustering!$C$6,D227=policy_name_clustering!$A$7,policy_name_clustering!$C$7,D227=policy_name_clustering!$A$8,policy_name_clustering!$C$8,D227=policy_name_clustering!$A$9,policy_name_clustering!$C$9,D227=policy_name_clustering!$A$10,policy_name_clustering!$C$10,D227=policy_name_clustering!$A$11,policy_name_clustering!$C$11,D227=policy_name_clustering!$A$12,policy_name_clustering!$C$12,D227=policy_name_clustering!$A$13,policy_name_clustering!$C$13,D227=policy_name_clustering!$A$14,policy_name_clustering!$C$14,D227=policy_name_clustering!$A$15,policy_name_clustering!$C$15,D227=policy_name_clustering!$A$16,policy_name_clustering!$C$16,D227="-","",D227=policy_name_clustering!$A$4,policy_name_clustering!$C$4)</f>
        <v/>
      </c>
      <c r="G227">
        <f>wind_cump_cap!C216</f>
        <v>38</v>
      </c>
      <c r="H227">
        <f>estimated_capacity!C209</f>
        <v>245.329246804729</v>
      </c>
      <c r="I227" cm="1">
        <f t="array" ref="I227">_xlfn.IFS(D227= ""," ",D227&lt;&gt; " ",F227*(G227/H227))</f>
        <v>0</v>
      </c>
      <c r="J227" cm="1">
        <f t="array" ref="J227">_xlfn.IFS(D227= ""," ",D227&lt;&gt; " ",(H227-F227)*(G227/H227))</f>
        <v>38</v>
      </c>
      <c r="K227" cm="1">
        <f t="array" ref="K227">IF(ISNUMBER(H227),_xlfn.IFS(D227= ""," ",D227&lt;&gt; " ",F227*(G227/H227)),"")</f>
        <v>0</v>
      </c>
    </row>
    <row r="228" spans="1:11" x14ac:dyDescent="0.35">
      <c r="A228" t="s">
        <v>16</v>
      </c>
      <c r="B228">
        <v>2001</v>
      </c>
      <c r="D228" s="14" t="s">
        <v>137</v>
      </c>
      <c r="E228" t="str" cm="1">
        <f t="array" ref="E228">_xlfn.IFS(D228=policy_name_clustering!$A$2,policy_name_clustering!$C$2,D228=policy_name_clustering!$A$3,policy_name_clustering!$C$3,D228=policy_name_clustering!$A$5,policy_name_clustering!$C$5,D228=policy_name_clustering!$A$6,policy_name_clustering!$C$6,D228=policy_name_clustering!$A$7,policy_name_clustering!$C$7,D228=policy_name_clustering!$A$8,policy_name_clustering!$C$8,D228=policy_name_clustering!$A$9,policy_name_clustering!$C$9,D228=policy_name_clustering!$A$10,policy_name_clustering!$C$10,D228=policy_name_clustering!$A$11,policy_name_clustering!$C$11,D228=policy_name_clustering!$A$12,policy_name_clustering!$C$12,D228=policy_name_clustering!$A$13,policy_name_clustering!$C$13,D228=policy_name_clustering!$A$14,policy_name_clustering!$C$14,D228=policy_name_clustering!$A$15,policy_name_clustering!$C$15,D228=policy_name_clustering!$A$16,policy_name_clustering!$C$16,D228="-","",D228=policy_name_clustering!$A$4,policy_name_clustering!$C$4)</f>
        <v/>
      </c>
      <c r="G228">
        <f>wind_cump_cap!C217</f>
        <v>66</v>
      </c>
      <c r="H228">
        <f>estimated_capacity!C210</f>
        <v>319.88505739145501</v>
      </c>
      <c r="I228" cm="1">
        <f t="array" ref="I228">_xlfn.IFS(D228= ""," ",D228&lt;&gt; " ",F228*(G228/H228))</f>
        <v>0</v>
      </c>
      <c r="J228" cm="1">
        <f t="array" ref="J228">_xlfn.IFS(D228= ""," ",D228&lt;&gt; " ",(H228-F228)*(G228/H228))</f>
        <v>66</v>
      </c>
      <c r="K228" cm="1">
        <f t="array" ref="K228">IF(ISNUMBER(H228),_xlfn.IFS(D228= ""," ",D228&lt;&gt; " ",F228*(G228/H228)),"")</f>
        <v>0</v>
      </c>
    </row>
    <row r="229" spans="1:11" x14ac:dyDescent="0.35">
      <c r="A229" t="s">
        <v>16</v>
      </c>
      <c r="B229">
        <v>2002</v>
      </c>
      <c r="D229" s="14" t="s">
        <v>137</v>
      </c>
      <c r="E229" t="str" cm="1">
        <f t="array" ref="E229">_xlfn.IFS(D229=policy_name_clustering!$A$2,policy_name_clustering!$C$2,D229=policy_name_clustering!$A$3,policy_name_clustering!$C$3,D229=policy_name_clustering!$A$5,policy_name_clustering!$C$5,D229=policy_name_clustering!$A$6,policy_name_clustering!$C$6,D229=policy_name_clustering!$A$7,policy_name_clustering!$C$7,D229=policy_name_clustering!$A$8,policy_name_clustering!$C$8,D229=policy_name_clustering!$A$9,policy_name_clustering!$C$9,D229=policy_name_clustering!$A$10,policy_name_clustering!$C$10,D229=policy_name_clustering!$A$11,policy_name_clustering!$C$11,D229=policy_name_clustering!$A$12,policy_name_clustering!$C$12,D229=policy_name_clustering!$A$13,policy_name_clustering!$C$13,D229=policy_name_clustering!$A$14,policy_name_clustering!$C$14,D229=policy_name_clustering!$A$15,policy_name_clustering!$C$15,D229=policy_name_clustering!$A$16,policy_name_clustering!$C$16,D229="-","",D229=policy_name_clustering!$A$4,policy_name_clustering!$C$4)</f>
        <v/>
      </c>
      <c r="G229">
        <f>wind_cump_cap!C218</f>
        <v>138</v>
      </c>
      <c r="H229">
        <f>estimated_capacity!C211</f>
        <v>396.21380443519098</v>
      </c>
      <c r="I229" cm="1">
        <f t="array" ref="I229">_xlfn.IFS(D229= ""," ",D229&lt;&gt; " ",F229*(G229/H229))</f>
        <v>0</v>
      </c>
      <c r="J229" cm="1">
        <f t="array" ref="J229">_xlfn.IFS(D229= ""," ",D229&lt;&gt; " ",(H229-F229)*(G229/H229))</f>
        <v>138</v>
      </c>
      <c r="K229" cm="1">
        <f t="array" ref="K229">IF(ISNUMBER(H229),_xlfn.IFS(D229= ""," ",D229&lt;&gt; " ",F229*(G229/H229)),"")</f>
        <v>0</v>
      </c>
    </row>
    <row r="230" spans="1:11" x14ac:dyDescent="0.35">
      <c r="A230" t="s">
        <v>16</v>
      </c>
      <c r="B230">
        <v>2003</v>
      </c>
      <c r="D230" s="14" t="s">
        <v>137</v>
      </c>
      <c r="E230" t="str" cm="1">
        <f t="array" ref="E230">_xlfn.IFS(D230=policy_name_clustering!$A$2,policy_name_clustering!$C$2,D230=policy_name_clustering!$A$3,policy_name_clustering!$C$3,D230=policy_name_clustering!$A$5,policy_name_clustering!$C$5,D230=policy_name_clustering!$A$6,policy_name_clustering!$C$6,D230=policy_name_clustering!$A$7,policy_name_clustering!$C$7,D230=policy_name_clustering!$A$8,policy_name_clustering!$C$8,D230=policy_name_clustering!$A$9,policy_name_clustering!$C$9,D230=policy_name_clustering!$A$10,policy_name_clustering!$C$10,D230=policy_name_clustering!$A$11,policy_name_clustering!$C$11,D230=policy_name_clustering!$A$12,policy_name_clustering!$C$12,D230=policy_name_clustering!$A$13,policy_name_clustering!$C$13,D230=policy_name_clustering!$A$14,policy_name_clustering!$C$14,D230=policy_name_clustering!$A$15,policy_name_clustering!$C$15,D230=policy_name_clustering!$A$16,policy_name_clustering!$C$16,D230="-","",D230=policy_name_clustering!$A$4,policy_name_clustering!$C$4)</f>
        <v/>
      </c>
      <c r="G230">
        <f>wind_cump_cap!C219</f>
        <v>218</v>
      </c>
      <c r="H230">
        <f>estimated_capacity!C212</f>
        <v>489.74281002702202</v>
      </c>
      <c r="I230" cm="1">
        <f t="array" ref="I230">_xlfn.IFS(D230= ""," ",D230&lt;&gt; " ",F230*(G230/H230))</f>
        <v>0</v>
      </c>
      <c r="J230" cm="1">
        <f t="array" ref="J230">_xlfn.IFS(D230= ""," ",D230&lt;&gt; " ",(H230-F230)*(G230/H230))</f>
        <v>218</v>
      </c>
      <c r="K230" cm="1">
        <f t="array" ref="K230">IF(ISNUMBER(H230),_xlfn.IFS(D230= ""," ",D230&lt;&gt; " ",F230*(G230/H230)),"")</f>
        <v>0</v>
      </c>
    </row>
    <row r="231" spans="1:11" x14ac:dyDescent="0.35">
      <c r="A231" t="s">
        <v>16</v>
      </c>
      <c r="B231">
        <v>2004</v>
      </c>
      <c r="C231" t="s">
        <v>94</v>
      </c>
      <c r="D231" s="14" t="s">
        <v>137</v>
      </c>
      <c r="E231" t="str" cm="1">
        <f t="array" ref="E231">_xlfn.IFS(D231=policy_name_clustering!$A$2,policy_name_clustering!$C$2,D231=policy_name_clustering!$A$3,policy_name_clustering!$C$3,D231=policy_name_clustering!$A$5,policy_name_clustering!$C$5,D231=policy_name_clustering!$A$6,policy_name_clustering!$C$6,D231=policy_name_clustering!$A$7,policy_name_clustering!$C$7,D231=policy_name_clustering!$A$8,policy_name_clustering!$C$8,D231=policy_name_clustering!$A$9,policy_name_clustering!$C$9,D231=policy_name_clustering!$A$10,policy_name_clustering!$C$10,D231=policy_name_clustering!$A$11,policy_name_clustering!$C$11,D231=policy_name_clustering!$A$12,policy_name_clustering!$C$12,D231=policy_name_clustering!$A$13,policy_name_clustering!$C$13,D231=policy_name_clustering!$A$14,policy_name_clustering!$C$14,D231=policy_name_clustering!$A$15,policy_name_clustering!$C$15,D231=policy_name_clustering!$A$16,policy_name_clustering!$C$16,D231="-","",D231=policy_name_clustering!$A$4,policy_name_clustering!$C$4)</f>
        <v/>
      </c>
      <c r="G231">
        <f>wind_cump_cap!C220</f>
        <v>358</v>
      </c>
      <c r="H231">
        <f>estimated_capacity!C213</f>
        <v>580.30207606227395</v>
      </c>
      <c r="I231" cm="1">
        <f t="array" ref="I231">_xlfn.IFS(D231= ""," ",D231&lt;&gt; " ",F231*(G231/H231))</f>
        <v>0</v>
      </c>
      <c r="J231" cm="1">
        <f t="array" ref="J231">_xlfn.IFS(D231= ""," ",D231&lt;&gt; " ",(H231-F231)*(G231/H231))</f>
        <v>358</v>
      </c>
      <c r="K231" cm="1">
        <f t="array" ref="K231">IF(ISNUMBER(H231),_xlfn.IFS(D231= ""," ",D231&lt;&gt; " ",F231*(G231/H231)),"")</f>
        <v>0</v>
      </c>
    </row>
    <row r="232" spans="1:11" x14ac:dyDescent="0.35">
      <c r="A232" t="s">
        <v>16</v>
      </c>
      <c r="B232">
        <v>2005</v>
      </c>
      <c r="C232" t="s">
        <v>95</v>
      </c>
      <c r="D232" s="14" t="s">
        <v>137</v>
      </c>
      <c r="E232" t="str" cm="1">
        <f t="array" ref="E232">_xlfn.IFS(D232=policy_name_clustering!$A$2,policy_name_clustering!$C$2,D232=policy_name_clustering!$A$3,policy_name_clustering!$C$3,D232=policy_name_clustering!$A$5,policy_name_clustering!$C$5,D232=policy_name_clustering!$A$6,policy_name_clustering!$C$6,D232=policy_name_clustering!$A$7,policy_name_clustering!$C$7,D232=policy_name_clustering!$A$8,policy_name_clustering!$C$8,D232=policy_name_clustering!$A$9,policy_name_clustering!$C$9,D232=policy_name_clustering!$A$10,policy_name_clustering!$C$10,D232=policy_name_clustering!$A$11,policy_name_clustering!$C$11,D232=policy_name_clustering!$A$12,policy_name_clustering!$C$12,D232=policy_name_clustering!$A$13,policy_name_clustering!$C$13,D232=policy_name_clustering!$A$14,policy_name_clustering!$C$14,D232=policy_name_clustering!$A$15,policy_name_clustering!$C$15,D232=policy_name_clustering!$A$16,policy_name_clustering!$C$16,D232="-","",D232=policy_name_clustering!$A$4,policy_name_clustering!$C$4)</f>
        <v/>
      </c>
      <c r="G232">
        <f>wind_cump_cap!C221</f>
        <v>690</v>
      </c>
      <c r="H232">
        <f>estimated_capacity!C214</f>
        <v>689.63625270069895</v>
      </c>
      <c r="I232" cm="1">
        <f t="array" ref="I232">_xlfn.IFS(D232= ""," ",D232&lt;&gt; " ",F232*(G232/H232))</f>
        <v>0</v>
      </c>
      <c r="J232" cm="1">
        <f t="array" ref="J232">_xlfn.IFS(D232= ""," ",D232&lt;&gt; " ",(H232-F232)*(G232/H232))</f>
        <v>689.99999999999989</v>
      </c>
      <c r="K232" cm="1">
        <f t="array" ref="K232">IF(ISNUMBER(H232),_xlfn.IFS(D232= ""," ",D232&lt;&gt; " ",F232*(G232/H232)),"")</f>
        <v>0</v>
      </c>
    </row>
    <row r="233" spans="1:11" x14ac:dyDescent="0.35">
      <c r="A233" t="s">
        <v>16</v>
      </c>
      <c r="B233">
        <v>2006</v>
      </c>
      <c r="C233" t="s">
        <v>93</v>
      </c>
      <c r="D233" t="s">
        <v>138</v>
      </c>
      <c r="E233" t="str" cm="1">
        <f t="array" ref="E233">_xlfn.IFS(D233=policy_name_clustering!$A$2,policy_name_clustering!$C$2,D233=policy_name_clustering!$A$3,policy_name_clustering!$C$3,D233=policy_name_clustering!$A$5,policy_name_clustering!$C$5,D233=policy_name_clustering!$A$6,policy_name_clustering!$C$6,D233=policy_name_clustering!$A$7,policy_name_clustering!$C$7,D233=policy_name_clustering!$A$8,policy_name_clustering!$C$8,D233=policy_name_clustering!$A$9,policy_name_clustering!$C$9,D233=policy_name_clustering!$A$10,policy_name_clustering!$C$10,D233=policy_name_clustering!$A$11,policy_name_clustering!$C$11,D233=policy_name_clustering!$A$12,policy_name_clustering!$C$12,D233=policy_name_clustering!$A$13,policy_name_clustering!$C$13,D233=policy_name_clustering!$A$14,policy_name_clustering!$C$14,D233=policy_name_clustering!$A$15,policy_name_clustering!$C$15,D233=policy_name_clustering!$A$16,policy_name_clustering!$C$16,D233="-","",D233=policy_name_clustering!$A$4,policy_name_clustering!$C$4)</f>
        <v>FiT/FiP-based</v>
      </c>
      <c r="F233">
        <f>policy_contributions_cum!F89</f>
        <v>836.20852346758397</v>
      </c>
      <c r="G233">
        <f>wind_cump_cap!C222</f>
        <v>1412</v>
      </c>
      <c r="H233">
        <f>estimated_capacity!C215</f>
        <v>1627.0210044483799</v>
      </c>
      <c r="I233" cm="1">
        <f t="array" ref="I233">_xlfn.IFS(D233= ""," ",D233&lt;&gt; " ",F233*(G233/H233))</f>
        <v>725.69833573632218</v>
      </c>
      <c r="J233" cm="1">
        <f t="array" ref="J233">_xlfn.IFS(D233= ""," ",D233&lt;&gt; " ",(H233-F233)*(G233/H233))</f>
        <v>686.30166426367782</v>
      </c>
      <c r="K233" cm="1">
        <f t="array" ref="K233">IF(ISNUMBER(H233),_xlfn.IFS(D233= ""," ",D233&lt;&gt; " ",F233*(G233/H233)),"")</f>
        <v>725.69833573632218</v>
      </c>
    </row>
    <row r="234" spans="1:11" x14ac:dyDescent="0.35">
      <c r="A234" t="s">
        <v>16</v>
      </c>
      <c r="B234">
        <v>2007</v>
      </c>
      <c r="D234" t="s">
        <v>138</v>
      </c>
      <c r="E234" t="str" cm="1">
        <f t="array" ref="E234">_xlfn.IFS(D234=policy_name_clustering!$A$2,policy_name_clustering!$C$2,D234=policy_name_clustering!$A$3,policy_name_clustering!$C$3,D234=policy_name_clustering!$A$5,policy_name_clustering!$C$5,D234=policy_name_clustering!$A$6,policy_name_clustering!$C$6,D234=policy_name_clustering!$A$7,policy_name_clustering!$C$7,D234=policy_name_clustering!$A$8,policy_name_clustering!$C$8,D234=policy_name_clustering!$A$9,policy_name_clustering!$C$9,D234=policy_name_clustering!$A$10,policy_name_clustering!$C$10,D234=policy_name_clustering!$A$11,policy_name_clustering!$C$11,D234=policy_name_clustering!$A$12,policy_name_clustering!$C$12,D234=policy_name_clustering!$A$13,policy_name_clustering!$C$13,D234=policy_name_clustering!$A$14,policy_name_clustering!$C$14,D234=policy_name_clustering!$A$15,policy_name_clustering!$C$15,D234=policy_name_clustering!$A$16,policy_name_clustering!$C$16,D234="-","",D234=policy_name_clustering!$A$4,policy_name_clustering!$C$4)</f>
        <v>FiT/FiP-based</v>
      </c>
      <c r="F234">
        <f>policy_contributions_cum!F90</f>
        <v>1653.6156611595</v>
      </c>
      <c r="G234">
        <f>wind_cump_cap!C223</f>
        <v>2223</v>
      </c>
      <c r="H234">
        <f>estimated_capacity!C216</f>
        <v>2541.0476951066298</v>
      </c>
      <c r="I234" cm="1">
        <f t="array" ref="I234">_xlfn.IFS(D234= ""," ",D234&lt;&gt; " ",F234*(G234/H234))</f>
        <v>1446.6425096374719</v>
      </c>
      <c r="J234" cm="1">
        <f t="array" ref="J234">_xlfn.IFS(D234= ""," ",D234&lt;&gt; " ",(H234-F234)*(G234/H234))</f>
        <v>776.3574903625281</v>
      </c>
      <c r="K234" cm="1">
        <f t="array" ref="K234">IF(ISNUMBER(H234),_xlfn.IFS(D234= ""," ",D234&lt;&gt; " ",F234*(G234/H234)),"")</f>
        <v>1446.6425096374719</v>
      </c>
    </row>
    <row r="235" spans="1:11" x14ac:dyDescent="0.35">
      <c r="A235" t="s">
        <v>16</v>
      </c>
      <c r="B235">
        <v>2008</v>
      </c>
      <c r="C235" t="s">
        <v>150</v>
      </c>
      <c r="D235" t="s">
        <v>138</v>
      </c>
      <c r="E235" t="str" cm="1">
        <f t="array" ref="E235">_xlfn.IFS(D235=policy_name_clustering!$A$2,policy_name_clustering!$C$2,D235=policy_name_clustering!$A$3,policy_name_clustering!$C$3,D235=policy_name_clustering!$A$5,policy_name_clustering!$C$5,D235=policy_name_clustering!$A$6,policy_name_clustering!$C$6,D235=policy_name_clustering!$A$7,policy_name_clustering!$C$7,D235=policy_name_clustering!$A$8,policy_name_clustering!$C$8,D235=policy_name_clustering!$A$9,policy_name_clustering!$C$9,D235=policy_name_clustering!$A$10,policy_name_clustering!$C$10,D235=policy_name_clustering!$A$11,policy_name_clustering!$C$11,D235=policy_name_clustering!$A$12,policy_name_clustering!$C$12,D235=policy_name_clustering!$A$13,policy_name_clustering!$C$13,D235=policy_name_clustering!$A$14,policy_name_clustering!$C$14,D235=policy_name_clustering!$A$15,policy_name_clustering!$C$15,D235=policy_name_clustering!$A$16,policy_name_clustering!$C$16,D235="-","",D235=policy_name_clustering!$A$4,policy_name_clustering!$C$4)</f>
        <v>FiT/FiP-based</v>
      </c>
      <c r="F235">
        <f>policy_contributions_cum!F91</f>
        <v>2422.03543474648</v>
      </c>
      <c r="G235">
        <f>wind_cump_cap!C224</f>
        <v>3403</v>
      </c>
      <c r="H235">
        <f>estimated_capacity!C217</f>
        <v>3394.21451846431</v>
      </c>
      <c r="I235" cm="1">
        <f t="array" ref="I235">_xlfn.IFS(D235= ""," ",D235&lt;&gt; " ",F235*(G235/H235))</f>
        <v>2428.3045575361552</v>
      </c>
      <c r="J235" cm="1">
        <f t="array" ref="J235">_xlfn.IFS(D235= ""," ",D235&lt;&gt; " ",(H235-F235)*(G235/H235))</f>
        <v>974.69544246384442</v>
      </c>
      <c r="K235" cm="1">
        <f t="array" ref="K235">IF(ISNUMBER(H235),_xlfn.IFS(D235= ""," ",D235&lt;&gt; " ",F235*(G235/H235)),"")</f>
        <v>2428.3045575361552</v>
      </c>
    </row>
    <row r="236" spans="1:11" x14ac:dyDescent="0.35">
      <c r="A236" t="s">
        <v>16</v>
      </c>
      <c r="B236">
        <v>2009</v>
      </c>
      <c r="D236" t="s">
        <v>138</v>
      </c>
      <c r="E236" t="str" cm="1">
        <f t="array" ref="E236">_xlfn.IFS(D236=policy_name_clustering!$A$2,policy_name_clustering!$C$2,D236=policy_name_clustering!$A$3,policy_name_clustering!$C$3,D236=policy_name_clustering!$A$5,policy_name_clustering!$C$5,D236=policy_name_clustering!$A$6,policy_name_clustering!$C$6,D236=policy_name_clustering!$A$7,policy_name_clustering!$C$7,D236=policy_name_clustering!$A$8,policy_name_clustering!$C$8,D236=policy_name_clustering!$A$9,policy_name_clustering!$C$9,D236=policy_name_clustering!$A$10,policy_name_clustering!$C$10,D236=policy_name_clustering!$A$11,policy_name_clustering!$C$11,D236=policy_name_clustering!$A$12,policy_name_clustering!$C$12,D236=policy_name_clustering!$A$13,policy_name_clustering!$C$13,D236=policy_name_clustering!$A$14,policy_name_clustering!$C$14,D236=policy_name_clustering!$A$15,policy_name_clustering!$C$15,D236=policy_name_clustering!$A$16,policy_name_clustering!$C$16,D236="-","",D236=policy_name_clustering!$A$4,policy_name_clustering!$C$4)</f>
        <v>FiT/FiP-based</v>
      </c>
      <c r="F236">
        <f>policy_contributions_cum!F92</f>
        <v>3182.8724810011099</v>
      </c>
      <c r="G236">
        <f>wind_cump_cap!C225</f>
        <v>4582</v>
      </c>
      <c r="H236">
        <f>estimated_capacity!C218</f>
        <v>4237.9608762048802</v>
      </c>
      <c r="I236" cm="1">
        <f t="array" ref="I236">_xlfn.IFS(D236= ""," ",D236&lt;&gt; " ",F236*(G236/H236))</f>
        <v>3441.2591654236967</v>
      </c>
      <c r="J236" cm="1">
        <f t="array" ref="J236">_xlfn.IFS(D236= ""," ",D236&lt;&gt; " ",(H236-F236)*(G236/H236))</f>
        <v>1140.7408345763029</v>
      </c>
      <c r="K236" cm="1">
        <f t="array" ref="K236">IF(ISNUMBER(H236),_xlfn.IFS(D236= ""," ",D236&lt;&gt; " ",F236*(G236/H236)),"")</f>
        <v>3441.2591654236967</v>
      </c>
    </row>
    <row r="237" spans="1:11" x14ac:dyDescent="0.35">
      <c r="A237" t="s">
        <v>16</v>
      </c>
      <c r="B237">
        <v>2010</v>
      </c>
      <c r="D237" t="s">
        <v>138</v>
      </c>
      <c r="E237" t="str" cm="1">
        <f t="array" ref="E237">_xlfn.IFS(D237=policy_name_clustering!$A$2,policy_name_clustering!$C$2,D237=policy_name_clustering!$A$3,policy_name_clustering!$C$3,D237=policy_name_clustering!$A$5,policy_name_clustering!$C$5,D237=policy_name_clustering!$A$6,policy_name_clustering!$C$6,D237=policy_name_clustering!$A$7,policy_name_clustering!$C$7,D237=policy_name_clustering!$A$8,policy_name_clustering!$C$8,D237=policy_name_clustering!$A$9,policy_name_clustering!$C$9,D237=policy_name_clustering!$A$10,policy_name_clustering!$C$10,D237=policy_name_clustering!$A$11,policy_name_clustering!$C$11,D237=policy_name_clustering!$A$12,policy_name_clustering!$C$12,D237=policy_name_clustering!$A$13,policy_name_clustering!$C$13,D237=policy_name_clustering!$A$14,policy_name_clustering!$C$14,D237=policy_name_clustering!$A$15,policy_name_clustering!$C$15,D237=policy_name_clustering!$A$16,policy_name_clustering!$C$16,D237="-","",D237=policy_name_clustering!$A$4,policy_name_clustering!$C$4)</f>
        <v>FiT/FiP-based</v>
      </c>
      <c r="F237">
        <f>policy_contributions_cum!F93</f>
        <v>4010.3327042682599</v>
      </c>
      <c r="G237">
        <f>wind_cump_cap!C226</f>
        <v>5912</v>
      </c>
      <c r="H237">
        <f>estimated_capacity!C219</f>
        <v>5164.4771029965495</v>
      </c>
      <c r="I237" cm="1">
        <f t="array" ref="I237">_xlfn.IFS(D237= ""," ",D237&lt;&gt; " ",F237*(G237/H237))</f>
        <v>4590.8010578413423</v>
      </c>
      <c r="J237" cm="1">
        <f t="array" ref="J237">_xlfn.IFS(D237= ""," ",D237&lt;&gt; " ",(H237-F237)*(G237/H237))</f>
        <v>1321.1989421586572</v>
      </c>
      <c r="K237" cm="1">
        <f t="array" ref="K237">IF(ISNUMBER(H237),_xlfn.IFS(D237= ""," ",D237&lt;&gt; " ",F237*(G237/H237)),"")</f>
        <v>4590.8010578413423</v>
      </c>
    </row>
    <row r="238" spans="1:11" x14ac:dyDescent="0.35">
      <c r="A238" t="s">
        <v>16</v>
      </c>
      <c r="B238">
        <v>2011</v>
      </c>
      <c r="D238" t="s">
        <v>138</v>
      </c>
      <c r="E238" t="str" cm="1">
        <f t="array" ref="E238">_xlfn.IFS(D238=policy_name_clustering!$A$2,policy_name_clustering!$C$2,D238=policy_name_clustering!$A$3,policy_name_clustering!$C$3,D238=policy_name_clustering!$A$5,policy_name_clustering!$C$5,D238=policy_name_clustering!$A$6,policy_name_clustering!$C$6,D238=policy_name_clustering!$A$7,policy_name_clustering!$C$7,D238=policy_name_clustering!$A$8,policy_name_clustering!$C$8,D238=policy_name_clustering!$A$9,policy_name_clustering!$C$9,D238=policy_name_clustering!$A$10,policy_name_clustering!$C$10,D238=policy_name_clustering!$A$11,policy_name_clustering!$C$11,D238=policy_name_clustering!$A$12,policy_name_clustering!$C$12,D238=policy_name_clustering!$A$13,policy_name_clustering!$C$13,D238=policy_name_clustering!$A$14,policy_name_clustering!$C$14,D238=policy_name_clustering!$A$15,policy_name_clustering!$C$15,D238=policy_name_clustering!$A$16,policy_name_clustering!$C$16,D238="-","",D238=policy_name_clustering!$A$4,policy_name_clustering!$C$4)</f>
        <v>FiT/FiP-based</v>
      </c>
      <c r="F238">
        <f>policy_contributions_cum!F94</f>
        <v>4842.4814791034896</v>
      </c>
      <c r="G238">
        <f>wind_cump_cap!C227</f>
        <v>6758.0159999999996</v>
      </c>
      <c r="H238">
        <f>estimated_capacity!C220</f>
        <v>6096.8181915965397</v>
      </c>
      <c r="I238" cm="1">
        <f t="array" ref="I238">_xlfn.IFS(D238= ""," ",D238&lt;&gt; " ",F238*(G238/H238))</f>
        <v>5367.6469081187061</v>
      </c>
      <c r="J238" cm="1">
        <f t="array" ref="J238">_xlfn.IFS(D238= ""," ",D238&lt;&gt; " ",(H238-F238)*(G238/H238))</f>
        <v>1390.3690918812936</v>
      </c>
      <c r="K238" cm="1">
        <f t="array" ref="K238">IF(ISNUMBER(H238),_xlfn.IFS(D238= ""," ",D238&lt;&gt; " ",F238*(G238/H238)),"")</f>
        <v>5367.6469081187061</v>
      </c>
    </row>
    <row r="239" spans="1:11" x14ac:dyDescent="0.35">
      <c r="A239" t="s">
        <v>16</v>
      </c>
      <c r="B239">
        <v>2012</v>
      </c>
      <c r="C239" s="9" t="s">
        <v>151</v>
      </c>
      <c r="D239" t="s">
        <v>138</v>
      </c>
      <c r="E239" t="str" cm="1">
        <f t="array" ref="E239">_xlfn.IFS(D239=policy_name_clustering!$A$2,policy_name_clustering!$C$2,D239=policy_name_clustering!$A$3,policy_name_clustering!$C$3,D239=policy_name_clustering!$A$5,policy_name_clustering!$C$5,D239=policy_name_clustering!$A$6,policy_name_clustering!$C$6,D239=policy_name_clustering!$A$7,policy_name_clustering!$C$7,D239=policy_name_clustering!$A$8,policy_name_clustering!$C$8,D239=policy_name_clustering!$A$9,policy_name_clustering!$C$9,D239=policy_name_clustering!$A$10,policy_name_clustering!$C$10,D239=policy_name_clustering!$A$11,policy_name_clustering!$C$11,D239=policy_name_clustering!$A$12,policy_name_clustering!$C$12,D239=policy_name_clustering!$A$13,policy_name_clustering!$C$13,D239=policy_name_clustering!$A$14,policy_name_clustering!$C$14,D239=policy_name_clustering!$A$15,policy_name_clustering!$C$15,D239=policy_name_clustering!$A$16,policy_name_clustering!$C$16,D239="-","",D239=policy_name_clustering!$A$4,policy_name_clustering!$C$4)</f>
        <v>FiT/FiP-based</v>
      </c>
      <c r="F239">
        <f>policy_contributions_cum!F95</f>
        <v>5767.8309048882202</v>
      </c>
      <c r="G239">
        <f>wind_cump_cap!C228</f>
        <v>7607.4960000000001</v>
      </c>
      <c r="H239">
        <f>estimated_capacity!C221</f>
        <v>7144.9478994200799</v>
      </c>
      <c r="I239" cm="1">
        <f t="array" ref="I239">_xlfn.IFS(D239= ""," ",D239&lt;&gt; " ",F239*(G239/H239))</f>
        <v>6141.2275016273998</v>
      </c>
      <c r="J239" cm="1">
        <f t="array" ref="J239">_xlfn.IFS(D239= ""," ",D239&lt;&gt; " ",(H239-F239)*(G239/H239))</f>
        <v>1466.2684983726001</v>
      </c>
      <c r="K239" cm="1">
        <f t="array" ref="K239">IF(ISNUMBER(H239),_xlfn.IFS(D239= ""," ",D239&lt;&gt; " ",F239*(G239/H239)),"")</f>
        <v>6141.2275016273998</v>
      </c>
    </row>
    <row r="240" spans="1:11" x14ac:dyDescent="0.35">
      <c r="A240" t="s">
        <v>16</v>
      </c>
      <c r="B240">
        <v>2013</v>
      </c>
      <c r="D240" t="s">
        <v>138</v>
      </c>
      <c r="E240" t="str" cm="1">
        <f t="array" ref="E240">_xlfn.IFS(D240=policy_name_clustering!$A$2,policy_name_clustering!$C$2,D240=policy_name_clustering!$A$3,policy_name_clustering!$C$3,D240=policy_name_clustering!$A$5,policy_name_clustering!$C$5,D240=policy_name_clustering!$A$6,policy_name_clustering!$C$6,D240=policy_name_clustering!$A$7,policy_name_clustering!$C$7,D240=policy_name_clustering!$A$8,policy_name_clustering!$C$8,D240=policy_name_clustering!$A$9,policy_name_clustering!$C$9,D240=policy_name_clustering!$A$10,policy_name_clustering!$C$10,D240=policy_name_clustering!$A$11,policy_name_clustering!$C$11,D240=policy_name_clustering!$A$12,policy_name_clustering!$C$12,D240=policy_name_clustering!$A$13,policy_name_clustering!$C$13,D240=policy_name_clustering!$A$14,policy_name_clustering!$C$14,D240=policy_name_clustering!$A$15,policy_name_clustering!$C$15,D240=policy_name_clustering!$A$16,policy_name_clustering!$C$16,D240="-","",D240=policy_name_clustering!$A$4,policy_name_clustering!$C$4)</f>
        <v>FiT/FiP-based</v>
      </c>
      <c r="F240">
        <f>policy_contributions_cum!F96</f>
        <v>6670.6948391295</v>
      </c>
      <c r="G240">
        <f>wind_cump_cap!C229</f>
        <v>8160.1310000000003</v>
      </c>
      <c r="H240">
        <f>estimated_capacity!C222</f>
        <v>8165.14256610545</v>
      </c>
      <c r="I240" cm="1">
        <f t="array" ref="I240">_xlfn.IFS(D240= ""," ",D240&lt;&gt; " ",F240*(G240/H240))</f>
        <v>6666.600528725864</v>
      </c>
      <c r="J240" cm="1">
        <f t="array" ref="J240">_xlfn.IFS(D240= ""," ",D240&lt;&gt; " ",(H240-F240)*(G240/H240))</f>
        <v>1493.5304712741367</v>
      </c>
      <c r="K240" cm="1">
        <f t="array" ref="K240">IF(ISNUMBER(H240),_xlfn.IFS(D240= ""," ",D240&lt;&gt; " ",F240*(G240/H240)),"")</f>
        <v>6666.600528725864</v>
      </c>
    </row>
    <row r="241" spans="1:11" x14ac:dyDescent="0.35">
      <c r="A241" t="s">
        <v>16</v>
      </c>
      <c r="B241">
        <v>2014</v>
      </c>
      <c r="C241" t="s">
        <v>152</v>
      </c>
      <c r="D241" t="s">
        <v>138</v>
      </c>
      <c r="E241" t="str" cm="1">
        <f t="array" ref="E241">_xlfn.IFS(D241=policy_name_clustering!$A$2,policy_name_clustering!$C$2,D241=policy_name_clustering!$A$3,policy_name_clustering!$C$3,D241=policy_name_clustering!$A$5,policy_name_clustering!$C$5,D241=policy_name_clustering!$A$6,policy_name_clustering!$C$6,D241=policy_name_clustering!$A$7,policy_name_clustering!$C$7,D241=policy_name_clustering!$A$8,policy_name_clustering!$C$8,D241=policy_name_clustering!$A$9,policy_name_clustering!$C$9,D241=policy_name_clustering!$A$10,policy_name_clustering!$C$10,D241=policy_name_clustering!$A$11,policy_name_clustering!$C$11,D241=policy_name_clustering!$A$12,policy_name_clustering!$C$12,D241=policy_name_clustering!$A$13,policy_name_clustering!$C$13,D241=policy_name_clustering!$A$14,policy_name_clustering!$C$14,D241=policy_name_clustering!$A$15,policy_name_clustering!$C$15,D241=policy_name_clustering!$A$16,policy_name_clustering!$C$16,D241="-","",D241=policy_name_clustering!$A$4,policy_name_clustering!$C$4)</f>
        <v>FiT/FiP-based</v>
      </c>
      <c r="F241">
        <f>policy_contributions_cum!F97</f>
        <v>7639.44534659498</v>
      </c>
      <c r="G241">
        <f>wind_cump_cap!C230</f>
        <v>9201.3950000000004</v>
      </c>
      <c r="H241">
        <f>estimated_capacity!C223</f>
        <v>9267.1919758777003</v>
      </c>
      <c r="I241" cm="1">
        <f t="array" ref="I241">_xlfn.IFS(D241= ""," ",D241&lt;&gt; " ",F241*(G241/H241))</f>
        <v>7585.2053564774442</v>
      </c>
      <c r="J241" cm="1">
        <f t="array" ref="J241">_xlfn.IFS(D241= ""," ",D241&lt;&gt; " ",(H241-F241)*(G241/H241))</f>
        <v>1616.1896435225565</v>
      </c>
      <c r="K241" cm="1">
        <f t="array" ref="K241">IF(ISNUMBER(H241),_xlfn.IFS(D241= ""," ",D241&lt;&gt; " ",F241*(G241/H241)),"")</f>
        <v>7585.2053564774442</v>
      </c>
    </row>
    <row r="242" spans="1:11" x14ac:dyDescent="0.35">
      <c r="A242" t="s">
        <v>16</v>
      </c>
      <c r="B242">
        <v>2015</v>
      </c>
      <c r="D242" t="s">
        <v>138</v>
      </c>
      <c r="E242" t="str" cm="1">
        <f t="array" ref="E242">_xlfn.IFS(D242=policy_name_clustering!$A$2,policy_name_clustering!$C$2,D242=policy_name_clustering!$A$3,policy_name_clustering!$C$3,D242=policy_name_clustering!$A$5,policy_name_clustering!$C$5,D242=policy_name_clustering!$A$6,policy_name_clustering!$C$6,D242=policy_name_clustering!$A$7,policy_name_clustering!$C$7,D242=policy_name_clustering!$A$8,policy_name_clustering!$C$8,D242=policy_name_clustering!$A$9,policy_name_clustering!$C$9,D242=policy_name_clustering!$A$10,policy_name_clustering!$C$10,D242=policy_name_clustering!$A$11,policy_name_clustering!$C$11,D242=policy_name_clustering!$A$12,policy_name_clustering!$C$12,D242=policy_name_clustering!$A$13,policy_name_clustering!$C$13,D242=policy_name_clustering!$A$14,policy_name_clustering!$C$14,D242=policy_name_clustering!$A$15,policy_name_clustering!$C$15,D242=policy_name_clustering!$A$16,policy_name_clustering!$C$16,D242="-","",D242=policy_name_clustering!$A$4,policy_name_clustering!$C$4)</f>
        <v>FiT/FiP-based</v>
      </c>
      <c r="F242">
        <f>policy_contributions_cum!F98</f>
        <v>8793.5712846978204</v>
      </c>
      <c r="G242">
        <f>wind_cump_cap!C231</f>
        <v>10298.147000000001</v>
      </c>
      <c r="H242">
        <f>estimated_capacity!C224</f>
        <v>10599.5441242339</v>
      </c>
      <c r="I242" cm="1">
        <f t="array" ref="I242">_xlfn.IFS(D242= ""," ",D242&lt;&gt; " ",F242*(G242/H242))</f>
        <v>8543.5268426076964</v>
      </c>
      <c r="J242" cm="1">
        <f t="array" ref="J242">_xlfn.IFS(D242= ""," ",D242&lt;&gt; " ",(H242-F242)*(G242/H242))</f>
        <v>1754.6201573923045</v>
      </c>
      <c r="K242" cm="1">
        <f t="array" ref="K242">IF(ISNUMBER(H242),_xlfn.IFS(D242= ""," ",D242&lt;&gt; " ",F242*(G242/H242)),"")</f>
        <v>8543.5268426076964</v>
      </c>
    </row>
    <row r="243" spans="1:11" x14ac:dyDescent="0.35">
      <c r="A243" t="s">
        <v>16</v>
      </c>
      <c r="B243">
        <v>2016</v>
      </c>
      <c r="D243" t="s">
        <v>138</v>
      </c>
      <c r="E243" t="str" cm="1">
        <f t="array" ref="E243">_xlfn.IFS(D243=policy_name_clustering!$A$2,policy_name_clustering!$C$2,D243=policy_name_clustering!$A$3,policy_name_clustering!$C$3,D243=policy_name_clustering!$A$5,policy_name_clustering!$C$5,D243=policy_name_clustering!$A$6,policy_name_clustering!$C$6,D243=policy_name_clustering!$A$7,policy_name_clustering!$C$7,D243=policy_name_clustering!$A$8,policy_name_clustering!$C$8,D243=policy_name_clustering!$A$9,policy_name_clustering!$C$9,D243=policy_name_clustering!$A$10,policy_name_clustering!$C$10,D243=policy_name_clustering!$A$11,policy_name_clustering!$C$11,D243=policy_name_clustering!$A$12,policy_name_clustering!$C$12,D243=policy_name_clustering!$A$13,policy_name_clustering!$C$13,D243=policy_name_clustering!$A$14,policy_name_clustering!$C$14,D243=policy_name_clustering!$A$15,policy_name_clustering!$C$15,D243=policy_name_clustering!$A$16,policy_name_clustering!$C$16,D243="-","",D243=policy_name_clustering!$A$4,policy_name_clustering!$C$4)</f>
        <v>FiT/FiP-based</v>
      </c>
      <c r="F243">
        <f>policy_contributions_cum!F99</f>
        <v>9974.1044457657299</v>
      </c>
      <c r="G243">
        <f>wind_cump_cap!C232</f>
        <v>11566.562</v>
      </c>
      <c r="H243">
        <f>estimated_capacity!C225</f>
        <v>11964.703510023501</v>
      </c>
      <c r="I243" cm="1">
        <f t="array" ref="I243">_xlfn.IFS(D243= ""," ",D243&lt;&gt; " ",F243*(G243/H243))</f>
        <v>9642.2027816883492</v>
      </c>
      <c r="J243" cm="1">
        <f t="array" ref="J243">_xlfn.IFS(D243= ""," ",D243&lt;&gt; " ",(H243-F243)*(G243/H243))</f>
        <v>1924.3592183116509</v>
      </c>
      <c r="K243" cm="1">
        <f t="array" ref="K243">IF(ISNUMBER(H243),_xlfn.IFS(D243= ""," ",D243&lt;&gt; " ",F243*(G243/H243)),"")</f>
        <v>9642.2027816883492</v>
      </c>
    </row>
    <row r="244" spans="1:11" x14ac:dyDescent="0.35">
      <c r="A244" t="s">
        <v>16</v>
      </c>
      <c r="B244">
        <v>2017</v>
      </c>
      <c r="C244" t="s">
        <v>153</v>
      </c>
      <c r="D244" t="s">
        <v>138</v>
      </c>
      <c r="E244" t="str" cm="1">
        <f t="array" ref="E244">_xlfn.IFS(D244=policy_name_clustering!$A$2,policy_name_clustering!$C$2,D244=policy_name_clustering!$A$3,policy_name_clustering!$C$3,D244=policy_name_clustering!$A$5,policy_name_clustering!$C$5,D244=policy_name_clustering!$A$6,policy_name_clustering!$C$6,D244=policy_name_clustering!$A$7,policy_name_clustering!$C$7,D244=policy_name_clustering!$A$8,policy_name_clustering!$C$8,D244=policy_name_clustering!$A$9,policy_name_clustering!$C$9,D244=policy_name_clustering!$A$10,policy_name_clustering!$C$10,D244=policy_name_clustering!$A$11,policy_name_clustering!$C$11,D244=policy_name_clustering!$A$12,policy_name_clustering!$C$12,D244=policy_name_clustering!$A$13,policy_name_clustering!$C$13,D244=policy_name_clustering!$A$14,policy_name_clustering!$C$14,D244=policy_name_clustering!$A$15,policy_name_clustering!$C$15,D244=policy_name_clustering!$A$16,policy_name_clustering!$C$16,D244="-","",D244=policy_name_clustering!$A$4,policy_name_clustering!$C$4)</f>
        <v>FiT/FiP-based</v>
      </c>
      <c r="F244">
        <f>policy_contributions_cum!F100</f>
        <v>11123.8880534032</v>
      </c>
      <c r="G244">
        <f>wind_cump_cap!C233</f>
        <v>13499.352000000001</v>
      </c>
      <c r="H244">
        <f>estimated_capacity!C226</f>
        <v>13291.660927294801</v>
      </c>
      <c r="I244" cm="1">
        <f t="array" ref="I244">_xlfn.IFS(D244= ""," ",D244&lt;&gt; " ",F244*(G244/H244))</f>
        <v>11297.706228204781</v>
      </c>
      <c r="J244" cm="1">
        <f t="array" ref="J244">_xlfn.IFS(D244= ""," ",D244&lt;&gt; " ",(H244-F244)*(G244/H244))</f>
        <v>2201.6457717952208</v>
      </c>
      <c r="K244" cm="1">
        <f t="array" ref="K244">IF(ISNUMBER(H244),_xlfn.IFS(D244= ""," ",D244&lt;&gt; " ",F244*(G244/H244)),"")</f>
        <v>11297.706228204781</v>
      </c>
    </row>
    <row r="245" spans="1:11" x14ac:dyDescent="0.35">
      <c r="A245" t="s">
        <v>16</v>
      </c>
      <c r="B245">
        <v>2018</v>
      </c>
      <c r="D245" t="s">
        <v>138</v>
      </c>
      <c r="E245" t="str" cm="1">
        <f t="array" ref="E245">_xlfn.IFS(D245=policy_name_clustering!$A$2,policy_name_clustering!$C$2,D245=policy_name_clustering!$A$3,policy_name_clustering!$C$3,D245=policy_name_clustering!$A$5,policy_name_clustering!$C$5,D245=policy_name_clustering!$A$6,policy_name_clustering!$C$6,D245=policy_name_clustering!$A$7,policy_name_clustering!$C$7,D245=policy_name_clustering!$A$8,policy_name_clustering!$C$8,D245=policy_name_clustering!$A$9,policy_name_clustering!$C$9,D245=policy_name_clustering!$A$10,policy_name_clustering!$C$10,D245=policy_name_clustering!$A$11,policy_name_clustering!$C$11,D245=policy_name_clustering!$A$12,policy_name_clustering!$C$12,D245=policy_name_clustering!$A$13,policy_name_clustering!$C$13,D245=policy_name_clustering!$A$14,policy_name_clustering!$C$14,D245=policy_name_clustering!$A$15,policy_name_clustering!$C$15,D245=policy_name_clustering!$A$16,policy_name_clustering!$C$16,D245="-","",D245=policy_name_clustering!$A$4,policy_name_clustering!$C$4)</f>
        <v>FiT/FiP-based</v>
      </c>
      <c r="F245">
        <f>policy_contributions_cum!F101</f>
        <v>12348.5605189776</v>
      </c>
      <c r="G245">
        <f>wind_cump_cap!C234</f>
        <v>14900.143</v>
      </c>
      <c r="H245">
        <f>estimated_capacity!C227</f>
        <v>14711.6571524223</v>
      </c>
      <c r="I245" cm="1">
        <f t="array" ref="I245">_xlfn.IFS(D245= ""," ",D245&lt;&gt; " ",F245*(G245/H245))</f>
        <v>12506.770357044739</v>
      </c>
      <c r="J245" cm="1">
        <f t="array" ref="J245">_xlfn.IFS(D245= ""," ",D245&lt;&gt; " ",(H245-F245)*(G245/H245))</f>
        <v>2393.3726429552598</v>
      </c>
      <c r="K245" cm="1">
        <f t="array" ref="K245">IF(ISNUMBER(H245),_xlfn.IFS(D245= ""," ",D245&lt;&gt; " ",F245*(G245/H245)),"")</f>
        <v>12506.770357044739</v>
      </c>
    </row>
    <row r="246" spans="1:11" x14ac:dyDescent="0.35">
      <c r="A246" t="s">
        <v>16</v>
      </c>
      <c r="B246">
        <v>2019</v>
      </c>
      <c r="D246" s="11" t="s">
        <v>138</v>
      </c>
      <c r="E246" t="str" cm="1">
        <f t="array" ref="E246">_xlfn.IFS(D246=policy_name_clustering!$A$2,policy_name_clustering!$C$2,D246=policy_name_clustering!$A$3,policy_name_clustering!$C$3,D246=policy_name_clustering!$A$5,policy_name_clustering!$C$5,D246=policy_name_clustering!$A$6,policy_name_clustering!$C$6,D246=policy_name_clustering!$A$7,policy_name_clustering!$C$7,D246=policy_name_clustering!$A$8,policy_name_clustering!$C$8,D246=policy_name_clustering!$A$9,policy_name_clustering!$C$9,D246=policy_name_clustering!$A$10,policy_name_clustering!$C$10,D246=policy_name_clustering!$A$11,policy_name_clustering!$C$11,D246=policy_name_clustering!$A$12,policy_name_clustering!$C$12,D246=policy_name_clustering!$A$13,policy_name_clustering!$C$13,D246=policy_name_clustering!$A$14,policy_name_clustering!$C$14,D246=policy_name_clustering!$A$15,policy_name_clustering!$C$15,D246=policy_name_clustering!$A$16,policy_name_clustering!$C$16,D246="-","",D246=policy_name_clustering!$A$4,policy_name_clustering!$C$4)</f>
        <v>FiT/FiP-based</v>
      </c>
      <c r="I246">
        <f>I245</f>
        <v>12506.770357044739</v>
      </c>
      <c r="K246" t="str" cm="1">
        <f t="array" ref="K246">IF(ISNUMBER(H246),_xlfn.IFS(D246= ""," ",D246&lt;&gt; " ",F246*(G246/H246)),"")</f>
        <v/>
      </c>
    </row>
    <row r="247" spans="1:11" x14ac:dyDescent="0.35">
      <c r="A247" t="s">
        <v>16</v>
      </c>
      <c r="B247">
        <v>2020</v>
      </c>
      <c r="D247" s="11" t="s">
        <v>138</v>
      </c>
      <c r="E247" t="str" cm="1">
        <f t="array" ref="E247">_xlfn.IFS(D247=policy_name_clustering!$A$2,policy_name_clustering!$C$2,D247=policy_name_clustering!$A$3,policy_name_clustering!$C$3,D247=policy_name_clustering!$A$5,policy_name_clustering!$C$5,D247=policy_name_clustering!$A$6,policy_name_clustering!$C$6,D247=policy_name_clustering!$A$7,policy_name_clustering!$C$7,D247=policy_name_clustering!$A$8,policy_name_clustering!$C$8,D247=policy_name_clustering!$A$9,policy_name_clustering!$C$9,D247=policy_name_clustering!$A$10,policy_name_clustering!$C$10,D247=policy_name_clustering!$A$11,policy_name_clustering!$C$11,D247=policy_name_clustering!$A$12,policy_name_clustering!$C$12,D247=policy_name_clustering!$A$13,policy_name_clustering!$C$13,D247=policy_name_clustering!$A$14,policy_name_clustering!$C$14,D247=policy_name_clustering!$A$15,policy_name_clustering!$C$15,D247=policy_name_clustering!$A$16,policy_name_clustering!$C$16,D247="-","",D247=policy_name_clustering!$A$4,policy_name_clustering!$C$4)</f>
        <v>FiT/FiP-based</v>
      </c>
      <c r="I247">
        <f>I246</f>
        <v>12506.770357044739</v>
      </c>
      <c r="K247" t="str" cm="1">
        <f t="array" ref="K247">IF(ISNUMBER(H247),_xlfn.IFS(D247= ""," ",D247&lt;&gt; " ",F247*(G247/H247)),"")</f>
        <v/>
      </c>
    </row>
    <row r="248" spans="1:11" x14ac:dyDescent="0.35">
      <c r="A248" t="s">
        <v>16</v>
      </c>
      <c r="B248">
        <v>2021</v>
      </c>
      <c r="D248" s="11" t="s">
        <v>138</v>
      </c>
      <c r="E248" t="str" cm="1">
        <f t="array" ref="E248">_xlfn.IFS(D248=policy_name_clustering!$A$2,policy_name_clustering!$C$2,D248=policy_name_clustering!$A$3,policy_name_clustering!$C$3,D248=policy_name_clustering!$A$5,policy_name_clustering!$C$5,D248=policy_name_clustering!$A$6,policy_name_clustering!$C$6,D248=policy_name_clustering!$A$7,policy_name_clustering!$C$7,D248=policy_name_clustering!$A$8,policy_name_clustering!$C$8,D248=policy_name_clustering!$A$9,policy_name_clustering!$C$9,D248=policy_name_clustering!$A$10,policy_name_clustering!$C$10,D248=policy_name_clustering!$A$11,policy_name_clustering!$C$11,D248=policy_name_clustering!$A$12,policy_name_clustering!$C$12,D248=policy_name_clustering!$A$13,policy_name_clustering!$C$13,D248=policy_name_clustering!$A$14,policy_name_clustering!$C$14,D248=policy_name_clustering!$A$15,policy_name_clustering!$C$15,D248=policy_name_clustering!$A$16,policy_name_clustering!$C$16,D248="-","",D248=policy_name_clustering!$A$4,policy_name_clustering!$C$4)</f>
        <v>FiT/FiP-based</v>
      </c>
      <c r="I248">
        <f t="shared" ref="I248:I250" si="3">I247</f>
        <v>12506.770357044739</v>
      </c>
      <c r="K248" t="str" cm="1">
        <f t="array" ref="K248">IF(ISNUMBER(H248),_xlfn.IFS(D248= ""," ",D248&lt;&gt; " ",F248*(G248/H248)),"")</f>
        <v/>
      </c>
    </row>
    <row r="249" spans="1:11" x14ac:dyDescent="0.35">
      <c r="A249" t="s">
        <v>16</v>
      </c>
      <c r="B249">
        <v>2022</v>
      </c>
      <c r="D249" s="11" t="s">
        <v>138</v>
      </c>
      <c r="E249" t="str" cm="1">
        <f t="array" ref="E249">_xlfn.IFS(D249=policy_name_clustering!$A$2,policy_name_clustering!$C$2,D249=policy_name_clustering!$A$3,policy_name_clustering!$C$3,D249=policy_name_clustering!$A$5,policy_name_clustering!$C$5,D249=policy_name_clustering!$A$6,policy_name_clustering!$C$6,D249=policy_name_clustering!$A$7,policy_name_clustering!$C$7,D249=policy_name_clustering!$A$8,policy_name_clustering!$C$8,D249=policy_name_clustering!$A$9,policy_name_clustering!$C$9,D249=policy_name_clustering!$A$10,policy_name_clustering!$C$10,D249=policy_name_clustering!$A$11,policy_name_clustering!$C$11,D249=policy_name_clustering!$A$12,policy_name_clustering!$C$12,D249=policy_name_clustering!$A$13,policy_name_clustering!$C$13,D249=policy_name_clustering!$A$14,policy_name_clustering!$C$14,D249=policy_name_clustering!$A$15,policy_name_clustering!$C$15,D249=policy_name_clustering!$A$16,policy_name_clustering!$C$16,D249="-","",D249=policy_name_clustering!$A$4,policy_name_clustering!$C$4)</f>
        <v>FiT/FiP-based</v>
      </c>
      <c r="I249">
        <f t="shared" si="3"/>
        <v>12506.770357044739</v>
      </c>
      <c r="K249" t="str" cm="1">
        <f t="array" ref="K249">IF(ISNUMBER(H249),_xlfn.IFS(D249= ""," ",D249&lt;&gt; " ",F249*(G249/H249)),"")</f>
        <v/>
      </c>
    </row>
    <row r="250" spans="1:11" x14ac:dyDescent="0.35">
      <c r="A250" t="s">
        <v>16</v>
      </c>
      <c r="B250">
        <v>2023</v>
      </c>
      <c r="D250" s="11" t="s">
        <v>138</v>
      </c>
      <c r="E250" t="str" cm="1">
        <f t="array" ref="E250">_xlfn.IFS(D250=policy_name_clustering!$A$2,policy_name_clustering!$C$2,D250=policy_name_clustering!$A$3,policy_name_clustering!$C$3,D250=policy_name_clustering!$A$5,policy_name_clustering!$C$5,D250=policy_name_clustering!$A$6,policy_name_clustering!$C$6,D250=policy_name_clustering!$A$7,policy_name_clustering!$C$7,D250=policy_name_clustering!$A$8,policy_name_clustering!$C$8,D250=policy_name_clustering!$A$9,policy_name_clustering!$C$9,D250=policy_name_clustering!$A$10,policy_name_clustering!$C$10,D250=policy_name_clustering!$A$11,policy_name_clustering!$C$11,D250=policy_name_clustering!$A$12,policy_name_clustering!$C$12,D250=policy_name_clustering!$A$13,policy_name_clustering!$C$13,D250=policy_name_clustering!$A$14,policy_name_clustering!$C$14,D250=policy_name_clustering!$A$15,policy_name_clustering!$C$15,D250=policy_name_clustering!$A$16,policy_name_clustering!$C$16,D250="-","",D250=policy_name_clustering!$A$4,policy_name_clustering!$C$4)</f>
        <v>FiT/FiP-based</v>
      </c>
      <c r="I250">
        <f t="shared" si="3"/>
        <v>12506.770357044739</v>
      </c>
      <c r="K250" t="str" cm="1">
        <f t="array" ref="K250">IF(ISNUMBER(H250),_xlfn.IFS(D250= ""," ",D250&lt;&gt; " ",F250*(G250/H250)),"")</f>
        <v/>
      </c>
    </row>
    <row r="251" spans="1:11" x14ac:dyDescent="0.35">
      <c r="A251" t="s">
        <v>16</v>
      </c>
      <c r="B251">
        <v>2019</v>
      </c>
      <c r="C251" t="s">
        <v>156</v>
      </c>
      <c r="D251" s="15" t="s">
        <v>167</v>
      </c>
      <c r="E251" t="str" cm="1">
        <f t="array" ref="E251">_xlfn.IFS(D251=policy_name_clustering!$A$2,policy_name_clustering!$C$2,D251=policy_name_clustering!$A$3,policy_name_clustering!$C$3,D251=policy_name_clustering!$A$5,policy_name_clustering!$C$5,D251=policy_name_clustering!$A$6,policy_name_clustering!$C$6,D251=policy_name_clustering!$A$7,policy_name_clustering!$C$7,D251=policy_name_clustering!$A$8,policy_name_clustering!$C$8,D251=policy_name_clustering!$A$9,policy_name_clustering!$C$9,D251=policy_name_clustering!$A$10,policy_name_clustering!$C$10,D251=policy_name_clustering!$A$11,policy_name_clustering!$C$11,D251=policy_name_clustering!$A$12,policy_name_clustering!$C$12,D251=policy_name_clustering!$A$13,policy_name_clustering!$C$13,D251=policy_name_clustering!$A$14,policy_name_clustering!$C$14,D251=policy_name_clustering!$A$15,policy_name_clustering!$C$15,D251=policy_name_clustering!$A$16,policy_name_clustering!$C$16,D251="-","",D251=policy_name_clustering!$A$4,policy_name_clustering!$C$4)</f>
        <v>Policy mix</v>
      </c>
      <c r="F251">
        <f>policy_contributions_cum!F102</f>
        <v>13741.9623509215</v>
      </c>
      <c r="G251">
        <f>wind_cump_cap!C235</f>
        <v>16426.851999999999</v>
      </c>
      <c r="H251">
        <f>estimated_capacity!C228</f>
        <v>16341.2757370006</v>
      </c>
      <c r="I251" cm="1">
        <f t="array" ref="I251">_xlfn.IFS(D251= ""," ",D251&lt;&gt; " ",F251*(G251/H251)-$I$245)</f>
        <v>1307.1561295536103</v>
      </c>
      <c r="J251" cm="1">
        <f t="array" ref="J251">_xlfn.IFS(D251= ""," ",D251&lt;&gt; " ",(H251-F251)*(G251/H251))</f>
        <v>2612.9255134016516</v>
      </c>
      <c r="K251" cm="1">
        <f t="array" ref="K251">IF(ISNUMBER(H251),_xlfn.IFS(D251= ""," ",D251&lt;&gt; " ",F251*(G251/H251)),"")</f>
        <v>13813.92648659835</v>
      </c>
    </row>
    <row r="252" spans="1:11" x14ac:dyDescent="0.35">
      <c r="A252" t="s">
        <v>16</v>
      </c>
      <c r="B252">
        <v>2020</v>
      </c>
      <c r="C252" t="s">
        <v>156</v>
      </c>
      <c r="D252" s="15" t="s">
        <v>167</v>
      </c>
      <c r="E252" t="str" cm="1">
        <f t="array" ref="E252">_xlfn.IFS(D252=policy_name_clustering!$A$2,policy_name_clustering!$C$2,D252=policy_name_clustering!$A$3,policy_name_clustering!$C$3,D252=policy_name_clustering!$A$5,policy_name_clustering!$C$5,D252=policy_name_clustering!$A$6,policy_name_clustering!$C$6,D252=policy_name_clustering!$A$7,policy_name_clustering!$C$7,D252=policy_name_clustering!$A$8,policy_name_clustering!$C$8,D252=policy_name_clustering!$A$9,policy_name_clustering!$C$9,D252=policy_name_clustering!$A$10,policy_name_clustering!$C$10,D252=policy_name_clustering!$A$11,policy_name_clustering!$C$11,D252=policy_name_clustering!$A$12,policy_name_clustering!$C$12,D252=policy_name_clustering!$A$13,policy_name_clustering!$C$13,D252=policy_name_clustering!$A$14,policy_name_clustering!$C$14,D252=policy_name_clustering!$A$15,policy_name_clustering!$C$15,D252=policy_name_clustering!$A$16,policy_name_clustering!$C$16,D252="-","",D252=policy_name_clustering!$A$4,policy_name_clustering!$C$4)</f>
        <v>Policy mix</v>
      </c>
      <c r="F252">
        <f>policy_contributions_cum!F103</f>
        <v>15362.6427981174</v>
      </c>
      <c r="G252">
        <f>wind_cump_cap!C236</f>
        <v>17438.273000000001</v>
      </c>
      <c r="H252">
        <f>estimated_capacity!C229</f>
        <v>18253.2558369863</v>
      </c>
      <c r="I252" cm="1">
        <f t="array" ref="I252">_xlfn.IFS(D252= ""," ",D252&lt;&gt; " ",F252*(G252/H252)-$I$245)</f>
        <v>2169.9515115118538</v>
      </c>
      <c r="J252" cm="1">
        <f t="array" ref="J252">_xlfn.IFS(D252= ""," ",D252&lt;&gt; " ",(H252-F252)*(G252/H252))</f>
        <v>2761.551131443407</v>
      </c>
      <c r="K252" cm="1">
        <f t="array" ref="K252">IF(ISNUMBER(H252),_xlfn.IFS(D252= ""," ",D252&lt;&gt; " ",F252*(G252/H252)),"")</f>
        <v>14676.721868556593</v>
      </c>
    </row>
    <row r="253" spans="1:11" x14ac:dyDescent="0.35">
      <c r="A253" t="s">
        <v>16</v>
      </c>
      <c r="B253">
        <v>2021</v>
      </c>
      <c r="C253" t="s">
        <v>156</v>
      </c>
      <c r="D253" s="15" t="s">
        <v>167</v>
      </c>
      <c r="E253" t="str" cm="1">
        <f t="array" ref="E253">_xlfn.IFS(D253=policy_name_clustering!$A$2,policy_name_clustering!$C$2,D253=policy_name_clustering!$A$3,policy_name_clustering!$C$3,D253=policy_name_clustering!$A$5,policy_name_clustering!$C$5,D253=policy_name_clustering!$A$6,policy_name_clustering!$C$6,D253=policy_name_clustering!$A$7,policy_name_clustering!$C$7,D253=policy_name_clustering!$A$8,policy_name_clustering!$C$8,D253=policy_name_clustering!$A$9,policy_name_clustering!$C$9,D253=policy_name_clustering!$A$10,policy_name_clustering!$C$10,D253=policy_name_clustering!$A$11,policy_name_clustering!$C$11,D253=policy_name_clustering!$A$12,policy_name_clustering!$C$12,D253=policy_name_clustering!$A$13,policy_name_clustering!$C$13,D253=policy_name_clustering!$A$14,policy_name_clustering!$C$14,D253=policy_name_clustering!$A$15,policy_name_clustering!$C$15,D253=policy_name_clustering!$A$16,policy_name_clustering!$C$16,D253="-","",D253=policy_name_clustering!$A$4,policy_name_clustering!$C$4)</f>
        <v>Policy mix</v>
      </c>
      <c r="F253">
        <f>policy_contributions_cum!F104</f>
        <v>17069.907649621298</v>
      </c>
      <c r="G253">
        <f>wind_cump_cap!C237</f>
        <v>18433.920999999998</v>
      </c>
      <c r="H253">
        <f>estimated_capacity!C230</f>
        <v>20272.804806062399</v>
      </c>
      <c r="I253" cm="1">
        <f t="array" ref="I253">_xlfn.IFS(D253= ""," ",D253&lt;&gt; " ",F253*(G253/H253)-$I$245)</f>
        <v>3014.7784419806831</v>
      </c>
      <c r="J253" cm="1">
        <f t="array" ref="J253">_xlfn.IFS(D253= ""," ",D253&lt;&gt; " ",(H253-F253)*(G253/H253))</f>
        <v>2912.3722009745743</v>
      </c>
      <c r="K253" cm="1">
        <f t="array" ref="K253">IF(ISNUMBER(H253),_xlfn.IFS(D253= ""," ",D253&lt;&gt; " ",F253*(G253/H253)),"")</f>
        <v>15521.548799025422</v>
      </c>
    </row>
    <row r="254" spans="1:11" x14ac:dyDescent="0.35">
      <c r="A254" t="s">
        <v>16</v>
      </c>
      <c r="B254">
        <v>2022</v>
      </c>
      <c r="C254" t="s">
        <v>156</v>
      </c>
      <c r="D254" s="15" t="s">
        <v>167</v>
      </c>
      <c r="E254" t="str" cm="1">
        <f t="array" ref="E254">_xlfn.IFS(D254=policy_name_clustering!$A$2,policy_name_clustering!$C$2,D254=policy_name_clustering!$A$3,policy_name_clustering!$C$3,D254=policy_name_clustering!$A$5,policy_name_clustering!$C$5,D254=policy_name_clustering!$A$6,policy_name_clustering!$C$6,D254=policy_name_clustering!$A$7,policy_name_clustering!$C$7,D254=policy_name_clustering!$A$8,policy_name_clustering!$C$8,D254=policy_name_clustering!$A$9,policy_name_clustering!$C$9,D254=policy_name_clustering!$A$10,policy_name_clustering!$C$10,D254=policy_name_clustering!$A$11,policy_name_clustering!$C$11,D254=policy_name_clustering!$A$12,policy_name_clustering!$C$12,D254=policy_name_clustering!$A$13,policy_name_clustering!$C$13,D254=policy_name_clustering!$A$14,policy_name_clustering!$C$14,D254=policy_name_clustering!$A$15,policy_name_clustering!$C$15,D254=policy_name_clustering!$A$16,policy_name_clustering!$C$16,D254="-","",D254=policy_name_clustering!$A$4,policy_name_clustering!$C$4)</f>
        <v>Policy mix</v>
      </c>
      <c r="F254">
        <f>policy_contributions_cum!F105</f>
        <v>18763.815634257899</v>
      </c>
      <c r="G254">
        <f>wind_cump_cap!C238</f>
        <v>20835.174999999999</v>
      </c>
      <c r="H254">
        <f>estimated_capacity!C231</f>
        <v>22275.759758294698</v>
      </c>
      <c r="I254" cm="1">
        <f t="array" ref="I254">_xlfn.IFS(D254= ""," ",D254&lt;&gt; " ",F254*(G254/H254)-$I$245)</f>
        <v>5043.5797387325529</v>
      </c>
      <c r="J254" cm="1">
        <f t="array" ref="J254">_xlfn.IFS(D254= ""," ",D254&lt;&gt; " ",(H254-F254)*(G254/H254))</f>
        <v>3284.8249042227076</v>
      </c>
      <c r="K254" cm="1">
        <f t="array" ref="K254">IF(ISNUMBER(H254),_xlfn.IFS(D254= ""," ",D254&lt;&gt; " ",F254*(G254/H254)),"")</f>
        <v>17550.350095777292</v>
      </c>
    </row>
    <row r="255" spans="1:11" x14ac:dyDescent="0.35">
      <c r="A255" t="s">
        <v>16</v>
      </c>
      <c r="B255">
        <v>2023</v>
      </c>
      <c r="C255" t="s">
        <v>156</v>
      </c>
      <c r="D255" s="15" t="s">
        <v>167</v>
      </c>
      <c r="E255" t="str" cm="1">
        <f t="array" ref="E255">_xlfn.IFS(D255=policy_name_clustering!$A$2,policy_name_clustering!$C$2,D255=policy_name_clustering!$A$3,policy_name_clustering!$C$3,D255=policy_name_clustering!$A$5,policy_name_clustering!$C$5,D255=policy_name_clustering!$A$6,policy_name_clustering!$C$6,D255=policy_name_clustering!$A$7,policy_name_clustering!$C$7,D255=policy_name_clustering!$A$8,policy_name_clustering!$C$8,D255=policy_name_clustering!$A$9,policy_name_clustering!$C$9,D255=policy_name_clustering!$A$10,policy_name_clustering!$C$10,D255=policy_name_clustering!$A$11,policy_name_clustering!$C$11,D255=policy_name_clustering!$A$12,policy_name_clustering!$C$12,D255=policy_name_clustering!$A$13,policy_name_clustering!$C$13,D255=policy_name_clustering!$A$14,policy_name_clustering!$C$14,D255=policy_name_clustering!$A$15,policy_name_clustering!$C$15,D255=policy_name_clustering!$A$16,policy_name_clustering!$C$16,D255="-","",D255=policy_name_clustering!$A$4,policy_name_clustering!$C$4)</f>
        <v>Policy mix</v>
      </c>
      <c r="F255">
        <f>policy_contributions_cum!F106</f>
        <v>20628.171036964501</v>
      </c>
      <c r="G255">
        <f>wind_cump_cap!C239</f>
        <v>23131.614000000001</v>
      </c>
      <c r="H255">
        <f>estimated_capacity!C232</f>
        <v>24490.471506080201</v>
      </c>
      <c r="I255" cm="1">
        <f t="array" ref="I255">_xlfn.IFS(D255= ""," ",D255&lt;&gt; " ",F255*(G255/H255)-$I$245)</f>
        <v>6976.8434980244983</v>
      </c>
      <c r="J255" cm="1">
        <f t="array" ref="J255">_xlfn.IFS(D255= ""," ",D255&lt;&gt; " ",(H255-F255)*(G255/H255))</f>
        <v>3648.0001449307638</v>
      </c>
      <c r="K255" cm="1">
        <f t="array" ref="K255">IF(ISNUMBER(H255),_xlfn.IFS(D255= ""," ",D255&lt;&gt; " ",F255*(G255/H255)),"")</f>
        <v>19483.613855069238</v>
      </c>
    </row>
    <row r="256" spans="1:11" x14ac:dyDescent="0.35">
      <c r="A256" t="s">
        <v>10</v>
      </c>
      <c r="B256">
        <v>1991</v>
      </c>
      <c r="D256" s="15" t="s">
        <v>137</v>
      </c>
      <c r="E256" t="str" cm="1">
        <f t="array" ref="E256">_xlfn.IFS(D256=policy_name_clustering!$A$2,policy_name_clustering!$C$2,D256=policy_name_clustering!$A$3,policy_name_clustering!$C$3,D256=policy_name_clustering!$A$5,policy_name_clustering!$C$5,D256=policy_name_clustering!$A$6,policy_name_clustering!$C$6,D256=policy_name_clustering!$A$7,policy_name_clustering!$C$7,D256=policy_name_clustering!$A$8,policy_name_clustering!$C$8,D256=policy_name_clustering!$A$9,policy_name_clustering!$C$9,D256=policy_name_clustering!$A$10,policy_name_clustering!$C$10,D256=policy_name_clustering!$A$11,policy_name_clustering!$C$11,D256=policy_name_clustering!$A$12,policy_name_clustering!$C$12,D256=policy_name_clustering!$A$13,policy_name_clustering!$C$13,D256=policy_name_clustering!$A$14,policy_name_clustering!$C$14,D256=policy_name_clustering!$A$15,policy_name_clustering!$C$15,D256=policy_name_clustering!$A$16,policy_name_clustering!$C$16,D256="-","",D256=policy_name_clustering!$A$4,policy_name_clustering!$C$4)</f>
        <v/>
      </c>
      <c r="G256">
        <f>wind_cump_cap!C241</f>
        <v>14</v>
      </c>
      <c r="H256">
        <f>estimated_capacity!C233</f>
        <v>10.364020171335699</v>
      </c>
      <c r="I256" cm="1">
        <f t="array" ref="I256">_xlfn.IFS(D256= ""," ",D256&lt;&gt; " ",F256*(G256/H256))</f>
        <v>0</v>
      </c>
      <c r="J256" cm="1">
        <f t="array" ref="J256">_xlfn.IFS(D256= ""," ",D256&lt;&gt; " ",(H256-F256)*(G256/H256))</f>
        <v>14</v>
      </c>
      <c r="K256" cm="1">
        <f t="array" ref="K256">IF(ISNUMBER(H256),_xlfn.IFS(D256= ""," ",D256&lt;&gt; " ",F256*(G256/H256)),"")</f>
        <v>0</v>
      </c>
    </row>
    <row r="257" spans="1:11" x14ac:dyDescent="0.35">
      <c r="A257" t="s">
        <v>10</v>
      </c>
      <c r="B257">
        <v>1992</v>
      </c>
      <c r="D257" s="15" t="s">
        <v>137</v>
      </c>
      <c r="E257" t="str" cm="1">
        <f t="array" ref="E257">_xlfn.IFS(D257=policy_name_clustering!$A$2,policy_name_clustering!$C$2,D257=policy_name_clustering!$A$3,policy_name_clustering!$C$3,D257=policy_name_clustering!$A$5,policy_name_clustering!$C$5,D257=policy_name_clustering!$A$6,policy_name_clustering!$C$6,D257=policy_name_clustering!$A$7,policy_name_clustering!$C$7,D257=policy_name_clustering!$A$8,policy_name_clustering!$C$8,D257=policy_name_clustering!$A$9,policy_name_clustering!$C$9,D257=policy_name_clustering!$A$10,policy_name_clustering!$C$10,D257=policy_name_clustering!$A$11,policy_name_clustering!$C$11,D257=policy_name_clustering!$A$12,policy_name_clustering!$C$12,D257=policy_name_clustering!$A$13,policy_name_clustering!$C$13,D257=policy_name_clustering!$A$14,policy_name_clustering!$C$14,D257=policy_name_clustering!$A$15,policy_name_clustering!$C$15,D257=policy_name_clustering!$A$16,policy_name_clustering!$C$16,D257="-","",D257=policy_name_clustering!$A$4,policy_name_clustering!$C$4)</f>
        <v/>
      </c>
      <c r="G257">
        <f>wind_cump_cap!C242</f>
        <v>50</v>
      </c>
      <c r="H257">
        <f>estimated_capacity!C234</f>
        <v>24.791992954177001</v>
      </c>
      <c r="I257" cm="1">
        <f t="array" ref="I257">_xlfn.IFS(D257= ""," ",D257&lt;&gt; " ",F257*(G257/H257))</f>
        <v>0</v>
      </c>
      <c r="J257" cm="1">
        <f t="array" ref="J257">_xlfn.IFS(D257= ""," ",D257&lt;&gt; " ",(H257-F257)*(G257/H257))</f>
        <v>50</v>
      </c>
      <c r="K257" cm="1">
        <f t="array" ref="K257">IF(ISNUMBER(H257),_xlfn.IFS(D257= ""," ",D257&lt;&gt; " ",F257*(G257/H257)),"")</f>
        <v>0</v>
      </c>
    </row>
    <row r="258" spans="1:11" x14ac:dyDescent="0.35">
      <c r="A258" t="s">
        <v>10</v>
      </c>
      <c r="B258">
        <v>1993</v>
      </c>
      <c r="D258" s="15" t="s">
        <v>137</v>
      </c>
      <c r="E258" t="str" cm="1">
        <f t="array" ref="E258">_xlfn.IFS(D258=policy_name_clustering!$A$2,policy_name_clustering!$C$2,D258=policy_name_clustering!$A$3,policy_name_clustering!$C$3,D258=policy_name_clustering!$A$5,policy_name_clustering!$C$5,D258=policy_name_clustering!$A$6,policy_name_clustering!$C$6,D258=policy_name_clustering!$A$7,policy_name_clustering!$C$7,D258=policy_name_clustering!$A$8,policy_name_clustering!$C$8,D258=policy_name_clustering!$A$9,policy_name_clustering!$C$9,D258=policy_name_clustering!$A$10,policy_name_clustering!$C$10,D258=policy_name_clustering!$A$11,policy_name_clustering!$C$11,D258=policy_name_clustering!$A$12,policy_name_clustering!$C$12,D258=policy_name_clustering!$A$13,policy_name_clustering!$C$13,D258=policy_name_clustering!$A$14,policy_name_clustering!$C$14,D258=policy_name_clustering!$A$15,policy_name_clustering!$C$15,D258=policy_name_clustering!$A$16,policy_name_clustering!$C$16,D258="-","",D258=policy_name_clustering!$A$4,policy_name_clustering!$C$4)</f>
        <v/>
      </c>
      <c r="G258">
        <f>wind_cump_cap!C243</f>
        <v>131</v>
      </c>
      <c r="H258">
        <f>estimated_capacity!C235</f>
        <v>48.085988355950398</v>
      </c>
      <c r="I258" cm="1">
        <f t="array" ref="I258">_xlfn.IFS(D258= ""," ",D258&lt;&gt; " ",F258*(G258/H258))</f>
        <v>0</v>
      </c>
      <c r="J258" cm="1">
        <f t="array" ref="J258">_xlfn.IFS(D258= ""," ",D258&lt;&gt; " ",(H258-F258)*(G258/H258))</f>
        <v>131</v>
      </c>
      <c r="K258" cm="1">
        <f t="array" ref="K258">IF(ISNUMBER(H258),_xlfn.IFS(D258= ""," ",D258&lt;&gt; " ",F258*(G258/H258)),"")</f>
        <v>0</v>
      </c>
    </row>
    <row r="259" spans="1:11" x14ac:dyDescent="0.35">
      <c r="A259" t="s">
        <v>10</v>
      </c>
      <c r="B259">
        <v>1994</v>
      </c>
      <c r="D259" s="15" t="s">
        <v>137</v>
      </c>
      <c r="E259" t="str" cm="1">
        <f t="array" ref="E259">_xlfn.IFS(D259=policy_name_clustering!$A$2,policy_name_clustering!$C$2,D259=policy_name_clustering!$A$3,policy_name_clustering!$C$3,D259=policy_name_clustering!$A$5,policy_name_clustering!$C$5,D259=policy_name_clustering!$A$6,policy_name_clustering!$C$6,D259=policy_name_clustering!$A$7,policy_name_clustering!$C$7,D259=policy_name_clustering!$A$8,policy_name_clustering!$C$8,D259=policy_name_clustering!$A$9,policy_name_clustering!$C$9,D259=policy_name_clustering!$A$10,policy_name_clustering!$C$10,D259=policy_name_clustering!$A$11,policy_name_clustering!$C$11,D259=policy_name_clustering!$A$12,policy_name_clustering!$C$12,D259=policy_name_clustering!$A$13,policy_name_clustering!$C$13,D259=policy_name_clustering!$A$14,policy_name_clustering!$C$14,D259=policy_name_clustering!$A$15,policy_name_clustering!$C$15,D259=policy_name_clustering!$A$16,policy_name_clustering!$C$16,D259="-","",D259=policy_name_clustering!$A$4,policy_name_clustering!$C$4)</f>
        <v/>
      </c>
      <c r="G259">
        <f>wind_cump_cap!C244</f>
        <v>153</v>
      </c>
      <c r="H259">
        <f>estimated_capacity!C236</f>
        <v>75.720472845770601</v>
      </c>
      <c r="I259" cm="1">
        <f t="array" ref="I259">_xlfn.IFS(D259= ""," ",D259&lt;&gt; " ",F259*(G259/H259))</f>
        <v>0</v>
      </c>
      <c r="J259" cm="1">
        <f t="array" ref="J259">_xlfn.IFS(D259= ""," ",D259&lt;&gt; " ",(H259-F259)*(G259/H259))</f>
        <v>153.00000000000003</v>
      </c>
      <c r="K259" cm="1">
        <f t="array" ref="K259">IF(ISNUMBER(H259),_xlfn.IFS(D259= ""," ",D259&lt;&gt; " ",F259*(G259/H259)),"")</f>
        <v>0</v>
      </c>
    </row>
    <row r="260" spans="1:11" x14ac:dyDescent="0.35">
      <c r="A260" t="s">
        <v>10</v>
      </c>
      <c r="B260">
        <v>1995</v>
      </c>
      <c r="D260" s="15" t="s">
        <v>137</v>
      </c>
      <c r="E260" t="str" cm="1">
        <f t="array" ref="E260">_xlfn.IFS(D260=policy_name_clustering!$A$2,policy_name_clustering!$C$2,D260=policy_name_clustering!$A$3,policy_name_clustering!$C$3,D260=policy_name_clustering!$A$5,policy_name_clustering!$C$5,D260=policy_name_clustering!$A$6,policy_name_clustering!$C$6,D260=policy_name_clustering!$A$7,policy_name_clustering!$C$7,D260=policy_name_clustering!$A$8,policy_name_clustering!$C$8,D260=policy_name_clustering!$A$9,policy_name_clustering!$C$9,D260=policy_name_clustering!$A$10,policy_name_clustering!$C$10,D260=policy_name_clustering!$A$11,policy_name_clustering!$C$11,D260=policy_name_clustering!$A$12,policy_name_clustering!$C$12,D260=policy_name_clustering!$A$13,policy_name_clustering!$C$13,D260=policy_name_clustering!$A$14,policy_name_clustering!$C$14,D260=policy_name_clustering!$A$15,policy_name_clustering!$C$15,D260=policy_name_clustering!$A$16,policy_name_clustering!$C$16,D260="-","",D260=policy_name_clustering!$A$4,policy_name_clustering!$C$4)</f>
        <v/>
      </c>
      <c r="G260">
        <f>wind_cump_cap!C245</f>
        <v>200</v>
      </c>
      <c r="H260">
        <f>estimated_capacity!C237</f>
        <v>117.854137913722</v>
      </c>
      <c r="I260" cm="1">
        <f t="array" ref="I260">_xlfn.IFS(D260= ""," ",D260&lt;&gt; " ",F260*(G260/H260))</f>
        <v>0</v>
      </c>
      <c r="J260" cm="1">
        <f t="array" ref="J260">_xlfn.IFS(D260= ""," ",D260&lt;&gt; " ",(H260-F260)*(G260/H260))</f>
        <v>200</v>
      </c>
      <c r="K260" cm="1">
        <f t="array" ref="K260">IF(ISNUMBER(H260),_xlfn.IFS(D260= ""," ",D260&lt;&gt; " ",F260*(G260/H260)),"")</f>
        <v>0</v>
      </c>
    </row>
    <row r="261" spans="1:11" x14ac:dyDescent="0.35">
      <c r="A261" t="s">
        <v>10</v>
      </c>
      <c r="B261">
        <v>1996</v>
      </c>
      <c r="D261" s="15" t="s">
        <v>137</v>
      </c>
      <c r="E261" t="str" cm="1">
        <f t="array" ref="E261">_xlfn.IFS(D261=policy_name_clustering!$A$2,policy_name_clustering!$C$2,D261=policy_name_clustering!$A$3,policy_name_clustering!$C$3,D261=policy_name_clustering!$A$5,policy_name_clustering!$C$5,D261=policy_name_clustering!$A$6,policy_name_clustering!$C$6,D261=policy_name_clustering!$A$7,policy_name_clustering!$C$7,D261=policy_name_clustering!$A$8,policy_name_clustering!$C$8,D261=policy_name_clustering!$A$9,policy_name_clustering!$C$9,D261=policy_name_clustering!$A$10,policy_name_clustering!$C$10,D261=policy_name_clustering!$A$11,policy_name_clustering!$C$11,D261=policy_name_clustering!$A$12,policy_name_clustering!$C$12,D261=policy_name_clustering!$A$13,policy_name_clustering!$C$13,D261=policy_name_clustering!$A$14,policy_name_clustering!$C$14,D261=policy_name_clustering!$A$15,policy_name_clustering!$C$15,D261=policy_name_clustering!$A$16,policy_name_clustering!$C$16,D261="-","",D261=policy_name_clustering!$A$4,policy_name_clustering!$C$4)</f>
        <v/>
      </c>
      <c r="G261">
        <f>wind_cump_cap!C246</f>
        <v>238</v>
      </c>
      <c r="H261">
        <f>estimated_capacity!C238</f>
        <v>170.019069235942</v>
      </c>
      <c r="I261" cm="1">
        <f t="array" ref="I261">_xlfn.IFS(D261= ""," ",D261&lt;&gt; " ",F261*(G261/H261))</f>
        <v>0</v>
      </c>
      <c r="J261" cm="1">
        <f t="array" ref="J261">_xlfn.IFS(D261= ""," ",D261&lt;&gt; " ",(H261-F261)*(G261/H261))</f>
        <v>238</v>
      </c>
      <c r="K261" cm="1">
        <f t="array" ref="K261">IF(ISNUMBER(H261),_xlfn.IFS(D261= ""," ",D261&lt;&gt; " ",F261*(G261/H261)),"")</f>
        <v>0</v>
      </c>
    </row>
    <row r="262" spans="1:11" x14ac:dyDescent="0.35">
      <c r="A262" t="s">
        <v>10</v>
      </c>
      <c r="B262">
        <v>1997</v>
      </c>
      <c r="D262" s="15" t="s">
        <v>137</v>
      </c>
      <c r="E262" t="str" cm="1">
        <f t="array" ref="E262">_xlfn.IFS(D262=policy_name_clustering!$A$2,policy_name_clustering!$C$2,D262=policy_name_clustering!$A$3,policy_name_clustering!$C$3,D262=policy_name_clustering!$A$5,policy_name_clustering!$C$5,D262=policy_name_clustering!$A$6,policy_name_clustering!$C$6,D262=policy_name_clustering!$A$7,policy_name_clustering!$C$7,D262=policy_name_clustering!$A$8,policy_name_clustering!$C$8,D262=policy_name_clustering!$A$9,policy_name_clustering!$C$9,D262=policy_name_clustering!$A$10,policy_name_clustering!$C$10,D262=policy_name_clustering!$A$11,policy_name_clustering!$C$11,D262=policy_name_clustering!$A$12,policy_name_clustering!$C$12,D262=policy_name_clustering!$A$13,policy_name_clustering!$C$13,D262=policy_name_clustering!$A$14,policy_name_clustering!$C$14,D262=policy_name_clustering!$A$15,policy_name_clustering!$C$15,D262=policy_name_clustering!$A$16,policy_name_clustering!$C$16,D262="-","",D262=policy_name_clustering!$A$4,policy_name_clustering!$C$4)</f>
        <v/>
      </c>
      <c r="G262">
        <f>wind_cump_cap!C247</f>
        <v>322</v>
      </c>
      <c r="H262">
        <f>estimated_capacity!C239</f>
        <v>237.544639409371</v>
      </c>
      <c r="I262" cm="1">
        <f t="array" ref="I262">_xlfn.IFS(D262= ""," ",D262&lt;&gt; " ",F262*(G262/H262))</f>
        <v>0</v>
      </c>
      <c r="J262" cm="1">
        <f t="array" ref="J262">_xlfn.IFS(D262= ""," ",D262&lt;&gt; " ",(H262-F262)*(G262/H262))</f>
        <v>322</v>
      </c>
      <c r="K262" cm="1">
        <f t="array" ref="K262">IF(ISNUMBER(H262),_xlfn.IFS(D262= ""," ",D262&lt;&gt; " ",F262*(G262/H262)),"")</f>
        <v>0</v>
      </c>
    </row>
    <row r="263" spans="1:11" x14ac:dyDescent="0.35">
      <c r="A263" t="s">
        <v>10</v>
      </c>
      <c r="B263">
        <v>1998</v>
      </c>
      <c r="D263" s="15" t="s">
        <v>137</v>
      </c>
      <c r="E263" t="str" cm="1">
        <f t="array" ref="E263">_xlfn.IFS(D263=policy_name_clustering!$A$2,policy_name_clustering!$C$2,D263=policy_name_clustering!$A$3,policy_name_clustering!$C$3,D263=policy_name_clustering!$A$5,policy_name_clustering!$C$5,D263=policy_name_clustering!$A$6,policy_name_clustering!$C$6,D263=policy_name_clustering!$A$7,policy_name_clustering!$C$7,D263=policy_name_clustering!$A$8,policy_name_clustering!$C$8,D263=policy_name_clustering!$A$9,policy_name_clustering!$C$9,D263=policy_name_clustering!$A$10,policy_name_clustering!$C$10,D263=policy_name_clustering!$A$11,policy_name_clustering!$C$11,D263=policy_name_clustering!$A$12,policy_name_clustering!$C$12,D263=policy_name_clustering!$A$13,policy_name_clustering!$C$13,D263=policy_name_clustering!$A$14,policy_name_clustering!$C$14,D263=policy_name_clustering!$A$15,policy_name_clustering!$C$15,D263=policy_name_clustering!$A$16,policy_name_clustering!$C$16,D263="-","",D263=policy_name_clustering!$A$4,policy_name_clustering!$C$4)</f>
        <v/>
      </c>
      <c r="G263">
        <f>wind_cump_cap!C248</f>
        <v>331</v>
      </c>
      <c r="H263">
        <f>estimated_capacity!C240</f>
        <v>310.47679549289501</v>
      </c>
      <c r="I263" cm="1">
        <f t="array" ref="I263">_xlfn.IFS(D263= ""," ",D263&lt;&gt; " ",F263*(G263/H263))</f>
        <v>0</v>
      </c>
      <c r="J263" cm="1">
        <f t="array" ref="J263">_xlfn.IFS(D263= ""," ",D263&lt;&gt; " ",(H263-F263)*(G263/H263))</f>
        <v>330.99999999999994</v>
      </c>
      <c r="K263" cm="1">
        <f t="array" ref="K263">IF(ISNUMBER(H263),_xlfn.IFS(D263= ""," ",D263&lt;&gt; " ",F263*(G263/H263)),"")</f>
        <v>0</v>
      </c>
    </row>
    <row r="264" spans="1:11" x14ac:dyDescent="0.35">
      <c r="A264" t="s">
        <v>10</v>
      </c>
      <c r="B264">
        <v>1999</v>
      </c>
      <c r="D264" s="15" t="s">
        <v>137</v>
      </c>
      <c r="E264" t="str" cm="1">
        <f t="array" ref="E264">_xlfn.IFS(D264=policy_name_clustering!$A$2,policy_name_clustering!$C$2,D264=policy_name_clustering!$A$3,policy_name_clustering!$C$3,D264=policy_name_clustering!$A$5,policy_name_clustering!$C$5,D264=policy_name_clustering!$A$6,policy_name_clustering!$C$6,D264=policy_name_clustering!$A$7,policy_name_clustering!$C$7,D264=policy_name_clustering!$A$8,policy_name_clustering!$C$8,D264=policy_name_clustering!$A$9,policy_name_clustering!$C$9,D264=policy_name_clustering!$A$10,policy_name_clustering!$C$10,D264=policy_name_clustering!$A$11,policy_name_clustering!$C$11,D264=policy_name_clustering!$A$12,policy_name_clustering!$C$12,D264=policy_name_clustering!$A$13,policy_name_clustering!$C$13,D264=policy_name_clustering!$A$14,policy_name_clustering!$C$14,D264=policy_name_clustering!$A$15,policy_name_clustering!$C$15,D264=policy_name_clustering!$A$16,policy_name_clustering!$C$16,D264="-","",D264=policy_name_clustering!$A$4,policy_name_clustering!$C$4)</f>
        <v/>
      </c>
      <c r="G264">
        <f>wind_cump_cap!C249</f>
        <v>357</v>
      </c>
      <c r="H264">
        <f>estimated_capacity!C241</f>
        <v>401.15559566807298</v>
      </c>
      <c r="I264" cm="1">
        <f t="array" ref="I264">_xlfn.IFS(D264= ""," ",D264&lt;&gt; " ",F264*(G264/H264))</f>
        <v>0</v>
      </c>
      <c r="J264" cm="1">
        <f t="array" ref="J264">_xlfn.IFS(D264= ""," ",D264&lt;&gt; " ",(H264-F264)*(G264/H264))</f>
        <v>357</v>
      </c>
      <c r="K264" cm="1">
        <f t="array" ref="K264">IF(ISNUMBER(H264),_xlfn.IFS(D264= ""," ",D264&lt;&gt; " ",F264*(G264/H264)),"")</f>
        <v>0</v>
      </c>
    </row>
    <row r="265" spans="1:11" x14ac:dyDescent="0.35">
      <c r="A265" t="s">
        <v>10</v>
      </c>
      <c r="B265">
        <v>2000</v>
      </c>
      <c r="D265" s="15" t="s">
        <v>137</v>
      </c>
      <c r="E265" t="str" cm="1">
        <f t="array" ref="E265">_xlfn.IFS(D265=policy_name_clustering!$A$2,policy_name_clustering!$C$2,D265=policy_name_clustering!$A$3,policy_name_clustering!$C$3,D265=policy_name_clustering!$A$5,policy_name_clustering!$C$5,D265=policy_name_clustering!$A$6,policy_name_clustering!$C$6,D265=policy_name_clustering!$A$7,policy_name_clustering!$C$7,D265=policy_name_clustering!$A$8,policy_name_clustering!$C$8,D265=policy_name_clustering!$A$9,policy_name_clustering!$C$9,D265=policy_name_clustering!$A$10,policy_name_clustering!$C$10,D265=policy_name_clustering!$A$11,policy_name_clustering!$C$11,D265=policy_name_clustering!$A$12,policy_name_clustering!$C$12,D265=policy_name_clustering!$A$13,policy_name_clustering!$C$13,D265=policy_name_clustering!$A$14,policy_name_clustering!$C$14,D265=policy_name_clustering!$A$15,policy_name_clustering!$C$15,D265=policy_name_clustering!$A$16,policy_name_clustering!$C$16,D265="-","",D265=policy_name_clustering!$A$4,policy_name_clustering!$C$4)</f>
        <v/>
      </c>
      <c r="G265">
        <f>wind_cump_cap!C250</f>
        <v>412</v>
      </c>
      <c r="H265">
        <f>estimated_capacity!C242</f>
        <v>497.00288662283702</v>
      </c>
      <c r="I265" cm="1">
        <f t="array" ref="I265">_xlfn.IFS(D265= ""," ",D265&lt;&gt; " ",F265*(G265/H265))</f>
        <v>0</v>
      </c>
      <c r="J265" cm="1">
        <f t="array" ref="J265">_xlfn.IFS(D265= ""," ",D265&lt;&gt; " ",(H265-F265)*(G265/H265))</f>
        <v>412</v>
      </c>
      <c r="K265" cm="1">
        <f t="array" ref="K265">IF(ISNUMBER(H265),_xlfn.IFS(D265= ""," ",D265&lt;&gt; " ",F265*(G265/H265)),"")</f>
        <v>0</v>
      </c>
    </row>
    <row r="266" spans="1:11" x14ac:dyDescent="0.35">
      <c r="A266" t="s">
        <v>10</v>
      </c>
      <c r="B266">
        <v>2001</v>
      </c>
      <c r="D266" s="15" t="s">
        <v>137</v>
      </c>
      <c r="E266" t="str" cm="1">
        <f t="array" ref="E266">_xlfn.IFS(D266=policy_name_clustering!$A$2,policy_name_clustering!$C$2,D266=policy_name_clustering!$A$3,policy_name_clustering!$C$3,D266=policy_name_clustering!$A$5,policy_name_clustering!$C$5,D266=policy_name_clustering!$A$6,policy_name_clustering!$C$6,D266=policy_name_clustering!$A$7,policy_name_clustering!$C$7,D266=policy_name_clustering!$A$8,policy_name_clustering!$C$8,D266=policy_name_clustering!$A$9,policy_name_clustering!$C$9,D266=policy_name_clustering!$A$10,policy_name_clustering!$C$10,D266=policy_name_clustering!$A$11,policy_name_clustering!$C$11,D266=policy_name_clustering!$A$12,policy_name_clustering!$C$12,D266=policy_name_clustering!$A$13,policy_name_clustering!$C$13,D266=policy_name_clustering!$A$14,policy_name_clustering!$C$14,D266=policy_name_clustering!$A$15,policy_name_clustering!$C$15,D266=policy_name_clustering!$A$16,policy_name_clustering!$C$16,D266="-","",D266=policy_name_clustering!$A$4,policy_name_clustering!$C$4)</f>
        <v/>
      </c>
      <c r="G266">
        <f>wind_cump_cap!C251</f>
        <v>493</v>
      </c>
      <c r="H266">
        <f>estimated_capacity!C243</f>
        <v>609.94233240341396</v>
      </c>
      <c r="I266" cm="1">
        <f t="array" ref="I266">_xlfn.IFS(D266= ""," ",D266&lt;&gt; " ",F266*(G266/H266))</f>
        <v>0</v>
      </c>
      <c r="J266" cm="1">
        <f t="array" ref="J266">_xlfn.IFS(D266= ""," ",D266&lt;&gt; " ",(H266-F266)*(G266/H266))</f>
        <v>493</v>
      </c>
      <c r="K266" cm="1">
        <f t="array" ref="K266">IF(ISNUMBER(H266),_xlfn.IFS(D266= ""," ",D266&lt;&gt; " ",F266*(G266/H266)),"")</f>
        <v>0</v>
      </c>
    </row>
    <row r="267" spans="1:11" x14ac:dyDescent="0.35">
      <c r="A267" t="s">
        <v>10</v>
      </c>
      <c r="B267">
        <v>2002</v>
      </c>
      <c r="D267" s="15" t="s">
        <v>137</v>
      </c>
      <c r="E267" t="str" cm="1">
        <f t="array" ref="E267">_xlfn.IFS(D267=policy_name_clustering!$A$2,policy_name_clustering!$C$2,D267=policy_name_clustering!$A$3,policy_name_clustering!$C$3,D267=policy_name_clustering!$A$5,policy_name_clustering!$C$5,D267=policy_name_clustering!$A$6,policy_name_clustering!$C$6,D267=policy_name_clustering!$A$7,policy_name_clustering!$C$7,D267=policy_name_clustering!$A$8,policy_name_clustering!$C$8,D267=policy_name_clustering!$A$9,policy_name_clustering!$C$9,D267=policy_name_clustering!$A$10,policy_name_clustering!$C$10,D267=policy_name_clustering!$A$11,policy_name_clustering!$C$11,D267=policy_name_clustering!$A$12,policy_name_clustering!$C$12,D267=policy_name_clustering!$A$13,policy_name_clustering!$C$13,D267=policy_name_clustering!$A$14,policy_name_clustering!$C$14,D267=policy_name_clustering!$A$15,policy_name_clustering!$C$15,D267=policy_name_clustering!$A$16,policy_name_clustering!$C$16,D267="-","",D267=policy_name_clustering!$A$4,policy_name_clustering!$C$4)</f>
        <v/>
      </c>
      <c r="G267">
        <f>wind_cump_cap!C252</f>
        <v>534</v>
      </c>
      <c r="H267">
        <f>estimated_capacity!C244</f>
        <v>725.64607947902903</v>
      </c>
      <c r="I267" cm="1">
        <f t="array" ref="I267">_xlfn.IFS(D267= ""," ",D267&lt;&gt; " ",F267*(G267/H267))</f>
        <v>0</v>
      </c>
      <c r="J267" cm="1">
        <f t="array" ref="J267">_xlfn.IFS(D267= ""," ",D267&lt;&gt; " ",(H267-F267)*(G267/H267))</f>
        <v>534</v>
      </c>
      <c r="K267" cm="1">
        <f t="array" ref="K267">IF(ISNUMBER(H267),_xlfn.IFS(D267= ""," ",D267&lt;&gt; " ",F267*(G267/H267)),"")</f>
        <v>0</v>
      </c>
    </row>
    <row r="268" spans="1:11" ht="43.5" x14ac:dyDescent="0.35">
      <c r="A268" t="s">
        <v>10</v>
      </c>
      <c r="B268">
        <v>2003</v>
      </c>
      <c r="C268" s="3" t="s">
        <v>97</v>
      </c>
      <c r="D268" s="3" t="s">
        <v>163</v>
      </c>
      <c r="E268" t="str" cm="1">
        <f t="array" ref="E268">_xlfn.IFS(D268=policy_name_clustering!$A$2,policy_name_clustering!$C$2,D268=policy_name_clustering!$A$3,policy_name_clustering!$C$3,D268=policy_name_clustering!$A$5,policy_name_clustering!$C$5,D268=policy_name_clustering!$A$6,policy_name_clustering!$C$6,D268=policy_name_clustering!$A$7,policy_name_clustering!$C$7,D268=policy_name_clustering!$A$8,policy_name_clustering!$C$8,D268=policy_name_clustering!$A$9,policy_name_clustering!$C$9,D268=policy_name_clustering!$A$10,policy_name_clustering!$C$10,D268=policy_name_clustering!$A$11,policy_name_clustering!$C$11,D268=policy_name_clustering!$A$12,policy_name_clustering!$C$12,D268=policy_name_clustering!$A$13,policy_name_clustering!$C$13,D268=policy_name_clustering!$A$14,policy_name_clustering!$C$14,D268=policy_name_clustering!$A$15,policy_name_clustering!$C$15,D268=policy_name_clustering!$A$16,policy_name_clustering!$C$16,D268="-","",D268=policy_name_clustering!$A$4,policy_name_clustering!$C$4)</f>
        <v>Policy mix</v>
      </c>
      <c r="F268">
        <f>policy_contributions_cum!F107</f>
        <v>57.998455716731399</v>
      </c>
      <c r="G268">
        <f>wind_cump_cap!C253</f>
        <v>742</v>
      </c>
      <c r="H268">
        <f>estimated_capacity!C245</f>
        <v>916.72144817708102</v>
      </c>
      <c r="I268" cm="1">
        <f t="array" ref="I268">_xlfn.IFS(D268= ""," ",D268&lt;&gt; " ",F268*(G268/H268))</f>
        <v>46.944308140046651</v>
      </c>
      <c r="J268" cm="1">
        <f t="array" ref="J268">_xlfn.IFS(D268= ""," ",D268&lt;&gt; " ",(H268-F268)*(G268/H268))</f>
        <v>695.0556918599533</v>
      </c>
      <c r="K268" cm="1">
        <f t="array" ref="K268">IF(ISNUMBER(H268),_xlfn.IFS(D268= ""," ",D268&lt;&gt; " ",F268*(G268/H268)),"")</f>
        <v>46.944308140046651</v>
      </c>
    </row>
    <row r="269" spans="1:11" x14ac:dyDescent="0.35">
      <c r="A269" t="s">
        <v>10</v>
      </c>
      <c r="B269">
        <v>2004</v>
      </c>
      <c r="C269" t="s">
        <v>98</v>
      </c>
      <c r="D269" s="3" t="s">
        <v>163</v>
      </c>
      <c r="E269" t="str" cm="1">
        <f t="array" ref="E269">_xlfn.IFS(D269=policy_name_clustering!$A$2,policy_name_clustering!$C$2,D269=policy_name_clustering!$A$3,policy_name_clustering!$C$3,D269=policy_name_clustering!$A$5,policy_name_clustering!$C$5,D269=policy_name_clustering!$A$6,policy_name_clustering!$C$6,D269=policy_name_clustering!$A$7,policy_name_clustering!$C$7,D269=policy_name_clustering!$A$8,policy_name_clustering!$C$8,D269=policy_name_clustering!$A$9,policy_name_clustering!$C$9,D269=policy_name_clustering!$A$10,policy_name_clustering!$C$10,D269=policy_name_clustering!$A$11,policy_name_clustering!$C$11,D269=policy_name_clustering!$A$12,policy_name_clustering!$C$12,D269=policy_name_clustering!$A$13,policy_name_clustering!$C$13,D269=policy_name_clustering!$A$14,policy_name_clustering!$C$14,D269=policy_name_clustering!$A$15,policy_name_clustering!$C$15,D269=policy_name_clustering!$A$16,policy_name_clustering!$C$16,D269="-","",D269=policy_name_clustering!$A$4,policy_name_clustering!$C$4)</f>
        <v>Policy mix</v>
      </c>
      <c r="F269">
        <f>policy_contributions_cum!F108</f>
        <v>185.24782305254101</v>
      </c>
      <c r="G269">
        <f>wind_cump_cap!C254</f>
        <v>933</v>
      </c>
      <c r="H269">
        <f>estimated_capacity!C246</f>
        <v>1171.48976680994</v>
      </c>
      <c r="I269" cm="1">
        <f t="array" ref="I269">_xlfn.IFS(D269= ""," ",D269&lt;&gt; " ",F269*(G269/H269))</f>
        <v>147.53540645828053</v>
      </c>
      <c r="J269" cm="1">
        <f t="array" ref="J269">_xlfn.IFS(D269= ""," ",D269&lt;&gt; " ",(H269-F269)*(G269/H269))</f>
        <v>785.46459354171952</v>
      </c>
      <c r="K269" cm="1">
        <f t="array" ref="K269">IF(ISNUMBER(H269),_xlfn.IFS(D269= ""," ",D269&lt;&gt; " ",F269*(G269/H269)),"")</f>
        <v>147.53540645828053</v>
      </c>
    </row>
    <row r="270" spans="1:11" ht="43.5" x14ac:dyDescent="0.35">
      <c r="A270" t="s">
        <v>10</v>
      </c>
      <c r="B270">
        <v>2005</v>
      </c>
      <c r="C270" s="3" t="s">
        <v>99</v>
      </c>
      <c r="D270" s="3" t="s">
        <v>163</v>
      </c>
      <c r="E270" t="str" cm="1">
        <f t="array" ref="E270">_xlfn.IFS(D270=policy_name_clustering!$A$2,policy_name_clustering!$C$2,D270=policy_name_clustering!$A$3,policy_name_clustering!$C$3,D270=policy_name_clustering!$A$5,policy_name_clustering!$C$5,D270=policy_name_clustering!$A$6,policy_name_clustering!$C$6,D270=policy_name_clustering!$A$7,policy_name_clustering!$C$7,D270=policy_name_clustering!$A$8,policy_name_clustering!$C$8,D270=policy_name_clustering!$A$9,policy_name_clustering!$C$9,D270=policy_name_clustering!$A$10,policy_name_clustering!$C$10,D270=policy_name_clustering!$A$11,policy_name_clustering!$C$11,D270=policy_name_clustering!$A$12,policy_name_clustering!$C$12,D270=policy_name_clustering!$A$13,policy_name_clustering!$C$13,D270=policy_name_clustering!$A$14,policy_name_clustering!$C$14,D270=policy_name_clustering!$A$15,policy_name_clustering!$C$15,D270=policy_name_clustering!$A$16,policy_name_clustering!$C$16,D270="-","",D270=policy_name_clustering!$A$4,policy_name_clustering!$C$4)</f>
        <v>Policy mix</v>
      </c>
      <c r="F270">
        <f>policy_contributions_cum!F109</f>
        <v>418.72210763046502</v>
      </c>
      <c r="G270">
        <f>wind_cump_cap!C255</f>
        <v>1565</v>
      </c>
      <c r="H270">
        <f>estimated_capacity!C247</f>
        <v>1551.77096994717</v>
      </c>
      <c r="I270" cm="1">
        <f t="array" ref="I270">_xlfn.IFS(D270= ""," ",D270&lt;&gt; " ",F270*(G270/H270))</f>
        <v>422.29176285208337</v>
      </c>
      <c r="J270" cm="1">
        <f t="array" ref="J270">_xlfn.IFS(D270= ""," ",D270&lt;&gt; " ",(H270-F270)*(G270/H270))</f>
        <v>1142.7082371479166</v>
      </c>
      <c r="K270" cm="1">
        <f t="array" ref="K270">IF(ISNUMBER(H270),_xlfn.IFS(D270= ""," ",D270&lt;&gt; " ",F270*(G270/H270)),"")</f>
        <v>422.29176285208337</v>
      </c>
    </row>
    <row r="271" spans="1:11" x14ac:dyDescent="0.35">
      <c r="A271" t="s">
        <v>10</v>
      </c>
      <c r="B271">
        <v>2006</v>
      </c>
      <c r="D271" s="13" t="s">
        <v>163</v>
      </c>
      <c r="E271" t="str" cm="1">
        <f t="array" ref="E271">_xlfn.IFS(D271=policy_name_clustering!$A$2,policy_name_clustering!$C$2,D271=policy_name_clustering!$A$3,policy_name_clustering!$C$3,D271=policy_name_clustering!$A$5,policy_name_clustering!$C$5,D271=policy_name_clustering!$A$6,policy_name_clustering!$C$6,D271=policy_name_clustering!$A$7,policy_name_clustering!$C$7,D271=policy_name_clustering!$A$8,policy_name_clustering!$C$8,D271=policy_name_clustering!$A$9,policy_name_clustering!$C$9,D271=policy_name_clustering!$A$10,policy_name_clustering!$C$10,D271=policy_name_clustering!$A$11,policy_name_clustering!$C$11,D271=policy_name_clustering!$A$12,policy_name_clustering!$C$12,D271=policy_name_clustering!$A$13,policy_name_clustering!$C$13,D271=policy_name_clustering!$A$14,policy_name_clustering!$C$14,D271=policy_name_clustering!$A$15,policy_name_clustering!$C$15,D271=policy_name_clustering!$A$16,policy_name_clustering!$C$16,D271="-","",D271=policy_name_clustering!$A$4,policy_name_clustering!$C$4)</f>
        <v>Policy mix</v>
      </c>
      <c r="I271">
        <f>I270</f>
        <v>422.29176285208337</v>
      </c>
      <c r="K271" t="str" cm="1">
        <f t="array" ref="K271">IF(ISNUMBER(H271),_xlfn.IFS(D271= ""," ",D271&lt;&gt; " ",F271*(G271/H271)),"")</f>
        <v/>
      </c>
    </row>
    <row r="272" spans="1:11" x14ac:dyDescent="0.35">
      <c r="A272" t="s">
        <v>10</v>
      </c>
      <c r="B272">
        <v>2007</v>
      </c>
      <c r="D272" s="13" t="s">
        <v>163</v>
      </c>
      <c r="E272" t="str" cm="1">
        <f t="array" ref="E272">_xlfn.IFS(D272=policy_name_clustering!$A$2,policy_name_clustering!$C$2,D272=policy_name_clustering!$A$3,policy_name_clustering!$C$3,D272=policy_name_clustering!$A$5,policy_name_clustering!$C$5,D272=policy_name_clustering!$A$6,policy_name_clustering!$C$6,D272=policy_name_clustering!$A$7,policy_name_clustering!$C$7,D272=policy_name_clustering!$A$8,policy_name_clustering!$C$8,D272=policy_name_clustering!$A$9,policy_name_clustering!$C$9,D272=policy_name_clustering!$A$10,policy_name_clustering!$C$10,D272=policy_name_clustering!$A$11,policy_name_clustering!$C$11,D272=policy_name_clustering!$A$12,policy_name_clustering!$C$12,D272=policy_name_clustering!$A$13,policy_name_clustering!$C$13,D272=policy_name_clustering!$A$14,policy_name_clustering!$C$14,D272=policy_name_clustering!$A$15,policy_name_clustering!$C$15,D272=policy_name_clustering!$A$16,policy_name_clustering!$C$16,D272="-","",D272=policy_name_clustering!$A$4,policy_name_clustering!$C$4)</f>
        <v>Policy mix</v>
      </c>
      <c r="I272">
        <f t="shared" ref="I272:I288" si="4">I271</f>
        <v>422.29176285208337</v>
      </c>
      <c r="K272" t="str" cm="1">
        <f t="array" ref="K272">IF(ISNUMBER(H272),_xlfn.IFS(D272= ""," ",D272&lt;&gt; " ",F272*(G272/H272)),"")</f>
        <v/>
      </c>
    </row>
    <row r="273" spans="1:11" x14ac:dyDescent="0.35">
      <c r="A273" t="s">
        <v>10</v>
      </c>
      <c r="B273">
        <v>2008</v>
      </c>
      <c r="D273" s="13" t="s">
        <v>163</v>
      </c>
      <c r="E273" t="str" cm="1">
        <f t="array" ref="E273">_xlfn.IFS(D273=policy_name_clustering!$A$2,policy_name_clustering!$C$2,D273=policy_name_clustering!$A$3,policy_name_clustering!$C$3,D273=policy_name_clustering!$A$5,policy_name_clustering!$C$5,D273=policy_name_clustering!$A$6,policy_name_clustering!$C$6,D273=policy_name_clustering!$A$7,policy_name_clustering!$C$7,D273=policy_name_clustering!$A$8,policy_name_clustering!$C$8,D273=policy_name_clustering!$A$9,policy_name_clustering!$C$9,D273=policy_name_clustering!$A$10,policy_name_clustering!$C$10,D273=policy_name_clustering!$A$11,policy_name_clustering!$C$11,D273=policy_name_clustering!$A$12,policy_name_clustering!$C$12,D273=policy_name_clustering!$A$13,policy_name_clustering!$C$13,D273=policy_name_clustering!$A$14,policy_name_clustering!$C$14,D273=policy_name_clustering!$A$15,policy_name_clustering!$C$15,D273=policy_name_clustering!$A$16,policy_name_clustering!$C$16,D273="-","",D273=policy_name_clustering!$A$4,policy_name_clustering!$C$4)</f>
        <v>Policy mix</v>
      </c>
      <c r="I273">
        <f t="shared" si="4"/>
        <v>422.29176285208337</v>
      </c>
      <c r="K273" t="str" cm="1">
        <f t="array" ref="K273">IF(ISNUMBER(H273),_xlfn.IFS(D273= ""," ",D273&lt;&gt; " ",F273*(G273/H273)),"")</f>
        <v/>
      </c>
    </row>
    <row r="274" spans="1:11" x14ac:dyDescent="0.35">
      <c r="A274" t="s">
        <v>10</v>
      </c>
      <c r="B274">
        <v>2009</v>
      </c>
      <c r="D274" s="13" t="s">
        <v>163</v>
      </c>
      <c r="E274" t="str" cm="1">
        <f t="array" ref="E274">_xlfn.IFS(D274=policy_name_clustering!$A$2,policy_name_clustering!$C$2,D274=policy_name_clustering!$A$3,policy_name_clustering!$C$3,D274=policy_name_clustering!$A$5,policy_name_clustering!$C$5,D274=policy_name_clustering!$A$6,policy_name_clustering!$C$6,D274=policy_name_clustering!$A$7,policy_name_clustering!$C$7,D274=policy_name_clustering!$A$8,policy_name_clustering!$C$8,D274=policy_name_clustering!$A$9,policy_name_clustering!$C$9,D274=policy_name_clustering!$A$10,policy_name_clustering!$C$10,D274=policy_name_clustering!$A$11,policy_name_clustering!$C$11,D274=policy_name_clustering!$A$12,policy_name_clustering!$C$12,D274=policy_name_clustering!$A$13,policy_name_clustering!$C$13,D274=policy_name_clustering!$A$14,policy_name_clustering!$C$14,D274=policy_name_clustering!$A$15,policy_name_clustering!$C$15,D274=policy_name_clustering!$A$16,policy_name_clustering!$C$16,D274="-","",D274=policy_name_clustering!$A$4,policy_name_clustering!$C$4)</f>
        <v>Policy mix</v>
      </c>
      <c r="I274">
        <f t="shared" si="4"/>
        <v>422.29176285208337</v>
      </c>
      <c r="K274" t="str" cm="1">
        <f t="array" ref="K274">IF(ISNUMBER(H274),_xlfn.IFS(D274= ""," ",D274&lt;&gt; " ",F274*(G274/H274)),"")</f>
        <v/>
      </c>
    </row>
    <row r="275" spans="1:11" x14ac:dyDescent="0.35">
      <c r="A275" t="s">
        <v>10</v>
      </c>
      <c r="B275">
        <v>2010</v>
      </c>
      <c r="D275" s="13" t="s">
        <v>163</v>
      </c>
      <c r="E275" t="str" cm="1">
        <f t="array" ref="E275">_xlfn.IFS(D275=policy_name_clustering!$A$2,policy_name_clustering!$C$2,D275=policy_name_clustering!$A$3,policy_name_clustering!$C$3,D275=policy_name_clustering!$A$5,policy_name_clustering!$C$5,D275=policy_name_clustering!$A$6,policy_name_clustering!$C$6,D275=policy_name_clustering!$A$7,policy_name_clustering!$C$7,D275=policy_name_clustering!$A$8,policy_name_clustering!$C$8,D275=policy_name_clustering!$A$9,policy_name_clustering!$C$9,D275=policy_name_clustering!$A$10,policy_name_clustering!$C$10,D275=policy_name_clustering!$A$11,policy_name_clustering!$C$11,D275=policy_name_clustering!$A$12,policy_name_clustering!$C$12,D275=policy_name_clustering!$A$13,policy_name_clustering!$C$13,D275=policy_name_clustering!$A$14,policy_name_clustering!$C$14,D275=policy_name_clustering!$A$15,policy_name_clustering!$C$15,D275=policy_name_clustering!$A$16,policy_name_clustering!$C$16,D275="-","",D275=policy_name_clustering!$A$4,policy_name_clustering!$C$4)</f>
        <v>Policy mix</v>
      </c>
      <c r="I275">
        <f t="shared" si="4"/>
        <v>422.29176285208337</v>
      </c>
      <c r="K275" t="str" cm="1">
        <f t="array" ref="K275">IF(ISNUMBER(H275),_xlfn.IFS(D275= ""," ",D275&lt;&gt; " ",F275*(G275/H275)),"")</f>
        <v/>
      </c>
    </row>
    <row r="276" spans="1:11" x14ac:dyDescent="0.35">
      <c r="A276" t="s">
        <v>10</v>
      </c>
      <c r="B276">
        <v>2011</v>
      </c>
      <c r="D276" s="13" t="s">
        <v>163</v>
      </c>
      <c r="E276" t="str" cm="1">
        <f t="array" ref="E276">_xlfn.IFS(D276=policy_name_clustering!$A$2,policy_name_clustering!$C$2,D276=policy_name_clustering!$A$3,policy_name_clustering!$C$3,D276=policy_name_clustering!$A$5,policy_name_clustering!$C$5,D276=policy_name_clustering!$A$6,policy_name_clustering!$C$6,D276=policy_name_clustering!$A$7,policy_name_clustering!$C$7,D276=policy_name_clustering!$A$8,policy_name_clustering!$C$8,D276=policy_name_clustering!$A$9,policy_name_clustering!$C$9,D276=policy_name_clustering!$A$10,policy_name_clustering!$C$10,D276=policy_name_clustering!$A$11,policy_name_clustering!$C$11,D276=policy_name_clustering!$A$12,policy_name_clustering!$C$12,D276=policy_name_clustering!$A$13,policy_name_clustering!$C$13,D276=policy_name_clustering!$A$14,policy_name_clustering!$C$14,D276=policy_name_clustering!$A$15,policy_name_clustering!$C$15,D276=policy_name_clustering!$A$16,policy_name_clustering!$C$16,D276="-","",D276=policy_name_clustering!$A$4,policy_name_clustering!$C$4)</f>
        <v>Policy mix</v>
      </c>
      <c r="I276">
        <f t="shared" si="4"/>
        <v>422.29176285208337</v>
      </c>
      <c r="K276" t="str" cm="1">
        <f t="array" ref="K276">IF(ISNUMBER(H276),_xlfn.IFS(D276= ""," ",D276&lt;&gt; " ",F276*(G276/H276)),"")</f>
        <v/>
      </c>
    </row>
    <row r="277" spans="1:11" x14ac:dyDescent="0.35">
      <c r="A277" t="s">
        <v>10</v>
      </c>
      <c r="B277">
        <v>2012</v>
      </c>
      <c r="D277" s="13" t="s">
        <v>163</v>
      </c>
      <c r="E277" t="str" cm="1">
        <f t="array" ref="E277">_xlfn.IFS(D277=policy_name_clustering!$A$2,policy_name_clustering!$C$2,D277=policy_name_clustering!$A$3,policy_name_clustering!$C$3,D277=policy_name_clustering!$A$5,policy_name_clustering!$C$5,D277=policy_name_clustering!$A$6,policy_name_clustering!$C$6,D277=policy_name_clustering!$A$7,policy_name_clustering!$C$7,D277=policy_name_clustering!$A$8,policy_name_clustering!$C$8,D277=policy_name_clustering!$A$9,policy_name_clustering!$C$9,D277=policy_name_clustering!$A$10,policy_name_clustering!$C$10,D277=policy_name_clustering!$A$11,policy_name_clustering!$C$11,D277=policy_name_clustering!$A$12,policy_name_clustering!$C$12,D277=policy_name_clustering!$A$13,policy_name_clustering!$C$13,D277=policy_name_clustering!$A$14,policy_name_clustering!$C$14,D277=policy_name_clustering!$A$15,policy_name_clustering!$C$15,D277=policy_name_clustering!$A$16,policy_name_clustering!$C$16,D277="-","",D277=policy_name_clustering!$A$4,policy_name_clustering!$C$4)</f>
        <v>Policy mix</v>
      </c>
      <c r="I277">
        <f t="shared" si="4"/>
        <v>422.29176285208337</v>
      </c>
      <c r="K277" t="str" cm="1">
        <f t="array" ref="K277">IF(ISNUMBER(H277),_xlfn.IFS(D277= ""," ",D277&lt;&gt; " ",F277*(G277/H277)),"")</f>
        <v/>
      </c>
    </row>
    <row r="278" spans="1:11" x14ac:dyDescent="0.35">
      <c r="A278" t="s">
        <v>10</v>
      </c>
      <c r="B278">
        <v>2013</v>
      </c>
      <c r="D278" s="13" t="s">
        <v>163</v>
      </c>
      <c r="E278" t="str" cm="1">
        <f t="array" ref="E278">_xlfn.IFS(D278=policy_name_clustering!$A$2,policy_name_clustering!$C$2,D278=policy_name_clustering!$A$3,policy_name_clustering!$C$3,D278=policy_name_clustering!$A$5,policy_name_clustering!$C$5,D278=policy_name_clustering!$A$6,policy_name_clustering!$C$6,D278=policy_name_clustering!$A$7,policy_name_clustering!$C$7,D278=policy_name_clustering!$A$8,policy_name_clustering!$C$8,D278=policy_name_clustering!$A$9,policy_name_clustering!$C$9,D278=policy_name_clustering!$A$10,policy_name_clustering!$C$10,D278=policy_name_clustering!$A$11,policy_name_clustering!$C$11,D278=policy_name_clustering!$A$12,policy_name_clustering!$C$12,D278=policy_name_clustering!$A$13,policy_name_clustering!$C$13,D278=policy_name_clustering!$A$14,policy_name_clustering!$C$14,D278=policy_name_clustering!$A$15,policy_name_clustering!$C$15,D278=policy_name_clustering!$A$16,policy_name_clustering!$C$16,D278="-","",D278=policy_name_clustering!$A$4,policy_name_clustering!$C$4)</f>
        <v>Policy mix</v>
      </c>
      <c r="I278">
        <f t="shared" si="4"/>
        <v>422.29176285208337</v>
      </c>
      <c r="K278" t="str" cm="1">
        <f t="array" ref="K278">IF(ISNUMBER(H278),_xlfn.IFS(D278= ""," ",D278&lt;&gt; " ",F278*(G278/H278)),"")</f>
        <v/>
      </c>
    </row>
    <row r="279" spans="1:11" x14ac:dyDescent="0.35">
      <c r="A279" t="s">
        <v>10</v>
      </c>
      <c r="B279">
        <v>2014</v>
      </c>
      <c r="D279" s="13" t="s">
        <v>163</v>
      </c>
      <c r="E279" t="str" cm="1">
        <f t="array" ref="E279">_xlfn.IFS(D279=policy_name_clustering!$A$2,policy_name_clustering!$C$2,D279=policy_name_clustering!$A$3,policy_name_clustering!$C$3,D279=policy_name_clustering!$A$5,policy_name_clustering!$C$5,D279=policy_name_clustering!$A$6,policy_name_clustering!$C$6,D279=policy_name_clustering!$A$7,policy_name_clustering!$C$7,D279=policy_name_clustering!$A$8,policy_name_clustering!$C$8,D279=policy_name_clustering!$A$9,policy_name_clustering!$C$9,D279=policy_name_clustering!$A$10,policy_name_clustering!$C$10,D279=policy_name_clustering!$A$11,policy_name_clustering!$C$11,D279=policy_name_clustering!$A$12,policy_name_clustering!$C$12,D279=policy_name_clustering!$A$13,policy_name_clustering!$C$13,D279=policy_name_clustering!$A$14,policy_name_clustering!$C$14,D279=policy_name_clustering!$A$15,policy_name_clustering!$C$15,D279=policy_name_clustering!$A$16,policy_name_clustering!$C$16,D279="-","",D279=policy_name_clustering!$A$4,policy_name_clustering!$C$4)</f>
        <v>Policy mix</v>
      </c>
      <c r="I279">
        <f t="shared" si="4"/>
        <v>422.29176285208337</v>
      </c>
      <c r="K279" t="str" cm="1">
        <f t="array" ref="K279">IF(ISNUMBER(H279),_xlfn.IFS(D279= ""," ",D279&lt;&gt; " ",F279*(G279/H279)),"")</f>
        <v/>
      </c>
    </row>
    <row r="280" spans="1:11" x14ac:dyDescent="0.35">
      <c r="A280" t="s">
        <v>10</v>
      </c>
      <c r="B280">
        <v>2015</v>
      </c>
      <c r="D280" s="13" t="s">
        <v>163</v>
      </c>
      <c r="E280" t="str" cm="1">
        <f t="array" ref="E280">_xlfn.IFS(D280=policy_name_clustering!$A$2,policy_name_clustering!$C$2,D280=policy_name_clustering!$A$3,policy_name_clustering!$C$3,D280=policy_name_clustering!$A$5,policy_name_clustering!$C$5,D280=policy_name_clustering!$A$6,policy_name_clustering!$C$6,D280=policy_name_clustering!$A$7,policy_name_clustering!$C$7,D280=policy_name_clustering!$A$8,policy_name_clustering!$C$8,D280=policy_name_clustering!$A$9,policy_name_clustering!$C$9,D280=policy_name_clustering!$A$10,policy_name_clustering!$C$10,D280=policy_name_clustering!$A$11,policy_name_clustering!$C$11,D280=policy_name_clustering!$A$12,policy_name_clustering!$C$12,D280=policy_name_clustering!$A$13,policy_name_clustering!$C$13,D280=policy_name_clustering!$A$14,policy_name_clustering!$C$14,D280=policy_name_clustering!$A$15,policy_name_clustering!$C$15,D280=policy_name_clustering!$A$16,policy_name_clustering!$C$16,D280="-","",D280=policy_name_clustering!$A$4,policy_name_clustering!$C$4)</f>
        <v>Policy mix</v>
      </c>
      <c r="I280">
        <f t="shared" si="4"/>
        <v>422.29176285208337</v>
      </c>
      <c r="K280" t="str" cm="1">
        <f t="array" ref="K280">IF(ISNUMBER(H280),_xlfn.IFS(D280= ""," ",D280&lt;&gt; " ",F280*(G280/H280)),"")</f>
        <v/>
      </c>
    </row>
    <row r="281" spans="1:11" x14ac:dyDescent="0.35">
      <c r="A281" t="s">
        <v>10</v>
      </c>
      <c r="B281">
        <v>2016</v>
      </c>
      <c r="D281" s="13" t="s">
        <v>163</v>
      </c>
      <c r="E281" t="str" cm="1">
        <f t="array" ref="E281">_xlfn.IFS(D281=policy_name_clustering!$A$2,policy_name_clustering!$C$2,D281=policy_name_clustering!$A$3,policy_name_clustering!$C$3,D281=policy_name_clustering!$A$5,policy_name_clustering!$C$5,D281=policy_name_clustering!$A$6,policy_name_clustering!$C$6,D281=policy_name_clustering!$A$7,policy_name_clustering!$C$7,D281=policy_name_clustering!$A$8,policy_name_clustering!$C$8,D281=policy_name_clustering!$A$9,policy_name_clustering!$C$9,D281=policy_name_clustering!$A$10,policy_name_clustering!$C$10,D281=policy_name_clustering!$A$11,policy_name_clustering!$C$11,D281=policy_name_clustering!$A$12,policy_name_clustering!$C$12,D281=policy_name_clustering!$A$13,policy_name_clustering!$C$13,D281=policy_name_clustering!$A$14,policy_name_clustering!$C$14,D281=policy_name_clustering!$A$15,policy_name_clustering!$C$15,D281=policy_name_clustering!$A$16,policy_name_clustering!$C$16,D281="-","",D281=policy_name_clustering!$A$4,policy_name_clustering!$C$4)</f>
        <v>Policy mix</v>
      </c>
      <c r="I281">
        <f t="shared" si="4"/>
        <v>422.29176285208337</v>
      </c>
      <c r="K281" t="str" cm="1">
        <f t="array" ref="K281">IF(ISNUMBER(H281),_xlfn.IFS(D281= ""," ",D281&lt;&gt; " ",F281*(G281/H281)),"")</f>
        <v/>
      </c>
    </row>
    <row r="282" spans="1:11" x14ac:dyDescent="0.35">
      <c r="A282" t="s">
        <v>10</v>
      </c>
      <c r="B282">
        <v>2017</v>
      </c>
      <c r="D282" s="13" t="s">
        <v>163</v>
      </c>
      <c r="E282" t="str" cm="1">
        <f t="array" ref="E282">_xlfn.IFS(D282=policy_name_clustering!$A$2,policy_name_clustering!$C$2,D282=policy_name_clustering!$A$3,policy_name_clustering!$C$3,D282=policy_name_clustering!$A$5,policy_name_clustering!$C$5,D282=policy_name_clustering!$A$6,policy_name_clustering!$C$6,D282=policy_name_clustering!$A$7,policy_name_clustering!$C$7,D282=policy_name_clustering!$A$8,policy_name_clustering!$C$8,D282=policy_name_clustering!$A$9,policy_name_clustering!$C$9,D282=policy_name_clustering!$A$10,policy_name_clustering!$C$10,D282=policy_name_clustering!$A$11,policy_name_clustering!$C$11,D282=policy_name_clustering!$A$12,policy_name_clustering!$C$12,D282=policy_name_clustering!$A$13,policy_name_clustering!$C$13,D282=policy_name_clustering!$A$14,policy_name_clustering!$C$14,D282=policy_name_clustering!$A$15,policy_name_clustering!$C$15,D282=policy_name_clustering!$A$16,policy_name_clustering!$C$16,D282="-","",D282=policy_name_clustering!$A$4,policy_name_clustering!$C$4)</f>
        <v>Policy mix</v>
      </c>
      <c r="I282">
        <f t="shared" si="4"/>
        <v>422.29176285208337</v>
      </c>
      <c r="K282" t="str" cm="1">
        <f t="array" ref="K282">IF(ISNUMBER(H282),_xlfn.IFS(D282= ""," ",D282&lt;&gt; " ",F282*(G282/H282)),"")</f>
        <v/>
      </c>
    </row>
    <row r="283" spans="1:11" x14ac:dyDescent="0.35">
      <c r="A283" t="s">
        <v>10</v>
      </c>
      <c r="B283">
        <v>2018</v>
      </c>
      <c r="D283" s="13" t="s">
        <v>163</v>
      </c>
      <c r="E283" t="str" cm="1">
        <f t="array" ref="E283">_xlfn.IFS(D283=policy_name_clustering!$A$2,policy_name_clustering!$C$2,D283=policy_name_clustering!$A$3,policy_name_clustering!$C$3,D283=policy_name_clustering!$A$5,policy_name_clustering!$C$5,D283=policy_name_clustering!$A$6,policy_name_clustering!$C$6,D283=policy_name_clustering!$A$7,policy_name_clustering!$C$7,D283=policy_name_clustering!$A$8,policy_name_clustering!$C$8,D283=policy_name_clustering!$A$9,policy_name_clustering!$C$9,D283=policy_name_clustering!$A$10,policy_name_clustering!$C$10,D283=policy_name_clustering!$A$11,policy_name_clustering!$C$11,D283=policy_name_clustering!$A$12,policy_name_clustering!$C$12,D283=policy_name_clustering!$A$13,policy_name_clustering!$C$13,D283=policy_name_clustering!$A$14,policy_name_clustering!$C$14,D283=policy_name_clustering!$A$15,policy_name_clustering!$C$15,D283=policy_name_clustering!$A$16,policy_name_clustering!$C$16,D283="-","",D283=policy_name_clustering!$A$4,policy_name_clustering!$C$4)</f>
        <v>Policy mix</v>
      </c>
      <c r="I283">
        <f t="shared" si="4"/>
        <v>422.29176285208337</v>
      </c>
      <c r="K283" t="str" cm="1">
        <f t="array" ref="K283">IF(ISNUMBER(H283),_xlfn.IFS(D283= ""," ",D283&lt;&gt; " ",F283*(G283/H283)),"")</f>
        <v/>
      </c>
    </row>
    <row r="284" spans="1:11" x14ac:dyDescent="0.35">
      <c r="A284" t="s">
        <v>10</v>
      </c>
      <c r="B284">
        <v>2019</v>
      </c>
      <c r="D284" s="13" t="s">
        <v>163</v>
      </c>
      <c r="E284" t="str" cm="1">
        <f t="array" ref="E284">_xlfn.IFS(D284=policy_name_clustering!$A$2,policy_name_clustering!$C$2,D284=policy_name_clustering!$A$3,policy_name_clustering!$C$3,D284=policy_name_clustering!$A$5,policy_name_clustering!$C$5,D284=policy_name_clustering!$A$6,policy_name_clustering!$C$6,D284=policy_name_clustering!$A$7,policy_name_clustering!$C$7,D284=policy_name_clustering!$A$8,policy_name_clustering!$C$8,D284=policy_name_clustering!$A$9,policy_name_clustering!$C$9,D284=policy_name_clustering!$A$10,policy_name_clustering!$C$10,D284=policy_name_clustering!$A$11,policy_name_clustering!$C$11,D284=policy_name_clustering!$A$12,policy_name_clustering!$C$12,D284=policy_name_clustering!$A$13,policy_name_clustering!$C$13,D284=policy_name_clustering!$A$14,policy_name_clustering!$C$14,D284=policy_name_clustering!$A$15,policy_name_clustering!$C$15,D284=policy_name_clustering!$A$16,policy_name_clustering!$C$16,D284="-","",D284=policy_name_clustering!$A$4,policy_name_clustering!$C$4)</f>
        <v>Policy mix</v>
      </c>
      <c r="I284">
        <f t="shared" si="4"/>
        <v>422.29176285208337</v>
      </c>
      <c r="K284" t="str" cm="1">
        <f t="array" ref="K284">IF(ISNUMBER(H284),_xlfn.IFS(D284= ""," ",D284&lt;&gt; " ",F284*(G284/H284)),"")</f>
        <v/>
      </c>
    </row>
    <row r="285" spans="1:11" x14ac:dyDescent="0.35">
      <c r="A285" t="s">
        <v>10</v>
      </c>
      <c r="B285">
        <v>2020</v>
      </c>
      <c r="D285" s="13" t="s">
        <v>163</v>
      </c>
      <c r="E285" t="str" cm="1">
        <f t="array" ref="E285">_xlfn.IFS(D285=policy_name_clustering!$A$2,policy_name_clustering!$C$2,D285=policy_name_clustering!$A$3,policy_name_clustering!$C$3,D285=policy_name_clustering!$A$5,policy_name_clustering!$C$5,D285=policy_name_clustering!$A$6,policy_name_clustering!$C$6,D285=policy_name_clustering!$A$7,policy_name_clustering!$C$7,D285=policy_name_clustering!$A$8,policy_name_clustering!$C$8,D285=policy_name_clustering!$A$9,policy_name_clustering!$C$9,D285=policy_name_clustering!$A$10,policy_name_clustering!$C$10,D285=policy_name_clustering!$A$11,policy_name_clustering!$C$11,D285=policy_name_clustering!$A$12,policy_name_clustering!$C$12,D285=policy_name_clustering!$A$13,policy_name_clustering!$C$13,D285=policy_name_clustering!$A$14,policy_name_clustering!$C$14,D285=policy_name_clustering!$A$15,policy_name_clustering!$C$15,D285=policy_name_clustering!$A$16,policy_name_clustering!$C$16,D285="-","",D285=policy_name_clustering!$A$4,policy_name_clustering!$C$4)</f>
        <v>Policy mix</v>
      </c>
      <c r="I285">
        <f t="shared" si="4"/>
        <v>422.29176285208337</v>
      </c>
      <c r="K285" t="str" cm="1">
        <f t="array" ref="K285">IF(ISNUMBER(H285),_xlfn.IFS(D285= ""," ",D285&lt;&gt; " ",F285*(G285/H285)),"")</f>
        <v/>
      </c>
    </row>
    <row r="286" spans="1:11" x14ac:dyDescent="0.35">
      <c r="A286" t="s">
        <v>10</v>
      </c>
      <c r="B286">
        <v>2021</v>
      </c>
      <c r="D286" s="13" t="s">
        <v>163</v>
      </c>
      <c r="E286" t="str" cm="1">
        <f t="array" ref="E286">_xlfn.IFS(D286=policy_name_clustering!$A$2,policy_name_clustering!$C$2,D286=policy_name_clustering!$A$3,policy_name_clustering!$C$3,D286=policy_name_clustering!$A$5,policy_name_clustering!$C$5,D286=policy_name_clustering!$A$6,policy_name_clustering!$C$6,D286=policy_name_clustering!$A$7,policy_name_clustering!$C$7,D286=policy_name_clustering!$A$8,policy_name_clustering!$C$8,D286=policy_name_clustering!$A$9,policy_name_clustering!$C$9,D286=policy_name_clustering!$A$10,policy_name_clustering!$C$10,D286=policy_name_clustering!$A$11,policy_name_clustering!$C$11,D286=policy_name_clustering!$A$12,policy_name_clustering!$C$12,D286=policy_name_clustering!$A$13,policy_name_clustering!$C$13,D286=policy_name_clustering!$A$14,policy_name_clustering!$C$14,D286=policy_name_clustering!$A$15,policy_name_clustering!$C$15,D286=policy_name_clustering!$A$16,policy_name_clustering!$C$16,D286="-","",D286=policy_name_clustering!$A$4,policy_name_clustering!$C$4)</f>
        <v>Policy mix</v>
      </c>
      <c r="I286">
        <f t="shared" si="4"/>
        <v>422.29176285208337</v>
      </c>
      <c r="K286" t="str" cm="1">
        <f t="array" ref="K286">IF(ISNUMBER(H286),_xlfn.IFS(D286= ""," ",D286&lt;&gt; " ",F286*(G286/H286)),"")</f>
        <v/>
      </c>
    </row>
    <row r="287" spans="1:11" x14ac:dyDescent="0.35">
      <c r="A287" t="s">
        <v>10</v>
      </c>
      <c r="B287">
        <v>2022</v>
      </c>
      <c r="D287" s="13" t="s">
        <v>163</v>
      </c>
      <c r="E287" t="str" cm="1">
        <f t="array" ref="E287">_xlfn.IFS(D287=policy_name_clustering!$A$2,policy_name_clustering!$C$2,D287=policy_name_clustering!$A$3,policy_name_clustering!$C$3,D287=policy_name_clustering!$A$5,policy_name_clustering!$C$5,D287=policy_name_clustering!$A$6,policy_name_clustering!$C$6,D287=policy_name_clustering!$A$7,policy_name_clustering!$C$7,D287=policy_name_clustering!$A$8,policy_name_clustering!$C$8,D287=policy_name_clustering!$A$9,policy_name_clustering!$C$9,D287=policy_name_clustering!$A$10,policy_name_clustering!$C$10,D287=policy_name_clustering!$A$11,policy_name_clustering!$C$11,D287=policy_name_clustering!$A$12,policy_name_clustering!$C$12,D287=policy_name_clustering!$A$13,policy_name_clustering!$C$13,D287=policy_name_clustering!$A$14,policy_name_clustering!$C$14,D287=policy_name_clustering!$A$15,policy_name_clustering!$C$15,D287=policy_name_clustering!$A$16,policy_name_clustering!$C$16,D287="-","",D287=policy_name_clustering!$A$4,policy_name_clustering!$C$4)</f>
        <v>Policy mix</v>
      </c>
      <c r="I287">
        <f t="shared" si="4"/>
        <v>422.29176285208337</v>
      </c>
      <c r="K287" t="str" cm="1">
        <f t="array" ref="K287">IF(ISNUMBER(H287),_xlfn.IFS(D287= ""," ",D287&lt;&gt; " ",F287*(G287/H287)),"")</f>
        <v/>
      </c>
    </row>
    <row r="288" spans="1:11" x14ac:dyDescent="0.35">
      <c r="A288" t="s">
        <v>10</v>
      </c>
      <c r="B288">
        <v>2023</v>
      </c>
      <c r="D288" s="13" t="s">
        <v>163</v>
      </c>
      <c r="E288" t="str" cm="1">
        <f t="array" ref="E288">_xlfn.IFS(D288=policy_name_clustering!$A$2,policy_name_clustering!$C$2,D288=policy_name_clustering!$A$3,policy_name_clustering!$C$3,D288=policy_name_clustering!$A$5,policy_name_clustering!$C$5,D288=policy_name_clustering!$A$6,policy_name_clustering!$C$6,D288=policy_name_clustering!$A$7,policy_name_clustering!$C$7,D288=policy_name_clustering!$A$8,policy_name_clustering!$C$8,D288=policy_name_clustering!$A$9,policy_name_clustering!$C$9,D288=policy_name_clustering!$A$10,policy_name_clustering!$C$10,D288=policy_name_clustering!$A$11,policy_name_clustering!$C$11,D288=policy_name_clustering!$A$12,policy_name_clustering!$C$12,D288=policy_name_clustering!$A$13,policy_name_clustering!$C$13,D288=policy_name_clustering!$A$14,policy_name_clustering!$C$14,D288=policy_name_clustering!$A$15,policy_name_clustering!$C$15,D288=policy_name_clustering!$A$16,policy_name_clustering!$C$16,D288="-","",D288=policy_name_clustering!$A$4,policy_name_clustering!$C$4)</f>
        <v>Policy mix</v>
      </c>
      <c r="I288">
        <f t="shared" si="4"/>
        <v>422.29176285208337</v>
      </c>
      <c r="K288" t="str" cm="1">
        <f t="array" ref="K288">IF(ISNUMBER(H288),_xlfn.IFS(D288= ""," ",D288&lt;&gt; " ",F288*(G288/H288)),"")</f>
        <v/>
      </c>
    </row>
    <row r="289" spans="1:11" ht="29" x14ac:dyDescent="0.35">
      <c r="A289" t="s">
        <v>10</v>
      </c>
      <c r="B289">
        <v>2006</v>
      </c>
      <c r="C289" s="3" t="s">
        <v>139</v>
      </c>
      <c r="D289" s="22" t="s">
        <v>161</v>
      </c>
      <c r="E289" t="str" cm="1">
        <f t="array" ref="E289">_xlfn.IFS(D289=policy_name_clustering!$A$2,policy_name_clustering!$C$2,D289=policy_name_clustering!$A$3,policy_name_clustering!$C$3,D289=policy_name_clustering!$A$5,policy_name_clustering!$C$5,D289=policy_name_clustering!$A$6,policy_name_clustering!$C$6,D289=policy_name_clustering!$A$7,policy_name_clustering!$C$7,D289=policy_name_clustering!$A$8,policy_name_clustering!$C$8,D289=policy_name_clustering!$A$9,policy_name_clustering!$C$9,D289=policy_name_clustering!$A$10,policy_name_clustering!$C$10,D289=policy_name_clustering!$A$11,policy_name_clustering!$C$11,D289=policy_name_clustering!$A$12,policy_name_clustering!$C$12,D289=policy_name_clustering!$A$13,policy_name_clustering!$C$13,D289=policy_name_clustering!$A$14,policy_name_clustering!$C$14,D289=policy_name_clustering!$A$15,policy_name_clustering!$C$15,D289=policy_name_clustering!$A$16,policy_name_clustering!$C$16,D289="-","",D289=policy_name_clustering!$A$4,policy_name_clustering!$C$4)</f>
        <v>Policy mix</v>
      </c>
      <c r="F289">
        <f>policy_contributions_cum!F110</f>
        <v>763.53340314918205</v>
      </c>
      <c r="G289">
        <f>wind_cump_cap!C256</f>
        <v>1955</v>
      </c>
      <c r="H289">
        <f>estimated_capacity!C248</f>
        <v>2037.9066718527399</v>
      </c>
      <c r="I289" cm="1">
        <f t="array" ref="I289">_xlfn.IFS(D289= ""," ",D289&lt;&gt; " ",F289*(G289/H289)-$I$270)</f>
        <v>310.17936733935585</v>
      </c>
      <c r="J289" cm="1">
        <f t="array" ref="J289">_xlfn.IFS(D289= ""," ",D289&lt;&gt; " ",(H289-F289)*(G289/H289))</f>
        <v>1222.5288698085608</v>
      </c>
      <c r="K289" cm="1">
        <f t="array" ref="K289">IF(ISNUMBER(H289),_xlfn.IFS(D289= ""," ",D289&lt;&gt; " ",F289*(G289/H289)),"")</f>
        <v>732.47113019143922</v>
      </c>
    </row>
    <row r="290" spans="1:11" ht="29" x14ac:dyDescent="0.35">
      <c r="A290" t="s">
        <v>10</v>
      </c>
      <c r="B290">
        <v>2007</v>
      </c>
      <c r="C290" s="3" t="s">
        <v>140</v>
      </c>
      <c r="D290" s="16" t="s">
        <v>161</v>
      </c>
      <c r="E290" t="str" cm="1">
        <f t="array" ref="E290">_xlfn.IFS(D290=policy_name_clustering!$A$2,policy_name_clustering!$C$2,D290=policy_name_clustering!$A$3,policy_name_clustering!$C$3,D290=policy_name_clustering!$A$5,policy_name_clustering!$C$5,D290=policy_name_clustering!$A$6,policy_name_clustering!$C$6,D290=policy_name_clustering!$A$7,policy_name_clustering!$C$7,D290=policy_name_clustering!$A$8,policy_name_clustering!$C$8,D290=policy_name_clustering!$A$9,policy_name_clustering!$C$9,D290=policy_name_clustering!$A$10,policy_name_clustering!$C$10,D290=policy_name_clustering!$A$11,policy_name_clustering!$C$11,D290=policy_name_clustering!$A$12,policy_name_clustering!$C$12,D290=policy_name_clustering!$A$13,policy_name_clustering!$C$13,D290=policy_name_clustering!$A$14,policy_name_clustering!$C$14,D290=policy_name_clustering!$A$15,policy_name_clustering!$C$15,D290=policy_name_clustering!$A$16,policy_name_clustering!$C$16,D290="-","",D290=policy_name_clustering!$A$4,policy_name_clustering!$C$4)</f>
        <v>Policy mix</v>
      </c>
      <c r="F290">
        <f>policy_contributions_cum!F111</f>
        <v>1240.7324539430699</v>
      </c>
      <c r="G290">
        <f>wind_cump_cap!C257</f>
        <v>2477</v>
      </c>
      <c r="H290">
        <f>estimated_capacity!C249</f>
        <v>2650.03488618867</v>
      </c>
      <c r="I290" cm="1">
        <f t="array" ref="I290">_xlfn.IFS(D290= ""," ",D290&lt;&gt; " ",F290*(G290/H290)-$I$270)</f>
        <v>737.42666366155913</v>
      </c>
      <c r="J290" cm="1">
        <f t="array" ref="J290">_xlfn.IFS(D290= ""," ",D290&lt;&gt; " ",(H290-F290)*(G290/H290))</f>
        <v>1317.2815734863575</v>
      </c>
      <c r="K290" cm="1">
        <f t="array" ref="K290">IF(ISNUMBER(H290),_xlfn.IFS(D290= ""," ",D290&lt;&gt; " ",F290*(G290/H290)),"")</f>
        <v>1159.7184265136425</v>
      </c>
    </row>
    <row r="291" spans="1:11" x14ac:dyDescent="0.35">
      <c r="A291" t="s">
        <v>10</v>
      </c>
      <c r="B291">
        <v>2008</v>
      </c>
      <c r="C291" t="s">
        <v>141</v>
      </c>
      <c r="D291" s="16" t="s">
        <v>161</v>
      </c>
      <c r="E291" t="str" cm="1">
        <f t="array" ref="E291">_xlfn.IFS(D291=policy_name_clustering!$A$2,policy_name_clustering!$C$2,D291=policy_name_clustering!$A$3,policy_name_clustering!$C$3,D291=policy_name_clustering!$A$5,policy_name_clustering!$C$5,D291=policy_name_clustering!$A$6,policy_name_clustering!$C$6,D291=policy_name_clustering!$A$7,policy_name_clustering!$C$7,D291=policy_name_clustering!$A$8,policy_name_clustering!$C$8,D291=policy_name_clustering!$A$9,policy_name_clustering!$C$9,D291=policy_name_clustering!$A$10,policy_name_clustering!$C$10,D291=policy_name_clustering!$A$11,policy_name_clustering!$C$11,D291=policy_name_clustering!$A$12,policy_name_clustering!$C$12,D291=policy_name_clustering!$A$13,policy_name_clustering!$C$13,D291=policy_name_clustering!$A$14,policy_name_clustering!$C$14,D291=policy_name_clustering!$A$15,policy_name_clustering!$C$15,D291=policy_name_clustering!$A$16,policy_name_clustering!$C$16,D291="-","",D291=policy_name_clustering!$A$4,policy_name_clustering!$C$4)</f>
        <v>Policy mix</v>
      </c>
      <c r="F291">
        <f>policy_contributions_cum!F112</f>
        <v>1863.87978393713</v>
      </c>
      <c r="G291">
        <f>wind_cump_cap!C258</f>
        <v>3446</v>
      </c>
      <c r="H291">
        <f>estimated_capacity!C250</f>
        <v>3397.0795121350502</v>
      </c>
      <c r="I291" cm="1">
        <f t="array" ref="I291">_xlfn.IFS(D291= ""," ",D291&lt;&gt; " ",F291*(G291/H291)-$I$270)</f>
        <v>1468.42928518443</v>
      </c>
      <c r="J291" cm="1">
        <f t="array" ref="J291">_xlfn.IFS(D291= ""," ",D291&lt;&gt; " ",(H291-F291)*(G291/H291))</f>
        <v>1555.2789519634864</v>
      </c>
      <c r="K291" cm="1">
        <f t="array" ref="K291">IF(ISNUMBER(H291),_xlfn.IFS(D291= ""," ",D291&lt;&gt; " ",F291*(G291/H291)),"")</f>
        <v>1890.7210480365134</v>
      </c>
    </row>
    <row r="292" spans="1:11" x14ac:dyDescent="0.35">
      <c r="A292" t="s">
        <v>10</v>
      </c>
      <c r="B292">
        <v>2009</v>
      </c>
      <c r="C292" s="9"/>
      <c r="D292" s="16" t="s">
        <v>161</v>
      </c>
      <c r="E292" t="str" cm="1">
        <f t="array" ref="E292">_xlfn.IFS(D292=policy_name_clustering!$A$2,policy_name_clustering!$C$2,D292=policy_name_clustering!$A$3,policy_name_clustering!$C$3,D292=policy_name_clustering!$A$5,policy_name_clustering!$C$5,D292=policy_name_clustering!$A$6,policy_name_clustering!$C$6,D292=policy_name_clustering!$A$7,policy_name_clustering!$C$7,D292=policy_name_clustering!$A$8,policy_name_clustering!$C$8,D292=policy_name_clustering!$A$9,policy_name_clustering!$C$9,D292=policy_name_clustering!$A$10,policy_name_clustering!$C$10,D292=policy_name_clustering!$A$11,policy_name_clustering!$C$11,D292=policy_name_clustering!$A$12,policy_name_clustering!$C$12,D292=policy_name_clustering!$A$13,policy_name_clustering!$C$13,D292=policy_name_clustering!$A$14,policy_name_clustering!$C$14,D292=policy_name_clustering!$A$15,policy_name_clustering!$C$15,D292=policy_name_clustering!$A$16,policy_name_clustering!$C$16,D292="-","",D292=policy_name_clustering!$A$4,policy_name_clustering!$C$4)</f>
        <v>Policy mix</v>
      </c>
      <c r="F292">
        <f>policy_contributions_cum!F113</f>
        <v>2705.2045520153602</v>
      </c>
      <c r="G292">
        <f>wind_cump_cap!C259</f>
        <v>4422</v>
      </c>
      <c r="H292">
        <f>estimated_capacity!C251</f>
        <v>4364.5658630300604</v>
      </c>
      <c r="I292" cm="1">
        <f t="array" ref="I292">_xlfn.IFS(D292= ""," ",D292&lt;&gt; " ",F292*(G292/H292)-$I$270)</f>
        <v>2318.511080871559</v>
      </c>
      <c r="J292" cm="1">
        <f t="array" ref="J292">_xlfn.IFS(D292= ""," ",D292&lt;&gt; " ",(H292-F292)*(G292/H292))</f>
        <v>1681.1971562763579</v>
      </c>
      <c r="K292" cm="1">
        <f t="array" ref="K292">IF(ISNUMBER(H292),_xlfn.IFS(D292= ""," ",D292&lt;&gt; " ",F292*(G292/H292)),"")</f>
        <v>2740.8028437236426</v>
      </c>
    </row>
    <row r="293" spans="1:11" x14ac:dyDescent="0.35">
      <c r="A293" t="s">
        <v>10</v>
      </c>
      <c r="B293">
        <v>2010</v>
      </c>
      <c r="C293" t="s">
        <v>100</v>
      </c>
      <c r="D293" s="16" t="s">
        <v>161</v>
      </c>
      <c r="E293" t="str" cm="1">
        <f t="array" ref="E293">_xlfn.IFS(D293=policy_name_clustering!$A$2,policy_name_clustering!$C$2,D293=policy_name_clustering!$A$3,policy_name_clustering!$C$3,D293=policy_name_clustering!$A$5,policy_name_clustering!$C$5,D293=policy_name_clustering!$A$6,policy_name_clustering!$C$6,D293=policy_name_clustering!$A$7,policy_name_clustering!$C$7,D293=policy_name_clustering!$A$8,policy_name_clustering!$C$8,D293=policy_name_clustering!$A$9,policy_name_clustering!$C$9,D293=policy_name_clustering!$A$10,policy_name_clustering!$C$10,D293=policy_name_clustering!$A$11,policy_name_clustering!$C$11,D293=policy_name_clustering!$A$12,policy_name_clustering!$C$12,D293=policy_name_clustering!$A$13,policy_name_clustering!$C$13,D293=policy_name_clustering!$A$14,policy_name_clustering!$C$14,D293=policy_name_clustering!$A$15,policy_name_clustering!$C$15,D293=policy_name_clustering!$A$16,policy_name_clustering!$C$16,D293="-","",D293=policy_name_clustering!$A$4,policy_name_clustering!$C$4)</f>
        <v>Policy mix</v>
      </c>
      <c r="F293">
        <f>policy_contributions_cum!F114</f>
        <v>3881.4364362412002</v>
      </c>
      <c r="G293">
        <f>wind_cump_cap!C260</f>
        <v>5421.232</v>
      </c>
      <c r="H293">
        <f>estimated_capacity!C252</f>
        <v>5681.49378131512</v>
      </c>
      <c r="I293" cm="1">
        <f t="array" ref="I293">_xlfn.IFS(D293= ""," ",D293&lt;&gt; " ",F293*(G293/H293)-$I$270)</f>
        <v>3281.3411590598771</v>
      </c>
      <c r="J293" cm="1">
        <f t="array" ref="J293">_xlfn.IFS(D293= ""," ",D293&lt;&gt; " ",(H293-F293)*(G293/H293))</f>
        <v>1717.5990780880388</v>
      </c>
      <c r="K293" cm="1">
        <f t="array" ref="K293">IF(ISNUMBER(H293),_xlfn.IFS(D293= ""," ",D293&lt;&gt; " ",F293*(G293/H293)),"")</f>
        <v>3703.6329219119607</v>
      </c>
    </row>
    <row r="294" spans="1:11" x14ac:dyDescent="0.35">
      <c r="A294" t="s">
        <v>10</v>
      </c>
      <c r="B294">
        <v>2011</v>
      </c>
      <c r="D294" s="16" t="s">
        <v>161</v>
      </c>
      <c r="E294" t="str" cm="1">
        <f t="array" ref="E294">_xlfn.IFS(D294=policy_name_clustering!$A$2,policy_name_clustering!$C$2,D294=policy_name_clustering!$A$3,policy_name_clustering!$C$3,D294=policy_name_clustering!$A$5,policy_name_clustering!$C$5,D294=policy_name_clustering!$A$6,policy_name_clustering!$C$6,D294=policy_name_clustering!$A$7,policy_name_clustering!$C$7,D294=policy_name_clustering!$A$8,policy_name_clustering!$C$8,D294=policy_name_clustering!$A$9,policy_name_clustering!$C$9,D294=policy_name_clustering!$A$10,policy_name_clustering!$C$10,D294=policy_name_clustering!$A$11,policy_name_clustering!$C$11,D294=policy_name_clustering!$A$12,policy_name_clustering!$C$12,D294=policy_name_clustering!$A$13,policy_name_clustering!$C$13,D294=policy_name_clustering!$A$14,policy_name_clustering!$C$14,D294=policy_name_clustering!$A$15,policy_name_clustering!$C$15,D294=policy_name_clustering!$A$16,policy_name_clustering!$C$16,D294="-","",D294=policy_name_clustering!$A$4,policy_name_clustering!$C$4)</f>
        <v>Policy mix</v>
      </c>
      <c r="F294">
        <f>policy_contributions_cum!F115</f>
        <v>5452.7224306070902</v>
      </c>
      <c r="G294">
        <f>wind_cump_cap!C261</f>
        <v>6596.2849999999999</v>
      </c>
      <c r="H294">
        <f>estimated_capacity!C253</f>
        <v>7400.5074775965304</v>
      </c>
      <c r="I294" cm="1">
        <f t="array" ref="I294">_xlfn.IFS(D294= ""," ",D294&lt;&gt; " ",F294*(G294/H294)-$I$270)</f>
        <v>4437.8764468364707</v>
      </c>
      <c r="J294" cm="1">
        <f t="array" ref="J294">_xlfn.IFS(D294= ""," ",D294&lt;&gt; " ",(H294-F294)*(G294/H294))</f>
        <v>1736.1167903114454</v>
      </c>
      <c r="K294" cm="1">
        <f t="array" ref="K294">IF(ISNUMBER(H294),_xlfn.IFS(D294= ""," ",D294&lt;&gt; " ",F294*(G294/H294)),"")</f>
        <v>4860.1682096885543</v>
      </c>
    </row>
    <row r="295" spans="1:11" x14ac:dyDescent="0.35">
      <c r="A295" t="s">
        <v>10</v>
      </c>
      <c r="B295">
        <v>2012</v>
      </c>
      <c r="D295" s="16" t="s">
        <v>161</v>
      </c>
      <c r="E295" t="str" cm="1">
        <f t="array" ref="E295">_xlfn.IFS(D295=policy_name_clustering!$A$2,policy_name_clustering!$C$2,D295=policy_name_clustering!$A$3,policy_name_clustering!$C$3,D295=policy_name_clustering!$A$5,policy_name_clustering!$C$5,D295=policy_name_clustering!$A$6,policy_name_clustering!$C$6,D295=policy_name_clustering!$A$7,policy_name_clustering!$C$7,D295=policy_name_clustering!$A$8,policy_name_clustering!$C$8,D295=policy_name_clustering!$A$9,policy_name_clustering!$C$9,D295=policy_name_clustering!$A$10,policy_name_clustering!$C$10,D295=policy_name_clustering!$A$11,policy_name_clustering!$C$11,D295=policy_name_clustering!$A$12,policy_name_clustering!$C$12,D295=policy_name_clustering!$A$13,policy_name_clustering!$C$13,D295=policy_name_clustering!$A$14,policy_name_clustering!$C$14,D295=policy_name_clustering!$A$15,policy_name_clustering!$C$15,D295=policy_name_clustering!$A$16,policy_name_clustering!$C$16,D295="-","",D295=policy_name_clustering!$A$4,policy_name_clustering!$C$4)</f>
        <v>Policy mix</v>
      </c>
      <c r="F295">
        <f>policy_contributions_cum!F116</f>
        <v>7765.5936542053696</v>
      </c>
      <c r="G295">
        <f>wind_cump_cap!C262</f>
        <v>9030.42</v>
      </c>
      <c r="H295">
        <f>estimated_capacity!C254</f>
        <v>9897.0375322783093</v>
      </c>
      <c r="I295" cm="1">
        <f t="array" ref="I295">_xlfn.IFS(D295= ""," ",D295&lt;&gt; " ",F295*(G295/H295)-$I$270)</f>
        <v>6663.3206760315379</v>
      </c>
      <c r="J295" cm="1">
        <f t="array" ref="J295">_xlfn.IFS(D295= ""," ",D295&lt;&gt; " ",(H295-F295)*(G295/H295))</f>
        <v>1944.8075611163781</v>
      </c>
      <c r="K295" cm="1">
        <f t="array" ref="K295">IF(ISNUMBER(H295),_xlfn.IFS(D295= ""," ",D295&lt;&gt; " ",F295*(G295/H295)),"")</f>
        <v>7085.6124388836215</v>
      </c>
    </row>
    <row r="296" spans="1:11" x14ac:dyDescent="0.35">
      <c r="A296" t="s">
        <v>10</v>
      </c>
      <c r="B296">
        <v>2013</v>
      </c>
      <c r="C296" t="s">
        <v>142</v>
      </c>
      <c r="D296" s="16" t="s">
        <v>161</v>
      </c>
      <c r="E296" t="str" cm="1">
        <f t="array" ref="E296">_xlfn.IFS(D296=policy_name_clustering!$A$2,policy_name_clustering!$C$2,D296=policy_name_clustering!$A$3,policy_name_clustering!$C$3,D296=policy_name_clustering!$A$5,policy_name_clustering!$C$5,D296=policy_name_clustering!$A$6,policy_name_clustering!$C$6,D296=policy_name_clustering!$A$7,policy_name_clustering!$C$7,D296=policy_name_clustering!$A$8,policy_name_clustering!$C$8,D296=policy_name_clustering!$A$9,policy_name_clustering!$C$9,D296=policy_name_clustering!$A$10,policy_name_clustering!$C$10,D296=policy_name_clustering!$A$11,policy_name_clustering!$C$11,D296=policy_name_clustering!$A$12,policy_name_clustering!$C$12,D296=policy_name_clustering!$A$13,policy_name_clustering!$C$13,D296=policy_name_clustering!$A$14,policy_name_clustering!$C$14,D296=policy_name_clustering!$A$15,policy_name_clustering!$C$15,D296=policy_name_clustering!$A$16,policy_name_clustering!$C$16,D296="-","",D296=policy_name_clustering!$A$4,policy_name_clustering!$C$4)</f>
        <v>Policy mix</v>
      </c>
      <c r="F296">
        <f>policy_contributions_cum!F117</f>
        <v>9819.5572083949701</v>
      </c>
      <c r="G296">
        <f>wind_cump_cap!C263</f>
        <v>11282.272000000001</v>
      </c>
      <c r="H296">
        <f>estimated_capacity!C255</f>
        <v>12047.6962300745</v>
      </c>
      <c r="I296" cm="1">
        <f t="array" ref="I296">_xlfn.IFS(D296= ""," ",D296&lt;&gt; " ",F296*(G296/H296)-$I$270)</f>
        <v>8773.4011919650275</v>
      </c>
      <c r="J296" cm="1">
        <f t="array" ref="J296">_xlfn.IFS(D296= ""," ",D296&lt;&gt; " ",(H296-F296)*(G296/H296))</f>
        <v>2086.5790451828898</v>
      </c>
      <c r="K296" cm="1">
        <f t="array" ref="K296">IF(ISNUMBER(H296),_xlfn.IFS(D296= ""," ",D296&lt;&gt; " ",F296*(G296/H296)),"")</f>
        <v>9195.6929548171101</v>
      </c>
    </row>
    <row r="297" spans="1:11" x14ac:dyDescent="0.35">
      <c r="A297" t="s">
        <v>10</v>
      </c>
      <c r="B297">
        <v>2014</v>
      </c>
      <c r="C297" t="s">
        <v>101</v>
      </c>
      <c r="D297" s="16" t="s">
        <v>161</v>
      </c>
      <c r="E297" t="str" cm="1">
        <f t="array" ref="E297">_xlfn.IFS(D297=policy_name_clustering!$A$2,policy_name_clustering!$C$2,D297=policy_name_clustering!$A$3,policy_name_clustering!$C$3,D297=policy_name_clustering!$A$5,policy_name_clustering!$C$5,D297=policy_name_clustering!$A$6,policy_name_clustering!$C$6,D297=policy_name_clustering!$A$7,policy_name_clustering!$C$7,D297=policy_name_clustering!$A$8,policy_name_clustering!$C$8,D297=policy_name_clustering!$A$9,policy_name_clustering!$C$9,D297=policy_name_clustering!$A$10,policy_name_clustering!$C$10,D297=policy_name_clustering!$A$11,policy_name_clustering!$C$11,D297=policy_name_clustering!$A$12,policy_name_clustering!$C$12,D297=policy_name_clustering!$A$13,policy_name_clustering!$C$13,D297=policy_name_clustering!$A$14,policy_name_clustering!$C$14,D297=policy_name_clustering!$A$15,policy_name_clustering!$C$15,D297=policy_name_clustering!$A$16,policy_name_clustering!$C$16,D297="-","",D297=policy_name_clustering!$A$4,policy_name_clustering!$C$4)</f>
        <v>Policy mix</v>
      </c>
      <c r="F297">
        <f>policy_contributions_cum!F118</f>
        <v>11812.9716080295</v>
      </c>
      <c r="G297">
        <f>wind_cump_cap!C264</f>
        <v>13073.953</v>
      </c>
      <c r="H297">
        <f>estimated_capacity!C256</f>
        <v>14090.939228736101</v>
      </c>
      <c r="I297" cm="1">
        <f t="array" ref="I297">_xlfn.IFS(D297= ""," ",D297&lt;&gt; " ",F297*(G297/H297)-$I$270)</f>
        <v>10538.101514464246</v>
      </c>
      <c r="J297" cm="1">
        <f t="array" ref="J297">_xlfn.IFS(D297= ""," ",D297&lt;&gt; " ",(H297-F297)*(G297/H297))</f>
        <v>2113.5597226836699</v>
      </c>
      <c r="K297" cm="1">
        <f t="array" ref="K297">IF(ISNUMBER(H297),_xlfn.IFS(D297= ""," ",D297&lt;&gt; " ",F297*(G297/H297)),"")</f>
        <v>10960.393277316329</v>
      </c>
    </row>
    <row r="298" spans="1:11" ht="58" x14ac:dyDescent="0.35">
      <c r="A298" t="s">
        <v>10</v>
      </c>
      <c r="B298">
        <v>2015</v>
      </c>
      <c r="C298" s="12" t="s">
        <v>102</v>
      </c>
      <c r="D298" s="16" t="s">
        <v>161</v>
      </c>
      <c r="E298" t="str" cm="1">
        <f t="array" ref="E298">_xlfn.IFS(D298=policy_name_clustering!$A$2,policy_name_clustering!$C$2,D298=policy_name_clustering!$A$3,policy_name_clustering!$C$3,D298=policy_name_clustering!$A$5,policy_name_clustering!$C$5,D298=policy_name_clustering!$A$6,policy_name_clustering!$C$6,D298=policy_name_clustering!$A$7,policy_name_clustering!$C$7,D298=policy_name_clustering!$A$8,policy_name_clustering!$C$8,D298=policy_name_clustering!$A$9,policy_name_clustering!$C$9,D298=policy_name_clustering!$A$10,policy_name_clustering!$C$10,D298=policy_name_clustering!$A$11,policy_name_clustering!$C$11,D298=policy_name_clustering!$A$12,policy_name_clustering!$C$12,D298=policy_name_clustering!$A$13,policy_name_clustering!$C$13,D298=policy_name_clustering!$A$14,policy_name_clustering!$C$14,D298=policy_name_clustering!$A$15,policy_name_clustering!$C$15,D298=policy_name_clustering!$A$16,policy_name_clustering!$C$16,D298="-","",D298=policy_name_clustering!$A$4,policy_name_clustering!$C$4)</f>
        <v>Policy mix</v>
      </c>
      <c r="F298">
        <f>policy_contributions_cum!F119</f>
        <v>13925.749211779899</v>
      </c>
      <c r="G298">
        <f>wind_cump_cap!C265</f>
        <v>14305.634</v>
      </c>
      <c r="H298">
        <f>estimated_capacity!C257</f>
        <v>16228.906369562401</v>
      </c>
      <c r="I298" cm="1">
        <f t="array" ref="I298">_xlfn.IFS(D298= ""," ",D298&lt;&gt; " ",F298*(G298/H298)-$I$270)</f>
        <v>11853.130059356843</v>
      </c>
      <c r="J298" cm="1">
        <f t="array" ref="J298">_xlfn.IFS(D298= ""," ",D298&lt;&gt; " ",(H298-F298)*(G298/H298))</f>
        <v>2030.2121777910745</v>
      </c>
      <c r="K298" cm="1">
        <f t="array" ref="K298">IF(ISNUMBER(H298),_xlfn.IFS(D298= ""," ",D298&lt;&gt; " ",F298*(G298/H298)),"")</f>
        <v>12275.421822208926</v>
      </c>
    </row>
    <row r="299" spans="1:11" x14ac:dyDescent="0.35">
      <c r="A299" t="s">
        <v>10</v>
      </c>
      <c r="B299">
        <v>2016</v>
      </c>
      <c r="C299" t="s">
        <v>103</v>
      </c>
      <c r="D299" s="19" t="s">
        <v>161</v>
      </c>
      <c r="E299" t="str" cm="1">
        <f t="array" ref="E299">_xlfn.IFS(D299=policy_name_clustering!$A$2,policy_name_clustering!$C$2,D299=policy_name_clustering!$A$3,policy_name_clustering!$C$3,D299=policy_name_clustering!$A$5,policy_name_clustering!$C$5,D299=policy_name_clustering!$A$6,policy_name_clustering!$C$6,D299=policy_name_clustering!$A$7,policy_name_clustering!$C$7,D299=policy_name_clustering!$A$8,policy_name_clustering!$C$8,D299=policy_name_clustering!$A$9,policy_name_clustering!$C$9,D299=policy_name_clustering!$A$10,policy_name_clustering!$C$10,D299=policy_name_clustering!$A$11,policy_name_clustering!$C$11,D299=policy_name_clustering!$A$12,policy_name_clustering!$C$12,D299=policy_name_clustering!$A$13,policy_name_clustering!$C$13,D299=policy_name_clustering!$A$14,policy_name_clustering!$C$14,D299=policy_name_clustering!$A$15,policy_name_clustering!$C$15,D299=policy_name_clustering!$A$16,policy_name_clustering!$C$16,D299="-","",D299=policy_name_clustering!$A$4,policy_name_clustering!$C$4)</f>
        <v>Policy mix</v>
      </c>
      <c r="F299">
        <f>policy_contributions_cum!F120</f>
        <v>15950.144468656599</v>
      </c>
      <c r="G299">
        <f>wind_cump_cap!C266</f>
        <v>16125.934999999999</v>
      </c>
      <c r="H299">
        <f>estimated_capacity!C258</f>
        <v>18247.986825138199</v>
      </c>
      <c r="I299" cm="1">
        <f t="array" ref="I299">_xlfn.IFS(D299= ""," ",D299&lt;&gt; " ",F299*(G299/H299)-$I$270)</f>
        <v>13673.016141899096</v>
      </c>
      <c r="J299" cm="1">
        <f t="array" ref="J299">_xlfn.IFS(D299= ""," ",D299&lt;&gt; " ",(H299-F299)*(G299/H299))</f>
        <v>2030.6270952488196</v>
      </c>
      <c r="K299" cm="1">
        <f t="array" ref="K299">IF(ISNUMBER(H299),_xlfn.IFS(D299= ""," ",D299&lt;&gt; " ",F299*(G299/H299)),"")</f>
        <v>14095.307904751178</v>
      </c>
    </row>
    <row r="300" spans="1:11" x14ac:dyDescent="0.35">
      <c r="A300" t="s">
        <v>10</v>
      </c>
      <c r="B300">
        <v>2017</v>
      </c>
      <c r="C300" t="s">
        <v>104</v>
      </c>
      <c r="D300" s="19" t="s">
        <v>161</v>
      </c>
      <c r="E300" t="str" cm="1">
        <f t="array" ref="E300">_xlfn.IFS(D300=policy_name_clustering!$A$2,policy_name_clustering!$C$2,D300=policy_name_clustering!$A$3,policy_name_clustering!$C$3,D300=policy_name_clustering!$A$5,policy_name_clustering!$C$5,D300=policy_name_clustering!$A$6,policy_name_clustering!$C$6,D300=policy_name_clustering!$A$7,policy_name_clustering!$C$7,D300=policy_name_clustering!$A$8,policy_name_clustering!$C$8,D300=policy_name_clustering!$A$9,policy_name_clustering!$C$9,D300=policy_name_clustering!$A$10,policy_name_clustering!$C$10,D300=policy_name_clustering!$A$11,policy_name_clustering!$C$11,D300=policy_name_clustering!$A$12,policy_name_clustering!$C$12,D300=policy_name_clustering!$A$13,policy_name_clustering!$C$13,D300=policy_name_clustering!$A$14,policy_name_clustering!$C$14,D300=policy_name_clustering!$A$15,policy_name_clustering!$C$15,D300=policy_name_clustering!$A$16,policy_name_clustering!$C$16,D300="-","",D300=policy_name_clustering!$A$4,policy_name_clustering!$C$4)</f>
        <v>Policy mix</v>
      </c>
      <c r="F300">
        <f>policy_contributions_cum!F121</f>
        <v>17831.610358705799</v>
      </c>
      <c r="G300">
        <f>wind_cump_cap!C267</f>
        <v>19584.998</v>
      </c>
      <c r="H300">
        <f>estimated_capacity!C259</f>
        <v>20098.960033907599</v>
      </c>
      <c r="I300" cm="1">
        <f t="array" ref="I300">_xlfn.IFS(D300= ""," ",D300&lt;&gt; " ",F300*(G300/H300)-$I$270)</f>
        <v>16953.336260830063</v>
      </c>
      <c r="J300" cm="1">
        <f t="array" ref="J300">_xlfn.IFS(D300= ""," ",D300&lt;&gt; " ",(H300-F300)*(G300/H300))</f>
        <v>2209.3699763178529</v>
      </c>
      <c r="K300" cm="1">
        <f t="array" ref="K300">IF(ISNUMBER(H300),_xlfn.IFS(D300= ""," ",D300&lt;&gt; " ",F300*(G300/H300)),"")</f>
        <v>17375.628023682148</v>
      </c>
    </row>
    <row r="301" spans="1:11" x14ac:dyDescent="0.35">
      <c r="A301" t="s">
        <v>10</v>
      </c>
      <c r="B301">
        <v>2018</v>
      </c>
      <c r="D301" s="12" t="s">
        <v>161</v>
      </c>
      <c r="E301" t="str" cm="1">
        <f t="array" ref="E301">_xlfn.IFS(D301=policy_name_clustering!$A$2,policy_name_clustering!$C$2,D301=policy_name_clustering!$A$3,policy_name_clustering!$C$3,D301=policy_name_clustering!$A$5,policy_name_clustering!$C$5,D301=policy_name_clustering!$A$6,policy_name_clustering!$C$6,D301=policy_name_clustering!$A$7,policy_name_clustering!$C$7,D301=policy_name_clustering!$A$8,policy_name_clustering!$C$8,D301=policy_name_clustering!$A$9,policy_name_clustering!$C$9,D301=policy_name_clustering!$A$10,policy_name_clustering!$C$10,D301=policy_name_clustering!$A$11,policy_name_clustering!$C$11,D301=policy_name_clustering!$A$12,policy_name_clustering!$C$12,D301=policy_name_clustering!$A$13,policy_name_clustering!$C$13,D301=policy_name_clustering!$A$14,policy_name_clustering!$C$14,D301=policy_name_clustering!$A$15,policy_name_clustering!$C$15,D301=policy_name_clustering!$A$16,policy_name_clustering!$C$16,D301="-","",D301=policy_name_clustering!$A$4,policy_name_clustering!$C$4)</f>
        <v>Policy mix</v>
      </c>
      <c r="I301">
        <f t="shared" ref="I301:I306" si="5">I300</f>
        <v>16953.336260830063</v>
      </c>
      <c r="K301" t="str" cm="1">
        <f t="array" ref="K301">IF(ISNUMBER(H301),_xlfn.IFS(D301= ""," ",D301&lt;&gt; " ",F301*(G301/H301)),"")</f>
        <v/>
      </c>
    </row>
    <row r="302" spans="1:11" x14ac:dyDescent="0.35">
      <c r="A302" t="s">
        <v>10</v>
      </c>
      <c r="B302">
        <v>2019</v>
      </c>
      <c r="D302" s="12" t="s">
        <v>161</v>
      </c>
      <c r="E302" t="str" cm="1">
        <f t="array" ref="E302">_xlfn.IFS(D302=policy_name_clustering!$A$2,policy_name_clustering!$C$2,D302=policy_name_clustering!$A$3,policy_name_clustering!$C$3,D302=policy_name_clustering!$A$5,policy_name_clustering!$C$5,D302=policy_name_clustering!$A$6,policy_name_clustering!$C$6,D302=policy_name_clustering!$A$7,policy_name_clustering!$C$7,D302=policy_name_clustering!$A$8,policy_name_clustering!$C$8,D302=policy_name_clustering!$A$9,policy_name_clustering!$C$9,D302=policy_name_clustering!$A$10,policy_name_clustering!$C$10,D302=policy_name_clustering!$A$11,policy_name_clustering!$C$11,D302=policy_name_clustering!$A$12,policy_name_clustering!$C$12,D302=policy_name_clustering!$A$13,policy_name_clustering!$C$13,D302=policy_name_clustering!$A$14,policy_name_clustering!$C$14,D302=policy_name_clustering!$A$15,policy_name_clustering!$C$15,D302=policy_name_clustering!$A$16,policy_name_clustering!$C$16,D302="-","",D302=policy_name_clustering!$A$4,policy_name_clustering!$C$4)</f>
        <v>Policy mix</v>
      </c>
      <c r="I302">
        <f t="shared" si="5"/>
        <v>16953.336260830063</v>
      </c>
      <c r="K302" t="str" cm="1">
        <f t="array" ref="K302">IF(ISNUMBER(H302),_xlfn.IFS(D302= ""," ",D302&lt;&gt; " ",F302*(G302/H302)),"")</f>
        <v/>
      </c>
    </row>
    <row r="303" spans="1:11" x14ac:dyDescent="0.35">
      <c r="A303" t="s">
        <v>10</v>
      </c>
      <c r="B303">
        <v>2020</v>
      </c>
      <c r="D303" s="12" t="s">
        <v>161</v>
      </c>
      <c r="E303" t="str" cm="1">
        <f t="array" ref="E303">_xlfn.IFS(D303=policy_name_clustering!$A$2,policy_name_clustering!$C$2,D303=policy_name_clustering!$A$3,policy_name_clustering!$C$3,D303=policy_name_clustering!$A$5,policy_name_clustering!$C$5,D303=policy_name_clustering!$A$6,policy_name_clustering!$C$6,D303=policy_name_clustering!$A$7,policy_name_clustering!$C$7,D303=policy_name_clustering!$A$8,policy_name_clustering!$C$8,D303=policy_name_clustering!$A$9,policy_name_clustering!$C$9,D303=policy_name_clustering!$A$10,policy_name_clustering!$C$10,D303=policy_name_clustering!$A$11,policy_name_clustering!$C$11,D303=policy_name_clustering!$A$12,policy_name_clustering!$C$12,D303=policy_name_clustering!$A$13,policy_name_clustering!$C$13,D303=policy_name_clustering!$A$14,policy_name_clustering!$C$14,D303=policy_name_clustering!$A$15,policy_name_clustering!$C$15,D303=policy_name_clustering!$A$16,policy_name_clustering!$C$16,D303="-","",D303=policy_name_clustering!$A$4,policy_name_clustering!$C$4)</f>
        <v>Policy mix</v>
      </c>
      <c r="I303">
        <f t="shared" si="5"/>
        <v>16953.336260830063</v>
      </c>
      <c r="K303" t="str" cm="1">
        <f t="array" ref="K303">IF(ISNUMBER(H303),_xlfn.IFS(D303= ""," ",D303&lt;&gt; " ",F303*(G303/H303)),"")</f>
        <v/>
      </c>
    </row>
    <row r="304" spans="1:11" x14ac:dyDescent="0.35">
      <c r="A304" t="s">
        <v>10</v>
      </c>
      <c r="B304">
        <v>2021</v>
      </c>
      <c r="D304" s="12" t="s">
        <v>161</v>
      </c>
      <c r="E304" t="str" cm="1">
        <f t="array" ref="E304">_xlfn.IFS(D304=policy_name_clustering!$A$2,policy_name_clustering!$C$2,D304=policy_name_clustering!$A$3,policy_name_clustering!$C$3,D304=policy_name_clustering!$A$5,policy_name_clustering!$C$5,D304=policy_name_clustering!$A$6,policy_name_clustering!$C$6,D304=policy_name_clustering!$A$7,policy_name_clustering!$C$7,D304=policy_name_clustering!$A$8,policy_name_clustering!$C$8,D304=policy_name_clustering!$A$9,policy_name_clustering!$C$9,D304=policy_name_clustering!$A$10,policy_name_clustering!$C$10,D304=policy_name_clustering!$A$11,policy_name_clustering!$C$11,D304=policy_name_clustering!$A$12,policy_name_clustering!$C$12,D304=policy_name_clustering!$A$13,policy_name_clustering!$C$13,D304=policy_name_clustering!$A$14,policy_name_clustering!$C$14,D304=policy_name_clustering!$A$15,policy_name_clustering!$C$15,D304=policy_name_clustering!$A$16,policy_name_clustering!$C$16,D304="-","",D304=policy_name_clustering!$A$4,policy_name_clustering!$C$4)</f>
        <v>Policy mix</v>
      </c>
      <c r="I304">
        <f t="shared" si="5"/>
        <v>16953.336260830063</v>
      </c>
      <c r="K304" t="str" cm="1">
        <f t="array" ref="K304">IF(ISNUMBER(H304),_xlfn.IFS(D304= ""," ",D304&lt;&gt; " ",F304*(G304/H304)),"")</f>
        <v/>
      </c>
    </row>
    <row r="305" spans="1:11" x14ac:dyDescent="0.35">
      <c r="A305" t="s">
        <v>10</v>
      </c>
      <c r="B305">
        <v>2022</v>
      </c>
      <c r="D305" s="12" t="s">
        <v>161</v>
      </c>
      <c r="E305" t="str" cm="1">
        <f t="array" ref="E305">_xlfn.IFS(D305=policy_name_clustering!$A$2,policy_name_clustering!$C$2,D305=policy_name_clustering!$A$3,policy_name_clustering!$C$3,D305=policy_name_clustering!$A$5,policy_name_clustering!$C$5,D305=policy_name_clustering!$A$6,policy_name_clustering!$C$6,D305=policy_name_clustering!$A$7,policy_name_clustering!$C$7,D305=policy_name_clustering!$A$8,policy_name_clustering!$C$8,D305=policy_name_clustering!$A$9,policy_name_clustering!$C$9,D305=policy_name_clustering!$A$10,policy_name_clustering!$C$10,D305=policy_name_clustering!$A$11,policy_name_clustering!$C$11,D305=policy_name_clustering!$A$12,policy_name_clustering!$C$12,D305=policy_name_clustering!$A$13,policy_name_clustering!$C$13,D305=policy_name_clustering!$A$14,policy_name_clustering!$C$14,D305=policy_name_clustering!$A$15,policy_name_clustering!$C$15,D305=policy_name_clustering!$A$16,policy_name_clustering!$C$16,D305="-","",D305=policy_name_clustering!$A$4,policy_name_clustering!$C$4)</f>
        <v>Policy mix</v>
      </c>
      <c r="I305">
        <f t="shared" si="5"/>
        <v>16953.336260830063</v>
      </c>
      <c r="K305" t="str" cm="1">
        <f t="array" ref="K305">IF(ISNUMBER(H305),_xlfn.IFS(D305= ""," ",D305&lt;&gt; " ",F305*(G305/H305)),"")</f>
        <v/>
      </c>
    </row>
    <row r="306" spans="1:11" x14ac:dyDescent="0.35">
      <c r="A306" t="s">
        <v>10</v>
      </c>
      <c r="B306">
        <v>2023</v>
      </c>
      <c r="D306" s="12" t="s">
        <v>161</v>
      </c>
      <c r="E306" t="str" cm="1">
        <f t="array" ref="E306">_xlfn.IFS(D306=policy_name_clustering!$A$2,policy_name_clustering!$C$2,D306=policy_name_clustering!$A$3,policy_name_clustering!$C$3,D306=policy_name_clustering!$A$5,policy_name_clustering!$C$5,D306=policy_name_clustering!$A$6,policy_name_clustering!$C$6,D306=policy_name_clustering!$A$7,policy_name_clustering!$C$7,D306=policy_name_clustering!$A$8,policy_name_clustering!$C$8,D306=policy_name_clustering!$A$9,policy_name_clustering!$C$9,D306=policy_name_clustering!$A$10,policy_name_clustering!$C$10,D306=policy_name_clustering!$A$11,policy_name_clustering!$C$11,D306=policy_name_clustering!$A$12,policy_name_clustering!$C$12,D306=policy_name_clustering!$A$13,policy_name_clustering!$C$13,D306=policy_name_clustering!$A$14,policy_name_clustering!$C$14,D306=policy_name_clustering!$A$15,policy_name_clustering!$C$15,D306=policy_name_clustering!$A$16,policy_name_clustering!$C$16,D306="-","",D306=policy_name_clustering!$A$4,policy_name_clustering!$C$4)</f>
        <v>Policy mix</v>
      </c>
      <c r="I306">
        <f t="shared" si="5"/>
        <v>16953.336260830063</v>
      </c>
      <c r="K306" t="str" cm="1">
        <f t="array" ref="K306">IF(ISNUMBER(H306),_xlfn.IFS(D306= ""," ",D306&lt;&gt; " ",F306*(G306/H306)),"")</f>
        <v/>
      </c>
    </row>
    <row r="307" spans="1:11" x14ac:dyDescent="0.35">
      <c r="A307" t="s">
        <v>10</v>
      </c>
      <c r="B307">
        <v>2018</v>
      </c>
      <c r="D307" s="16" t="s">
        <v>43</v>
      </c>
      <c r="E307" t="str" cm="1">
        <f t="array" ref="E307">_xlfn.IFS(D307=policy_name_clustering!$A$2,policy_name_clustering!$C$2,D307=policy_name_clustering!$A$3,policy_name_clustering!$C$3,D307=policy_name_clustering!$A$5,policy_name_clustering!$C$5,D307=policy_name_clustering!$A$6,policy_name_clustering!$C$6,D307=policy_name_clustering!$A$7,policy_name_clustering!$C$7,D307=policy_name_clustering!$A$8,policy_name_clustering!$C$8,D307=policy_name_clustering!$A$9,policy_name_clustering!$C$9,D307=policy_name_clustering!$A$10,policy_name_clustering!$C$10,D307=policy_name_clustering!$A$11,policy_name_clustering!$C$11,D307=policy_name_clustering!$A$12,policy_name_clustering!$C$12,D307=policy_name_clustering!$A$13,policy_name_clustering!$C$13,D307=policy_name_clustering!$A$14,policy_name_clustering!$C$14,D307=policy_name_clustering!$A$15,policy_name_clustering!$C$15,D307=policy_name_clustering!$A$16,policy_name_clustering!$C$16,D307="-","",D307=policy_name_clustering!$A$4,policy_name_clustering!$C$4)</f>
        <v>TGC-based</v>
      </c>
      <c r="F307">
        <f>policy_contributions_cum!F122</f>
        <v>19644.345546699398</v>
      </c>
      <c r="G307">
        <f>wind_cump_cap!C268</f>
        <v>21767.221000000001</v>
      </c>
      <c r="H307">
        <f>estimated_capacity!C260</f>
        <v>21864.6420986794</v>
      </c>
      <c r="I307" cm="1">
        <f t="array" ref="I307">_xlfn.IFS(D307= ""," ",D307&lt;&gt; " ",F307*(G307/H307)-$I$270-$I$300)</f>
        <v>2181.189279135644</v>
      </c>
      <c r="J307" cm="1">
        <f t="array" ref="J307">_xlfn.IFS(D307= ""," ",D307&lt;&gt; " ",(H307-F307)*(G307/H307))</f>
        <v>2210.4036971822075</v>
      </c>
      <c r="K307" cm="1">
        <f t="array" ref="K307">IF(ISNUMBER(H307),_xlfn.IFS(D307= ""," ",D307&lt;&gt; " ",F307*(G307/H307)),"")</f>
        <v>19556.817302817792</v>
      </c>
    </row>
    <row r="308" spans="1:11" x14ac:dyDescent="0.35">
      <c r="A308" t="s">
        <v>10</v>
      </c>
      <c r="B308">
        <v>2019</v>
      </c>
      <c r="C308" t="s">
        <v>88</v>
      </c>
      <c r="D308" s="16" t="s">
        <v>43</v>
      </c>
      <c r="E308" t="str" cm="1">
        <f t="array" ref="E308">_xlfn.IFS(D308=policy_name_clustering!$A$2,policy_name_clustering!$C$2,D308=policy_name_clustering!$A$3,policy_name_clustering!$C$3,D308=policy_name_clustering!$A$5,policy_name_clustering!$C$5,D308=policy_name_clustering!$A$6,policy_name_clustering!$C$6,D308=policy_name_clustering!$A$7,policy_name_clustering!$C$7,D308=policy_name_clustering!$A$8,policy_name_clustering!$C$8,D308=policy_name_clustering!$A$9,policy_name_clustering!$C$9,D308=policy_name_clustering!$A$10,policy_name_clustering!$C$10,D308=policy_name_clustering!$A$11,policy_name_clustering!$C$11,D308=policy_name_clustering!$A$12,policy_name_clustering!$C$12,D308=policy_name_clustering!$A$13,policy_name_clustering!$C$13,D308=policy_name_clustering!$A$14,policy_name_clustering!$C$14,D308=policy_name_clustering!$A$15,policy_name_clustering!$C$15,D308=policy_name_clustering!$A$16,policy_name_clustering!$C$16,D308="-","",D308=policy_name_clustering!$A$4,policy_name_clustering!$C$4)</f>
        <v>TGC-based</v>
      </c>
      <c r="F308">
        <f>policy_contributions_cum!F123</f>
        <v>21485.671423924599</v>
      </c>
      <c r="G308">
        <f>wind_cump_cap!C269</f>
        <v>24095.381000000001</v>
      </c>
      <c r="H308">
        <f>estimated_capacity!C261</f>
        <v>23648.549871540901</v>
      </c>
      <c r="I308" cm="1">
        <f t="array" ref="I308">_xlfn.IFS(D308= ""," ",D308&lt;&gt; " ",F308*(G308/H308)-$I$270-$I$300)</f>
        <v>4516.0076923535344</v>
      </c>
      <c r="J308" cm="1">
        <f t="array" ref="J308">_xlfn.IFS(D308= ""," ",D308&lt;&gt; " ",(H308-F308)*(G308/H308))</f>
        <v>2203.7452839643224</v>
      </c>
      <c r="K308" cm="1">
        <f t="array" ref="K308">IF(ISNUMBER(H308),_xlfn.IFS(D308= ""," ",D308&lt;&gt; " ",F308*(G308/H308)),"")</f>
        <v>21891.635716035682</v>
      </c>
    </row>
    <row r="309" spans="1:11" x14ac:dyDescent="0.35">
      <c r="A309" t="s">
        <v>10</v>
      </c>
      <c r="B309">
        <v>2020</v>
      </c>
      <c r="D309" s="12" t="s">
        <v>43</v>
      </c>
      <c r="E309" t="str" cm="1">
        <f t="array" ref="E309">_xlfn.IFS(D309=policy_name_clustering!$A$2,policy_name_clustering!$C$2,D309=policy_name_clustering!$A$3,policy_name_clustering!$C$3,D309=policy_name_clustering!$A$5,policy_name_clustering!$C$5,D309=policy_name_clustering!$A$6,policy_name_clustering!$C$6,D309=policy_name_clustering!$A$7,policy_name_clustering!$C$7,D309=policy_name_clustering!$A$8,policy_name_clustering!$C$8,D309=policy_name_clustering!$A$9,policy_name_clustering!$C$9,D309=policy_name_clustering!$A$10,policy_name_clustering!$C$10,D309=policy_name_clustering!$A$11,policy_name_clustering!$C$11,D309=policy_name_clustering!$A$12,policy_name_clustering!$C$12,D309=policy_name_clustering!$A$13,policy_name_clustering!$C$13,D309=policy_name_clustering!$A$14,policy_name_clustering!$C$14,D309=policy_name_clustering!$A$15,policy_name_clustering!$C$15,D309=policy_name_clustering!$A$16,policy_name_clustering!$C$16,D309="-","",D309=policy_name_clustering!$A$4,policy_name_clustering!$C$4)</f>
        <v>TGC-based</v>
      </c>
      <c r="F309">
        <f>policy_contributions_cum!F124</f>
        <v>23511.372951914102</v>
      </c>
      <c r="G309">
        <f>wind_cump_cap!C270</f>
        <v>24671.3711985964</v>
      </c>
      <c r="H309">
        <f>estimated_capacity!C262</f>
        <v>25611.4514004673</v>
      </c>
      <c r="I309">
        <f>I308</f>
        <v>4516.0076923535344</v>
      </c>
      <c r="J309" s="11" cm="1">
        <f t="array" ref="J309">_xlfn.IFS(D309= ""," ",D309&lt;&gt; " ",(H309-F309)*(G309/H309))</f>
        <v>2022.9940951133699</v>
      </c>
      <c r="K309" cm="1">
        <f t="array" ref="K309">IF(ISNUMBER(H309),_xlfn.IFS(D309= ""," ",D309&lt;&gt; " ",F309*(G309/H309)),"")</f>
        <v>22648.377103483032</v>
      </c>
    </row>
    <row r="310" spans="1:11" x14ac:dyDescent="0.35">
      <c r="A310" t="s">
        <v>10</v>
      </c>
      <c r="B310">
        <v>2021</v>
      </c>
      <c r="D310" s="12" t="s">
        <v>43</v>
      </c>
      <c r="E310" t="str" cm="1">
        <f t="array" ref="E310">_xlfn.IFS(D310=policy_name_clustering!$A$2,policy_name_clustering!$C$2,D310=policy_name_clustering!$A$3,policy_name_clustering!$C$3,D310=policy_name_clustering!$A$5,policy_name_clustering!$C$5,D310=policy_name_clustering!$A$6,policy_name_clustering!$C$6,D310=policy_name_clustering!$A$7,policy_name_clustering!$C$7,D310=policy_name_clustering!$A$8,policy_name_clustering!$C$8,D310=policy_name_clustering!$A$9,policy_name_clustering!$C$9,D310=policy_name_clustering!$A$10,policy_name_clustering!$C$10,D310=policy_name_clustering!$A$11,policy_name_clustering!$C$11,D310=policy_name_clustering!$A$12,policy_name_clustering!$C$12,D310=policy_name_clustering!$A$13,policy_name_clustering!$C$13,D310=policy_name_clustering!$A$14,policy_name_clustering!$C$14,D310=policy_name_clustering!$A$15,policy_name_clustering!$C$15,D310=policy_name_clustering!$A$16,policy_name_clustering!$C$16,D310="-","",D310=policy_name_clustering!$A$4,policy_name_clustering!$C$4)</f>
        <v>TGC-based</v>
      </c>
      <c r="I310">
        <f t="shared" ref="I310:I312" si="6">I309</f>
        <v>4516.0076923535344</v>
      </c>
      <c r="K310" t="str" cm="1">
        <f t="array" ref="K310">IF(ISNUMBER(H310),_xlfn.IFS(D310= ""," ",D310&lt;&gt; " ",F310*(G310/H310)),"")</f>
        <v/>
      </c>
    </row>
    <row r="311" spans="1:11" x14ac:dyDescent="0.35">
      <c r="A311" t="s">
        <v>10</v>
      </c>
      <c r="B311">
        <v>2022</v>
      </c>
      <c r="D311" s="12" t="s">
        <v>43</v>
      </c>
      <c r="E311" t="str" cm="1">
        <f t="array" ref="E311">_xlfn.IFS(D311=policy_name_clustering!$A$2,policy_name_clustering!$C$2,D311=policy_name_clustering!$A$3,policy_name_clustering!$C$3,D311=policy_name_clustering!$A$5,policy_name_clustering!$C$5,D311=policy_name_clustering!$A$6,policy_name_clustering!$C$6,D311=policy_name_clustering!$A$7,policy_name_clustering!$C$7,D311=policy_name_clustering!$A$8,policy_name_clustering!$C$8,D311=policy_name_clustering!$A$9,policy_name_clustering!$C$9,D311=policy_name_clustering!$A$10,policy_name_clustering!$C$10,D311=policy_name_clustering!$A$11,policy_name_clustering!$C$11,D311=policy_name_clustering!$A$12,policy_name_clustering!$C$12,D311=policy_name_clustering!$A$13,policy_name_clustering!$C$13,D311=policy_name_clustering!$A$14,policy_name_clustering!$C$14,D311=policy_name_clustering!$A$15,policy_name_clustering!$C$15,D311=policy_name_clustering!$A$16,policy_name_clustering!$C$16,D311="-","",D311=policy_name_clustering!$A$4,policy_name_clustering!$C$4)</f>
        <v>TGC-based</v>
      </c>
      <c r="I311">
        <f t="shared" si="6"/>
        <v>4516.0076923535344</v>
      </c>
      <c r="K311" t="str" cm="1">
        <f t="array" ref="K311">IF(ISNUMBER(H311),_xlfn.IFS(D311= ""," ",D311&lt;&gt; " ",F311*(G311/H311)),"")</f>
        <v/>
      </c>
    </row>
    <row r="312" spans="1:11" x14ac:dyDescent="0.35">
      <c r="A312" t="s">
        <v>10</v>
      </c>
      <c r="B312">
        <v>2023</v>
      </c>
      <c r="D312" s="12" t="s">
        <v>43</v>
      </c>
      <c r="E312" t="str" cm="1">
        <f t="array" ref="E312">_xlfn.IFS(D312=policy_name_clustering!$A$2,policy_name_clustering!$C$2,D312=policy_name_clustering!$A$3,policy_name_clustering!$C$3,D312=policy_name_clustering!$A$5,policy_name_clustering!$C$5,D312=policy_name_clustering!$A$6,policy_name_clustering!$C$6,D312=policy_name_clustering!$A$7,policy_name_clustering!$C$7,D312=policy_name_clustering!$A$8,policy_name_clustering!$C$8,D312=policy_name_clustering!$A$9,policy_name_clustering!$C$9,D312=policy_name_clustering!$A$10,policy_name_clustering!$C$10,D312=policy_name_clustering!$A$11,policy_name_clustering!$C$11,D312=policy_name_clustering!$A$12,policy_name_clustering!$C$12,D312=policy_name_clustering!$A$13,policy_name_clustering!$C$13,D312=policy_name_clustering!$A$14,policy_name_clustering!$C$14,D312=policy_name_clustering!$A$15,policy_name_clustering!$C$15,D312=policy_name_clustering!$A$16,policy_name_clustering!$C$16,D312="-","",D312=policy_name_clustering!$A$4,policy_name_clustering!$C$4)</f>
        <v>TGC-based</v>
      </c>
      <c r="I312">
        <f t="shared" si="6"/>
        <v>4516.0076923535344</v>
      </c>
      <c r="K312" t="str" cm="1">
        <f t="array" ref="K312">IF(ISNUMBER(H312),_xlfn.IFS(D312= ""," ",D312&lt;&gt; " ",F312*(G312/H312)),"")</f>
        <v/>
      </c>
    </row>
    <row r="313" spans="1:11" x14ac:dyDescent="0.35">
      <c r="A313" t="s">
        <v>10</v>
      </c>
      <c r="B313">
        <v>2021</v>
      </c>
      <c r="C313" t="s">
        <v>105</v>
      </c>
      <c r="D313" s="12" t="s">
        <v>42</v>
      </c>
      <c r="E313" t="str" cm="1">
        <f t="array" ref="E313">_xlfn.IFS(D313=policy_name_clustering!$A$2,policy_name_clustering!$C$2,D313=policy_name_clustering!$A$3,policy_name_clustering!$C$3,D313=policy_name_clustering!$A$5,policy_name_clustering!$C$5,D313=policy_name_clustering!$A$6,policy_name_clustering!$C$6,D313=policy_name_clustering!$A$7,policy_name_clustering!$C$7,D313=policy_name_clustering!$A$8,policy_name_clustering!$C$8,D313=policy_name_clustering!$A$9,policy_name_clustering!$C$9,D313=policy_name_clustering!$A$10,policy_name_clustering!$C$10,D313=policy_name_clustering!$A$11,policy_name_clustering!$C$11,D313=policy_name_clustering!$A$12,policy_name_clustering!$C$12,D313=policy_name_clustering!$A$13,policy_name_clustering!$C$13,D313=policy_name_clustering!$A$14,policy_name_clustering!$C$14,D313=policy_name_clustering!$A$15,policy_name_clustering!$C$15,D313=policy_name_clustering!$A$16,policy_name_clustering!$C$16,D313="-","",D313=policy_name_clustering!$A$4,policy_name_clustering!$C$4)</f>
        <v>FiT/FiP-based</v>
      </c>
      <c r="F313">
        <f>policy_contributions_cum!F125</f>
        <v>25426.783456900601</v>
      </c>
      <c r="G313">
        <f>wind_cump_cap!C271</f>
        <v>25972.9357279451</v>
      </c>
      <c r="H313">
        <f>estimated_capacity!C263</f>
        <v>27454.593300377401</v>
      </c>
      <c r="I313" cm="1">
        <f t="array" ref="I313">_xlfn.IFS(D312= ""," ",D312&lt;&gt; " ",F313*(G313/H313)-$I$270-$I$300-$I$309)</f>
        <v>2162.9261297367266</v>
      </c>
      <c r="J313" cm="1">
        <f t="array" ref="J313">_xlfn.IFS(D313= ""," ",D313&lt;&gt; " ",(H313-F313)*(G313/H313))</f>
        <v>1918.3738821726906</v>
      </c>
      <c r="K313" cm="1">
        <f t="array" ref="K313">IF(ISNUMBER(H313),_xlfn.IFS(D313= ""," ",D313&lt;&gt; " ",F313*(G313/H313)),"")</f>
        <v>24054.561845772409</v>
      </c>
    </row>
    <row r="314" spans="1:11" x14ac:dyDescent="0.35">
      <c r="A314" t="s">
        <v>10</v>
      </c>
      <c r="B314">
        <v>2022</v>
      </c>
      <c r="C314" t="s">
        <v>106</v>
      </c>
      <c r="D314" s="12" t="s">
        <v>42</v>
      </c>
      <c r="E314" t="str" cm="1">
        <f t="array" ref="E314">_xlfn.IFS(D314=policy_name_clustering!$A$2,policy_name_clustering!$C$2,D314=policy_name_clustering!$A$3,policy_name_clustering!$C$3,D314=policy_name_clustering!$A$5,policy_name_clustering!$C$5,D314=policy_name_clustering!$A$6,policy_name_clustering!$C$6,D314=policy_name_clustering!$A$7,policy_name_clustering!$C$7,D314=policy_name_clustering!$A$8,policy_name_clustering!$C$8,D314=policy_name_clustering!$A$9,policy_name_clustering!$C$9,D314=policy_name_clustering!$A$10,policy_name_clustering!$C$10,D314=policy_name_clustering!$A$11,policy_name_clustering!$C$11,D314=policy_name_clustering!$A$12,policy_name_clustering!$C$12,D314=policy_name_clustering!$A$13,policy_name_clustering!$C$13,D314=policy_name_clustering!$A$14,policy_name_clustering!$C$14,D314=policy_name_clustering!$A$15,policy_name_clustering!$C$15,D314=policy_name_clustering!$A$16,policy_name_clustering!$C$16,D314="-","",D314=policy_name_clustering!$A$4,policy_name_clustering!$C$4)</f>
        <v>FiT/FiP-based</v>
      </c>
      <c r="F314">
        <f>policy_contributions_cum!F126</f>
        <v>27231.266974161099</v>
      </c>
      <c r="G314">
        <f>wind_cump_cap!C272</f>
        <v>29012.2827409614</v>
      </c>
      <c r="H314">
        <f>estimated_capacity!C264</f>
        <v>29179.592890368898</v>
      </c>
      <c r="I314" cm="1">
        <f t="array" ref="I314">_xlfn.IFS(D313= ""," ",D313&lt;&gt; " ",F314*(G314/H314)-$I$270-$I$300-$I$309)</f>
        <v>5183.4924331897819</v>
      </c>
      <c r="J314" cm="1">
        <f t="array" ref="J314">_xlfn.IFS(D314= ""," ",D314&lt;&gt; " ",(H314-F314)*(G314/H314))</f>
        <v>1937.1545917359347</v>
      </c>
      <c r="K314" cm="1">
        <f t="array" ref="K314">IF(ISNUMBER(H314),_xlfn.IFS(D314= ""," ",D314&lt;&gt; " ",F314*(G314/H314)),"")</f>
        <v>27075.128149225464</v>
      </c>
    </row>
    <row r="315" spans="1:11" x14ac:dyDescent="0.35">
      <c r="A315" t="s">
        <v>10</v>
      </c>
      <c r="B315">
        <v>2023</v>
      </c>
      <c r="C315" t="s">
        <v>107</v>
      </c>
      <c r="D315" s="12" t="s">
        <v>42</v>
      </c>
      <c r="E315" t="str" cm="1">
        <f t="array" ref="E315">_xlfn.IFS(D315=policy_name_clustering!$A$2,policy_name_clustering!$C$2,D315=policy_name_clustering!$A$3,policy_name_clustering!$C$3,D315=policy_name_clustering!$A$5,policy_name_clustering!$C$5,D315=policy_name_clustering!$A$6,policy_name_clustering!$C$6,D315=policy_name_clustering!$A$7,policy_name_clustering!$C$7,D315=policy_name_clustering!$A$8,policy_name_clustering!$C$8,D315=policy_name_clustering!$A$9,policy_name_clustering!$C$9,D315=policy_name_clustering!$A$10,policy_name_clustering!$C$10,D315=policy_name_clustering!$A$11,policy_name_clustering!$C$11,D315=policy_name_clustering!$A$12,policy_name_clustering!$C$12,D315=policy_name_clustering!$A$13,policy_name_clustering!$C$13,D315=policy_name_clustering!$A$14,policy_name_clustering!$C$14,D315=policy_name_clustering!$A$15,policy_name_clustering!$C$15,D315=policy_name_clustering!$A$16,policy_name_clustering!$C$16,D315="-","",D315=policy_name_clustering!$A$4,policy_name_clustering!$C$4)</f>
        <v>FiT/FiP-based</v>
      </c>
      <c r="F315">
        <f>policy_contributions_cum!F127</f>
        <v>29053.254349528899</v>
      </c>
      <c r="G315">
        <f>wind_cump_cap!C273</f>
        <v>30426.181130483499</v>
      </c>
      <c r="H315">
        <f>estimated_capacity!C265</f>
        <v>30917.862730413399</v>
      </c>
      <c r="I315" cm="1">
        <f t="array" ref="I315">_xlfn.IFS(D314= ""," ",D314&lt;&gt; " ",F315*(G315/H315)-$I$270-$I$300-$I$309)</f>
        <v>6699.5895887851948</v>
      </c>
      <c r="J315" cm="1">
        <f t="array" ref="J315">_xlfn.IFS(D315= ""," ",D315&lt;&gt; " ",(H315-F315)*(G315/H315))</f>
        <v>1834.9558256626228</v>
      </c>
      <c r="K315" cm="1">
        <f t="array" ref="K315">IF(ISNUMBER(H315),_xlfn.IFS(D315= ""," ",D315&lt;&gt; " ",F315*(G315/H315)),"")</f>
        <v>28591.225304820877</v>
      </c>
    </row>
    <row r="316" spans="1:11" x14ac:dyDescent="0.35">
      <c r="A316" t="s">
        <v>32</v>
      </c>
      <c r="B316">
        <v>1993</v>
      </c>
      <c r="D316" t="s">
        <v>137</v>
      </c>
      <c r="E316" t="str" cm="1">
        <f t="array" ref="E316">_xlfn.IFS(D316=policy_name_clustering!$A$2,policy_name_clustering!$C$2,D316=policy_name_clustering!$A$3,policy_name_clustering!$C$3,D316=policy_name_clustering!$A$5,policy_name_clustering!$C$5,D316=policy_name_clustering!$A$6,policy_name_clustering!$C$6,D316=policy_name_clustering!$A$7,policy_name_clustering!$C$7,D316=policy_name_clustering!$A$8,policy_name_clustering!$C$8,D316=policy_name_clustering!$A$9,policy_name_clustering!$C$9,D316=policy_name_clustering!$A$10,policy_name_clustering!$C$10,D316=policy_name_clustering!$A$11,policy_name_clustering!$C$11,D316=policy_name_clustering!$A$12,policy_name_clustering!$C$12,D316=policy_name_clustering!$A$13,policy_name_clustering!$C$13,D316=policy_name_clustering!$A$14,policy_name_clustering!$C$14,D316=policy_name_clustering!$A$15,policy_name_clustering!$C$15,D316=policy_name_clustering!$A$16,policy_name_clustering!$C$16,D316="-","",D316=policy_name_clustering!$A$4,policy_name_clustering!$C$4)</f>
        <v/>
      </c>
      <c r="G316">
        <f>wind_cump_cap!C275</f>
        <v>27</v>
      </c>
      <c r="H316">
        <f>estimated_capacity!C266</f>
        <v>7.1697165343172502</v>
      </c>
      <c r="I316" cm="1">
        <f t="array" ref="I316">_xlfn.IFS(D316= ""," ",D316&lt;&gt; " ",F316*(G316/H316))</f>
        <v>0</v>
      </c>
      <c r="J316" cm="1">
        <f t="array" ref="J316">_xlfn.IFS(D316= ""," ",D316&lt;&gt; " ",(H316-F316)*(G316/H316))</f>
        <v>27</v>
      </c>
      <c r="K316" cm="1">
        <f t="array" ref="K316">IF(ISNUMBER(H316),_xlfn.IFS(D316= ""," ",D316&lt;&gt; " ",F316*(G316/H316)),"")</f>
        <v>0</v>
      </c>
    </row>
    <row r="317" spans="1:11" x14ac:dyDescent="0.35">
      <c r="A317" t="s">
        <v>32</v>
      </c>
      <c r="B317">
        <v>1994</v>
      </c>
      <c r="D317" t="s">
        <v>137</v>
      </c>
      <c r="E317" t="str" cm="1">
        <f t="array" ref="E317">_xlfn.IFS(D317=policy_name_clustering!$A$2,policy_name_clustering!$C$2,D317=policy_name_clustering!$A$3,policy_name_clustering!$C$3,D317=policy_name_clustering!$A$5,policy_name_clustering!$C$5,D317=policy_name_clustering!$A$6,policy_name_clustering!$C$6,D317=policy_name_clustering!$A$7,policy_name_clustering!$C$7,D317=policy_name_clustering!$A$8,policy_name_clustering!$C$8,D317=policy_name_clustering!$A$9,policy_name_clustering!$C$9,D317=policy_name_clustering!$A$10,policy_name_clustering!$C$10,D317=policy_name_clustering!$A$11,policy_name_clustering!$C$11,D317=policy_name_clustering!$A$12,policy_name_clustering!$C$12,D317=policy_name_clustering!$A$13,policy_name_clustering!$C$13,D317=policy_name_clustering!$A$14,policy_name_clustering!$C$14,D317=policy_name_clustering!$A$15,policy_name_clustering!$C$15,D317=policy_name_clustering!$A$16,policy_name_clustering!$C$16,D317="-","",D317=policy_name_clustering!$A$4,policy_name_clustering!$C$4)</f>
        <v/>
      </c>
      <c r="G317">
        <f>wind_cump_cap!C276</f>
        <v>27</v>
      </c>
      <c r="H317">
        <f>estimated_capacity!C267</f>
        <v>21.705936900237401</v>
      </c>
      <c r="I317" cm="1">
        <f t="array" ref="I317">_xlfn.IFS(D317= ""," ",D317&lt;&gt; " ",F317*(G317/H317))</f>
        <v>0</v>
      </c>
      <c r="J317" cm="1">
        <f t="array" ref="J317">_xlfn.IFS(D317= ""," ",D317&lt;&gt; " ",(H317-F317)*(G317/H317))</f>
        <v>26.999999999999996</v>
      </c>
      <c r="K317" cm="1">
        <f t="array" ref="K317">IF(ISNUMBER(H317),_xlfn.IFS(D317= ""," ",D317&lt;&gt; " ",F317*(G317/H317)),"")</f>
        <v>0</v>
      </c>
    </row>
    <row r="318" spans="1:11" x14ac:dyDescent="0.35">
      <c r="A318" t="s">
        <v>32</v>
      </c>
      <c r="B318">
        <v>1995</v>
      </c>
      <c r="D318" t="s">
        <v>137</v>
      </c>
      <c r="E318" t="str" cm="1">
        <f t="array" ref="E318">_xlfn.IFS(D318=policy_name_clustering!$A$2,policy_name_clustering!$C$2,D318=policy_name_clustering!$A$3,policy_name_clustering!$C$3,D318=policy_name_clustering!$A$5,policy_name_clustering!$C$5,D318=policy_name_clustering!$A$6,policy_name_clustering!$C$6,D318=policy_name_clustering!$A$7,policy_name_clustering!$C$7,D318=policy_name_clustering!$A$8,policy_name_clustering!$C$8,D318=policy_name_clustering!$A$9,policy_name_clustering!$C$9,D318=policy_name_clustering!$A$10,policy_name_clustering!$C$10,D318=policy_name_clustering!$A$11,policy_name_clustering!$C$11,D318=policy_name_clustering!$A$12,policy_name_clustering!$C$12,D318=policy_name_clustering!$A$13,policy_name_clustering!$C$13,D318=policy_name_clustering!$A$14,policy_name_clustering!$C$14,D318=policy_name_clustering!$A$15,policy_name_clustering!$C$15,D318=policy_name_clustering!$A$16,policy_name_clustering!$C$16,D318="-","",D318=policy_name_clustering!$A$4,policy_name_clustering!$C$4)</f>
        <v/>
      </c>
      <c r="G318">
        <f>wind_cump_cap!C277</f>
        <v>27</v>
      </c>
      <c r="H318">
        <f>estimated_capacity!C268</f>
        <v>53.818691339110799</v>
      </c>
      <c r="I318" cm="1">
        <f t="array" ref="I318">_xlfn.IFS(D318= ""," ",D318&lt;&gt; " ",F318*(G318/H318))</f>
        <v>0</v>
      </c>
      <c r="J318" cm="1">
        <f t="array" ref="J318">_xlfn.IFS(D318= ""," ",D318&lt;&gt; " ",(H318-F318)*(G318/H318))</f>
        <v>27</v>
      </c>
      <c r="K318" cm="1">
        <f t="array" ref="K318">IF(ISNUMBER(H318),_xlfn.IFS(D318= ""," ",D318&lt;&gt; " ",F318*(G318/H318)),"")</f>
        <v>0</v>
      </c>
    </row>
    <row r="319" spans="1:11" x14ac:dyDescent="0.35">
      <c r="A319" t="s">
        <v>32</v>
      </c>
      <c r="B319">
        <v>1996</v>
      </c>
      <c r="D319" t="s">
        <v>137</v>
      </c>
      <c r="E319" t="str" cm="1">
        <f t="array" ref="E319">_xlfn.IFS(D319=policy_name_clustering!$A$2,policy_name_clustering!$C$2,D319=policy_name_clustering!$A$3,policy_name_clustering!$C$3,D319=policy_name_clustering!$A$5,policy_name_clustering!$C$5,D319=policy_name_clustering!$A$6,policy_name_clustering!$C$6,D319=policy_name_clustering!$A$7,policy_name_clustering!$C$7,D319=policy_name_clustering!$A$8,policy_name_clustering!$C$8,D319=policy_name_clustering!$A$9,policy_name_clustering!$C$9,D319=policy_name_clustering!$A$10,policy_name_clustering!$C$10,D319=policy_name_clustering!$A$11,policy_name_clustering!$C$11,D319=policy_name_clustering!$A$12,policy_name_clustering!$C$12,D319=policy_name_clustering!$A$13,policy_name_clustering!$C$13,D319=policy_name_clustering!$A$14,policy_name_clustering!$C$14,D319=policy_name_clustering!$A$15,policy_name_clustering!$C$15,D319=policy_name_clustering!$A$16,policy_name_clustering!$C$16,D319="-","",D319=policy_name_clustering!$A$4,policy_name_clustering!$C$4)</f>
        <v/>
      </c>
      <c r="G319">
        <f>wind_cump_cap!C278</f>
        <v>27</v>
      </c>
      <c r="H319">
        <f>estimated_capacity!C269</f>
        <v>98.112925563477106</v>
      </c>
      <c r="I319" cm="1">
        <f t="array" ref="I319">_xlfn.IFS(D319= ""," ",D319&lt;&gt; " ",F319*(G319/H319))</f>
        <v>0</v>
      </c>
      <c r="J319" cm="1">
        <f t="array" ref="J319">_xlfn.IFS(D319= ""," ",D319&lt;&gt; " ",(H319-F319)*(G319/H319))</f>
        <v>27</v>
      </c>
      <c r="K319" cm="1">
        <f t="array" ref="K319">IF(ISNUMBER(H319),_xlfn.IFS(D319= ""," ",D319&lt;&gt; " ",F319*(G319/H319)),"")</f>
        <v>0</v>
      </c>
    </row>
    <row r="320" spans="1:11" x14ac:dyDescent="0.35">
      <c r="A320" t="s">
        <v>32</v>
      </c>
      <c r="B320">
        <v>1997</v>
      </c>
      <c r="D320" t="s">
        <v>137</v>
      </c>
      <c r="E320" t="str" cm="1">
        <f t="array" ref="E320">_xlfn.IFS(D320=policy_name_clustering!$A$2,policy_name_clustering!$C$2,D320=policy_name_clustering!$A$3,policy_name_clustering!$C$3,D320=policy_name_clustering!$A$5,policy_name_clustering!$C$5,D320=policy_name_clustering!$A$6,policy_name_clustering!$C$6,D320=policy_name_clustering!$A$7,policy_name_clustering!$C$7,D320=policy_name_clustering!$A$8,policy_name_clustering!$C$8,D320=policy_name_clustering!$A$9,policy_name_clustering!$C$9,D320=policy_name_clustering!$A$10,policy_name_clustering!$C$10,D320=policy_name_clustering!$A$11,policy_name_clustering!$C$11,D320=policy_name_clustering!$A$12,policy_name_clustering!$C$12,D320=policy_name_clustering!$A$13,policy_name_clustering!$C$13,D320=policy_name_clustering!$A$14,policy_name_clustering!$C$14,D320=policy_name_clustering!$A$15,policy_name_clustering!$C$15,D320=policy_name_clustering!$A$16,policy_name_clustering!$C$16,D320="-","",D320=policy_name_clustering!$A$4,policy_name_clustering!$C$4)</f>
        <v/>
      </c>
      <c r="G320">
        <f>wind_cump_cap!C279</f>
        <v>27</v>
      </c>
      <c r="H320">
        <f>estimated_capacity!C270</f>
        <v>164.167537442434</v>
      </c>
      <c r="I320" cm="1">
        <f t="array" ref="I320">_xlfn.IFS(D320= ""," ",D320&lt;&gt; " ",F320*(G320/H320))</f>
        <v>0</v>
      </c>
      <c r="J320" cm="1">
        <f t="array" ref="J320">_xlfn.IFS(D320= ""," ",D320&lt;&gt; " ",(H320-F320)*(G320/H320))</f>
        <v>27</v>
      </c>
      <c r="K320" cm="1">
        <f t="array" ref="K320">IF(ISNUMBER(H320),_xlfn.IFS(D320= ""," ",D320&lt;&gt; " ",F320*(G320/H320)),"")</f>
        <v>0</v>
      </c>
    </row>
    <row r="321" spans="1:11" x14ac:dyDescent="0.35">
      <c r="A321" t="s">
        <v>32</v>
      </c>
      <c r="B321">
        <v>1998</v>
      </c>
      <c r="D321" t="s">
        <v>137</v>
      </c>
      <c r="E321" t="str" cm="1">
        <f t="array" ref="E321">_xlfn.IFS(D321=policy_name_clustering!$A$2,policy_name_clustering!$C$2,D321=policy_name_clustering!$A$3,policy_name_clustering!$C$3,D321=policy_name_clustering!$A$5,policy_name_clustering!$C$5,D321=policy_name_clustering!$A$6,policy_name_clustering!$C$6,D321=policy_name_clustering!$A$7,policy_name_clustering!$C$7,D321=policy_name_clustering!$A$8,policy_name_clustering!$C$8,D321=policy_name_clustering!$A$9,policy_name_clustering!$C$9,D321=policy_name_clustering!$A$10,policy_name_clustering!$C$10,D321=policy_name_clustering!$A$11,policy_name_clustering!$C$11,D321=policy_name_clustering!$A$12,policy_name_clustering!$C$12,D321=policy_name_clustering!$A$13,policy_name_clustering!$C$13,D321=policy_name_clustering!$A$14,policy_name_clustering!$C$14,D321=policy_name_clustering!$A$15,policy_name_clustering!$C$15,D321=policy_name_clustering!$A$16,policy_name_clustering!$C$16,D321="-","",D321=policy_name_clustering!$A$4,policy_name_clustering!$C$4)</f>
        <v/>
      </c>
      <c r="G321">
        <f>wind_cump_cap!C280</f>
        <v>38</v>
      </c>
      <c r="H321">
        <f>estimated_capacity!C271</f>
        <v>233.70620836285801</v>
      </c>
      <c r="I321" cm="1">
        <f t="array" ref="I321">_xlfn.IFS(D321= ""," ",D321&lt;&gt; " ",F321*(G321/H321))</f>
        <v>0</v>
      </c>
      <c r="J321" cm="1">
        <f t="array" ref="J321">_xlfn.IFS(D321= ""," ",D321&lt;&gt; " ",(H321-F321)*(G321/H321))</f>
        <v>38</v>
      </c>
      <c r="K321" cm="1">
        <f t="array" ref="K321">IF(ISNUMBER(H321),_xlfn.IFS(D321= ""," ",D321&lt;&gt; " ",F321*(G321/H321)),"")</f>
        <v>0</v>
      </c>
    </row>
    <row r="322" spans="1:11" x14ac:dyDescent="0.35">
      <c r="A322" t="s">
        <v>32</v>
      </c>
      <c r="B322">
        <v>1999</v>
      </c>
      <c r="D322" t="s">
        <v>137</v>
      </c>
      <c r="E322" t="str" cm="1">
        <f t="array" ref="E322">_xlfn.IFS(D322=policy_name_clustering!$A$2,policy_name_clustering!$C$2,D322=policy_name_clustering!$A$3,policy_name_clustering!$C$3,D322=policy_name_clustering!$A$5,policy_name_clustering!$C$5,D322=policy_name_clustering!$A$6,policy_name_clustering!$C$6,D322=policy_name_clustering!$A$7,policy_name_clustering!$C$7,D322=policy_name_clustering!$A$8,policy_name_clustering!$C$8,D322=policy_name_clustering!$A$9,policy_name_clustering!$C$9,D322=policy_name_clustering!$A$10,policy_name_clustering!$C$10,D322=policy_name_clustering!$A$11,policy_name_clustering!$C$11,D322=policy_name_clustering!$A$12,policy_name_clustering!$C$12,D322=policy_name_clustering!$A$13,policy_name_clustering!$C$13,D322=policy_name_clustering!$A$14,policy_name_clustering!$C$14,D322=policy_name_clustering!$A$15,policy_name_clustering!$C$15,D322=policy_name_clustering!$A$16,policy_name_clustering!$C$16,D322="-","",D322=policy_name_clustering!$A$4,policy_name_clustering!$C$4)</f>
        <v/>
      </c>
      <c r="G322">
        <f>wind_cump_cap!C281</f>
        <v>109</v>
      </c>
      <c r="H322">
        <f>estimated_capacity!C272</f>
        <v>326.15327298511897</v>
      </c>
      <c r="I322" cm="1">
        <f t="array" ref="I322">_xlfn.IFS(D322= ""," ",D322&lt;&gt; " ",F322*(G322/H322))</f>
        <v>0</v>
      </c>
      <c r="J322" cm="1">
        <f t="array" ref="J322">_xlfn.IFS(D322= ""," ",D322&lt;&gt; " ",(H322-F322)*(G322/H322))</f>
        <v>109</v>
      </c>
      <c r="K322" cm="1">
        <f t="array" ref="K322">IF(ISNUMBER(H322),_xlfn.IFS(D322= ""," ",D322&lt;&gt; " ",F322*(G322/H322)),"")</f>
        <v>0</v>
      </c>
    </row>
    <row r="323" spans="1:11" x14ac:dyDescent="0.35">
      <c r="A323" t="s">
        <v>32</v>
      </c>
      <c r="B323">
        <v>2000</v>
      </c>
      <c r="D323" t="s">
        <v>137</v>
      </c>
      <c r="E323" t="str" cm="1">
        <f t="array" ref="E323">_xlfn.IFS(D323=policy_name_clustering!$A$2,policy_name_clustering!$C$2,D323=policy_name_clustering!$A$3,policy_name_clustering!$C$3,D323=policy_name_clustering!$A$5,policy_name_clustering!$C$5,D323=policy_name_clustering!$A$6,policy_name_clustering!$C$6,D323=policy_name_clustering!$A$7,policy_name_clustering!$C$7,D323=policy_name_clustering!$A$8,policy_name_clustering!$C$8,D323=policy_name_clustering!$A$9,policy_name_clustering!$C$9,D323=policy_name_clustering!$A$10,policy_name_clustering!$C$10,D323=policy_name_clustering!$A$11,policy_name_clustering!$C$11,D323=policy_name_clustering!$A$12,policy_name_clustering!$C$12,D323=policy_name_clustering!$A$13,policy_name_clustering!$C$13,D323=policy_name_clustering!$A$14,policy_name_clustering!$C$14,D323=policy_name_clustering!$A$15,policy_name_clustering!$C$15,D323=policy_name_clustering!$A$16,policy_name_clustering!$C$16,D323="-","",D323=policy_name_clustering!$A$4,policy_name_clustering!$C$4)</f>
        <v/>
      </c>
      <c r="G323">
        <f>wind_cump_cap!C282</f>
        <v>226</v>
      </c>
      <c r="H323">
        <f>estimated_capacity!C273</f>
        <v>426.37928323503399</v>
      </c>
      <c r="I323" cm="1">
        <f t="array" ref="I323">_xlfn.IFS(D323= ""," ",D323&lt;&gt; " ",F323*(G323/H323))</f>
        <v>0</v>
      </c>
      <c r="J323" cm="1">
        <f t="array" ref="J323">_xlfn.IFS(D323= ""," ",D323&lt;&gt; " ",(H323-F323)*(G323/H323))</f>
        <v>226</v>
      </c>
      <c r="K323" cm="1">
        <f t="array" ref="K323">IF(ISNUMBER(H323),_xlfn.IFS(D323= ""," ",D323&lt;&gt; " ",F323*(G323/H323)),"")</f>
        <v>0</v>
      </c>
    </row>
    <row r="324" spans="1:11" x14ac:dyDescent="0.35">
      <c r="A324" t="s">
        <v>32</v>
      </c>
      <c r="B324">
        <v>2001</v>
      </c>
      <c r="D324" t="s">
        <v>137</v>
      </c>
      <c r="E324" t="str" cm="1">
        <f t="array" ref="E324">_xlfn.IFS(D324=policy_name_clustering!$A$2,policy_name_clustering!$C$2,D324=policy_name_clustering!$A$3,policy_name_clustering!$C$3,D324=policy_name_clustering!$A$5,policy_name_clustering!$C$5,D324=policy_name_clustering!$A$6,policy_name_clustering!$C$6,D324=policy_name_clustering!$A$7,policy_name_clustering!$C$7,D324=policy_name_clustering!$A$8,policy_name_clustering!$C$8,D324=policy_name_clustering!$A$9,policy_name_clustering!$C$9,D324=policy_name_clustering!$A$10,policy_name_clustering!$C$10,D324=policy_name_clustering!$A$11,policy_name_clustering!$C$11,D324=policy_name_clustering!$A$12,policy_name_clustering!$C$12,D324=policy_name_clustering!$A$13,policy_name_clustering!$C$13,D324=policy_name_clustering!$A$14,policy_name_clustering!$C$14,D324=policy_name_clustering!$A$15,policy_name_clustering!$C$15,D324=policy_name_clustering!$A$16,policy_name_clustering!$C$16,D324="-","",D324=policy_name_clustering!$A$4,policy_name_clustering!$C$4)</f>
        <v/>
      </c>
      <c r="G324">
        <f>wind_cump_cap!C283</f>
        <v>270</v>
      </c>
      <c r="H324">
        <f>estimated_capacity!C274</f>
        <v>546.69825005119901</v>
      </c>
      <c r="I324" cm="1">
        <f t="array" ref="I324">_xlfn.IFS(D324= ""," ",D324&lt;&gt; " ",F324*(G324/H324))</f>
        <v>0</v>
      </c>
      <c r="J324" cm="1">
        <f t="array" ref="J324">_xlfn.IFS(D324= ""," ",D324&lt;&gt; " ",(H324-F324)*(G324/H324))</f>
        <v>270</v>
      </c>
      <c r="K324" cm="1">
        <f t="array" ref="K324">IF(ISNUMBER(H324),_xlfn.IFS(D324= ""," ",D324&lt;&gt; " ",F324*(G324/H324)),"")</f>
        <v>0</v>
      </c>
    </row>
    <row r="325" spans="1:11" x14ac:dyDescent="0.35">
      <c r="A325" t="s">
        <v>32</v>
      </c>
      <c r="B325">
        <v>2002</v>
      </c>
      <c r="D325" t="s">
        <v>137</v>
      </c>
      <c r="E325" t="str" cm="1">
        <f t="array" ref="E325">_xlfn.IFS(D325=policy_name_clustering!$A$2,policy_name_clustering!$C$2,D325=policy_name_clustering!$A$3,policy_name_clustering!$C$3,D325=policy_name_clustering!$A$5,policy_name_clustering!$C$5,D325=policy_name_clustering!$A$6,policy_name_clustering!$C$6,D325=policy_name_clustering!$A$7,policy_name_clustering!$C$7,D325=policy_name_clustering!$A$8,policy_name_clustering!$C$8,D325=policy_name_clustering!$A$9,policy_name_clustering!$C$9,D325=policy_name_clustering!$A$10,policy_name_clustering!$C$10,D325=policy_name_clustering!$A$11,policy_name_clustering!$C$11,D325=policy_name_clustering!$A$12,policy_name_clustering!$C$12,D325=policy_name_clustering!$A$13,policy_name_clustering!$C$13,D325=policy_name_clustering!$A$14,policy_name_clustering!$C$14,D325=policy_name_clustering!$A$15,policy_name_clustering!$C$15,D325=policy_name_clustering!$A$16,policy_name_clustering!$C$16,D325="-","",D325=policy_name_clustering!$A$4,policy_name_clustering!$C$4)</f>
        <v/>
      </c>
      <c r="G325">
        <f>wind_cump_cap!C284</f>
        <v>287</v>
      </c>
      <c r="H325">
        <f>estimated_capacity!C275</f>
        <v>670.45720006359397</v>
      </c>
      <c r="I325" cm="1">
        <f t="array" ref="I325">_xlfn.IFS(D325= ""," ",D325&lt;&gt; " ",F325*(G325/H325))</f>
        <v>0</v>
      </c>
      <c r="J325" cm="1">
        <f t="array" ref="J325">_xlfn.IFS(D325= ""," ",D325&lt;&gt; " ",(H325-F325)*(G325/H325))</f>
        <v>287</v>
      </c>
      <c r="K325" cm="1">
        <f t="array" ref="K325">IF(ISNUMBER(H325),_xlfn.IFS(D325= ""," ",D325&lt;&gt; " ",F325*(G325/H325)),"")</f>
        <v>0</v>
      </c>
    </row>
    <row r="326" spans="1:11" x14ac:dyDescent="0.35">
      <c r="A326" t="s">
        <v>32</v>
      </c>
      <c r="B326">
        <v>2003</v>
      </c>
      <c r="D326" t="s">
        <v>137</v>
      </c>
      <c r="E326" t="str" cm="1">
        <f t="array" ref="E326">_xlfn.IFS(D326=policy_name_clustering!$A$2,policy_name_clustering!$C$2,D326=policy_name_clustering!$A$3,policy_name_clustering!$C$3,D326=policy_name_clustering!$A$5,policy_name_clustering!$C$5,D326=policy_name_clustering!$A$6,policy_name_clustering!$C$6,D326=policy_name_clustering!$A$7,policy_name_clustering!$C$7,D326=policy_name_clustering!$A$8,policy_name_clustering!$C$8,D326=policy_name_clustering!$A$9,policy_name_clustering!$C$9,D326=policy_name_clustering!$A$10,policy_name_clustering!$C$10,D326=policy_name_clustering!$A$11,policy_name_clustering!$C$11,D326=policy_name_clustering!$A$12,policy_name_clustering!$C$12,D326=policy_name_clustering!$A$13,policy_name_clustering!$C$13,D326=policy_name_clustering!$A$14,policy_name_clustering!$C$14,D326=policy_name_clustering!$A$15,policy_name_clustering!$C$15,D326=policy_name_clustering!$A$16,policy_name_clustering!$C$16,D326="-","",D326=policy_name_clustering!$A$4,policy_name_clustering!$C$4)</f>
        <v/>
      </c>
      <c r="G326">
        <f>wind_cump_cap!C285</f>
        <v>371</v>
      </c>
      <c r="H326">
        <f>estimated_capacity!C276</f>
        <v>815.81254448559002</v>
      </c>
      <c r="I326" cm="1">
        <f t="array" ref="I326">_xlfn.IFS(D326= ""," ",D326&lt;&gt; " ",F326*(G326/H326))</f>
        <v>0</v>
      </c>
      <c r="J326" cm="1">
        <f t="array" ref="J326">_xlfn.IFS(D326= ""," ",D326&lt;&gt; " ",(H326-F326)*(G326/H326))</f>
        <v>371</v>
      </c>
      <c r="K326" cm="1">
        <f t="array" ref="K326">IF(ISNUMBER(H326),_xlfn.IFS(D326= ""," ",D326&lt;&gt; " ",F326*(G326/H326)),"")</f>
        <v>0</v>
      </c>
    </row>
    <row r="327" spans="1:11" x14ac:dyDescent="0.35">
      <c r="A327" t="s">
        <v>32</v>
      </c>
      <c r="B327">
        <v>2004</v>
      </c>
      <c r="D327" t="s">
        <v>137</v>
      </c>
      <c r="E327" t="str" cm="1">
        <f t="array" ref="E327">_xlfn.IFS(D327=policy_name_clustering!$A$2,policy_name_clustering!$C$2,D327=policy_name_clustering!$A$3,policy_name_clustering!$C$3,D327=policy_name_clustering!$A$5,policy_name_clustering!$C$5,D327=policy_name_clustering!$A$6,policy_name_clustering!$C$6,D327=policy_name_clustering!$A$7,policy_name_clustering!$C$7,D327=policy_name_clustering!$A$8,policy_name_clustering!$C$8,D327=policy_name_clustering!$A$9,policy_name_clustering!$C$9,D327=policy_name_clustering!$A$10,policy_name_clustering!$C$10,D327=policy_name_clustering!$A$11,policy_name_clustering!$C$11,D327=policy_name_clustering!$A$12,policy_name_clustering!$C$12,D327=policy_name_clustering!$A$13,policy_name_clustering!$C$13,D327=policy_name_clustering!$A$14,policy_name_clustering!$C$14,D327=policy_name_clustering!$A$15,policy_name_clustering!$C$15,D327=policy_name_clustering!$A$16,policy_name_clustering!$C$16,D327="-","",D327=policy_name_clustering!$A$4,policy_name_clustering!$C$4)</f>
        <v/>
      </c>
      <c r="G327">
        <f>wind_cump_cap!C286</f>
        <v>470</v>
      </c>
      <c r="H327">
        <f>estimated_capacity!C277</f>
        <v>957.40892429609698</v>
      </c>
      <c r="I327" cm="1">
        <f t="array" ref="I327">_xlfn.IFS(D327= ""," ",D327&lt;&gt; " ",F327*(G327/H327))</f>
        <v>0</v>
      </c>
      <c r="J327" cm="1">
        <f t="array" ref="J327">_xlfn.IFS(D327= ""," ",D327&lt;&gt; " ",(H327-F327)*(G327/H327))</f>
        <v>470</v>
      </c>
      <c r="K327" cm="1">
        <f t="array" ref="K327">IF(ISNUMBER(H327),_xlfn.IFS(D327= ""," ",D327&lt;&gt; " ",F327*(G327/H327)),"")</f>
        <v>0</v>
      </c>
    </row>
    <row r="328" spans="1:11" x14ac:dyDescent="0.35">
      <c r="A328" t="s">
        <v>32</v>
      </c>
      <c r="B328">
        <v>2005</v>
      </c>
      <c r="D328" t="s">
        <v>137</v>
      </c>
      <c r="E328" t="str" cm="1">
        <f t="array" ref="E328">_xlfn.IFS(D328=policy_name_clustering!$A$2,policy_name_clustering!$C$2,D328=policy_name_clustering!$A$3,policy_name_clustering!$C$3,D328=policy_name_clustering!$A$5,policy_name_clustering!$C$5,D328=policy_name_clustering!$A$6,policy_name_clustering!$C$6,D328=policy_name_clustering!$A$7,policy_name_clustering!$C$7,D328=policy_name_clustering!$A$8,policy_name_clustering!$C$8,D328=policy_name_clustering!$A$9,policy_name_clustering!$C$9,D328=policy_name_clustering!$A$10,policy_name_clustering!$C$10,D328=policy_name_clustering!$A$11,policy_name_clustering!$C$11,D328=policy_name_clustering!$A$12,policy_name_clustering!$C$12,D328=policy_name_clustering!$A$13,policy_name_clustering!$C$13,D328=policy_name_clustering!$A$14,policy_name_clustering!$C$14,D328=policy_name_clustering!$A$15,policy_name_clustering!$C$15,D328=policy_name_clustering!$A$16,policy_name_clustering!$C$16,D328="-","",D328=policy_name_clustering!$A$4,policy_name_clustering!$C$4)</f>
        <v/>
      </c>
      <c r="G328">
        <f>wind_cump_cap!C287</f>
        <v>491</v>
      </c>
      <c r="H328">
        <f>estimated_capacity!C278</f>
        <v>1122.5340124055001</v>
      </c>
      <c r="I328" cm="1">
        <f t="array" ref="I328">_xlfn.IFS(D328= ""," ",D328&lt;&gt; " ",F328*(G328/H328))</f>
        <v>0</v>
      </c>
      <c r="J328" cm="1">
        <f t="array" ref="J328">_xlfn.IFS(D328= ""," ",D328&lt;&gt; " ",(H328-F328)*(G328/H328))</f>
        <v>491.00000000000006</v>
      </c>
      <c r="K328" cm="1">
        <f t="array" ref="K328">IF(ISNUMBER(H328),_xlfn.IFS(D328= ""," ",D328&lt;&gt; " ",F328*(G328/H328)),"")</f>
        <v>0</v>
      </c>
    </row>
    <row r="329" spans="1:11" x14ac:dyDescent="0.35">
      <c r="A329" t="s">
        <v>32</v>
      </c>
      <c r="B329">
        <v>2006</v>
      </c>
      <c r="D329" t="s">
        <v>137</v>
      </c>
      <c r="E329" t="str" cm="1">
        <f t="array" ref="E329">_xlfn.IFS(D329=policy_name_clustering!$A$2,policy_name_clustering!$C$2,D329=policy_name_clustering!$A$3,policy_name_clustering!$C$3,D329=policy_name_clustering!$A$5,policy_name_clustering!$C$5,D329=policy_name_clustering!$A$6,policy_name_clustering!$C$6,D329=policy_name_clustering!$A$7,policy_name_clustering!$C$7,D329=policy_name_clustering!$A$8,policy_name_clustering!$C$8,D329=policy_name_clustering!$A$9,policy_name_clustering!$C$9,D329=policy_name_clustering!$A$10,policy_name_clustering!$C$10,D329=policy_name_clustering!$A$11,policy_name_clustering!$C$11,D329=policy_name_clustering!$A$12,policy_name_clustering!$C$12,D329=policy_name_clustering!$A$13,policy_name_clustering!$C$13,D329=policy_name_clustering!$A$14,policy_name_clustering!$C$14,D329=policy_name_clustering!$A$15,policy_name_clustering!$C$15,D329=policy_name_clustering!$A$16,policy_name_clustering!$C$16,D329="-","",D329=policy_name_clustering!$A$4,policy_name_clustering!$C$4)</f>
        <v/>
      </c>
      <c r="G329">
        <f>wind_cump_cap!C288</f>
        <v>749</v>
      </c>
      <c r="H329">
        <f>estimated_capacity!C279</f>
        <v>1276.64923664721</v>
      </c>
      <c r="I329" cm="1">
        <f t="array" ref="I329">_xlfn.IFS(D329= ""," ",D329&lt;&gt; " ",F329*(G329/H329))</f>
        <v>0</v>
      </c>
      <c r="J329" cm="1">
        <f t="array" ref="J329">_xlfn.IFS(D329= ""," ",D329&lt;&gt; " ",(H329-F329)*(G329/H329))</f>
        <v>749</v>
      </c>
      <c r="K329" cm="1">
        <f t="array" ref="K329">IF(ISNUMBER(H329),_xlfn.IFS(D329= ""," ",D329&lt;&gt; " ",F329*(G329/H329)),"")</f>
        <v>0</v>
      </c>
    </row>
    <row r="330" spans="1:11" x14ac:dyDescent="0.35">
      <c r="A330" t="s">
        <v>32</v>
      </c>
      <c r="B330">
        <v>2007</v>
      </c>
      <c r="D330" t="s">
        <v>137</v>
      </c>
      <c r="E330" t="str" cm="1">
        <f t="array" ref="E330">_xlfn.IFS(D330=policy_name_clustering!$A$2,policy_name_clustering!$C$2,D330=policy_name_clustering!$A$3,policy_name_clustering!$C$3,D330=policy_name_clustering!$A$5,policy_name_clustering!$C$5,D330=policy_name_clustering!$A$6,policy_name_clustering!$C$6,D330=policy_name_clustering!$A$7,policy_name_clustering!$C$7,D330=policy_name_clustering!$A$8,policy_name_clustering!$C$8,D330=policy_name_clustering!$A$9,policy_name_clustering!$C$9,D330=policy_name_clustering!$A$10,policy_name_clustering!$C$10,D330=policy_name_clustering!$A$11,policy_name_clustering!$C$11,D330=policy_name_clustering!$A$12,policy_name_clustering!$C$12,D330=policy_name_clustering!$A$13,policy_name_clustering!$C$13,D330=policy_name_clustering!$A$14,policy_name_clustering!$C$14,D330=policy_name_clustering!$A$15,policy_name_clustering!$C$15,D330=policy_name_clustering!$A$16,policy_name_clustering!$C$16,D330="-","",D330=policy_name_clustering!$A$4,policy_name_clustering!$C$4)</f>
        <v/>
      </c>
      <c r="G330">
        <f>wind_cump_cap!C289</f>
        <v>846</v>
      </c>
      <c r="H330">
        <f>estimated_capacity!C280</f>
        <v>1425.97012291294</v>
      </c>
      <c r="I330" cm="1">
        <f t="array" ref="I330">_xlfn.IFS(D330= ""," ",D330&lt;&gt; " ",F330*(G330/H330))</f>
        <v>0</v>
      </c>
      <c r="J330" cm="1">
        <f t="array" ref="J330">_xlfn.IFS(D330= ""," ",D330&lt;&gt; " ",(H330-F330)*(G330/H330))</f>
        <v>846.00000000000011</v>
      </c>
      <c r="K330" cm="1">
        <f t="array" ref="K330">IF(ISNUMBER(H330),_xlfn.IFS(D330= ""," ",D330&lt;&gt; " ",F330*(G330/H330)),"")</f>
        <v>0</v>
      </c>
    </row>
    <row r="331" spans="1:11" x14ac:dyDescent="0.35">
      <c r="A331" t="s">
        <v>32</v>
      </c>
      <c r="B331">
        <v>2008</v>
      </c>
      <c r="D331" t="s">
        <v>137</v>
      </c>
      <c r="E331" t="str" cm="1">
        <f t="array" ref="E331">_xlfn.IFS(D331=policy_name_clustering!$A$2,policy_name_clustering!$C$2,D331=policy_name_clustering!$A$3,policy_name_clustering!$C$3,D331=policy_name_clustering!$A$5,policy_name_clustering!$C$5,D331=policy_name_clustering!$A$6,policy_name_clustering!$C$6,D331=policy_name_clustering!$A$7,policy_name_clustering!$C$7,D331=policy_name_clustering!$A$8,policy_name_clustering!$C$8,D331=policy_name_clustering!$A$9,policy_name_clustering!$C$9,D331=policy_name_clustering!$A$10,policy_name_clustering!$C$10,D331=policy_name_clustering!$A$11,policy_name_clustering!$C$11,D331=policy_name_clustering!$A$12,policy_name_clustering!$C$12,D331=policy_name_clustering!$A$13,policy_name_clustering!$C$13,D331=policy_name_clustering!$A$14,policy_name_clustering!$C$14,D331=policy_name_clustering!$A$15,policy_name_clustering!$C$15,D331=policy_name_clustering!$A$16,policy_name_clustering!$C$16,D331="-","",D331=policy_name_clustering!$A$4,policy_name_clustering!$C$4)</f>
        <v/>
      </c>
      <c r="G331">
        <f>wind_cump_cap!C290</f>
        <v>1022</v>
      </c>
      <c r="H331">
        <f>estimated_capacity!C281</f>
        <v>1557.4702298208299</v>
      </c>
      <c r="I331" cm="1">
        <f t="array" ref="I331">_xlfn.IFS(D331= ""," ",D331&lt;&gt; " ",F331*(G331/H331))</f>
        <v>0</v>
      </c>
      <c r="J331" cm="1">
        <f t="array" ref="J331">_xlfn.IFS(D331= ""," ",D331&lt;&gt; " ",(H331-F331)*(G331/H331))</f>
        <v>1022</v>
      </c>
      <c r="K331" cm="1">
        <f t="array" ref="K331">IF(ISNUMBER(H331),_xlfn.IFS(D331= ""," ",D331&lt;&gt; " ",F331*(G331/H331)),"")</f>
        <v>0</v>
      </c>
    </row>
    <row r="332" spans="1:11" x14ac:dyDescent="0.35">
      <c r="A332" t="s">
        <v>32</v>
      </c>
      <c r="B332">
        <v>2009</v>
      </c>
      <c r="D332" t="s">
        <v>137</v>
      </c>
      <c r="E332" t="str" cm="1">
        <f t="array" ref="E332">_xlfn.IFS(D332=policy_name_clustering!$A$2,policy_name_clustering!$C$2,D332=policy_name_clustering!$A$3,policy_name_clustering!$C$3,D332=policy_name_clustering!$A$5,policy_name_clustering!$C$5,D332=policy_name_clustering!$A$6,policy_name_clustering!$C$6,D332=policy_name_clustering!$A$7,policy_name_clustering!$C$7,D332=policy_name_clustering!$A$8,policy_name_clustering!$C$8,D332=policy_name_clustering!$A$9,policy_name_clustering!$C$9,D332=policy_name_clustering!$A$10,policy_name_clustering!$C$10,D332=policy_name_clustering!$A$11,policy_name_clustering!$C$11,D332=policy_name_clustering!$A$12,policy_name_clustering!$C$12,D332=policy_name_clustering!$A$13,policy_name_clustering!$C$13,D332=policy_name_clustering!$A$14,policy_name_clustering!$C$14,D332=policy_name_clustering!$A$15,policy_name_clustering!$C$15,D332=policy_name_clustering!$A$16,policy_name_clustering!$C$16,D332="-","",D332=policy_name_clustering!$A$4,policy_name_clustering!$C$4)</f>
        <v/>
      </c>
      <c r="G332">
        <f>wind_cump_cap!C291</f>
        <v>1171</v>
      </c>
      <c r="H332">
        <f>estimated_capacity!C282</f>
        <v>1680.39495436224</v>
      </c>
      <c r="I332" cm="1">
        <f t="array" ref="I332">_xlfn.IFS(D332= ""," ",D332&lt;&gt; " ",F332*(G332/H332))</f>
        <v>0</v>
      </c>
      <c r="J332" cm="1">
        <f t="array" ref="J332">_xlfn.IFS(D332= ""," ",D332&lt;&gt; " ",(H332-F332)*(G332/H332))</f>
        <v>1171</v>
      </c>
      <c r="K332" cm="1">
        <f t="array" ref="K332">IF(ISNUMBER(H332),_xlfn.IFS(D332= ""," ",D332&lt;&gt; " ",F332*(G332/H332)),"")</f>
        <v>0</v>
      </c>
    </row>
    <row r="333" spans="1:11" x14ac:dyDescent="0.35">
      <c r="A333" t="s">
        <v>32</v>
      </c>
      <c r="B333">
        <v>2010</v>
      </c>
      <c r="D333" t="s">
        <v>137</v>
      </c>
      <c r="E333" t="str" cm="1">
        <f t="array" ref="E333">_xlfn.IFS(D333=policy_name_clustering!$A$2,policy_name_clustering!$C$2,D333=policy_name_clustering!$A$3,policy_name_clustering!$C$3,D333=policy_name_clustering!$A$5,policy_name_clustering!$C$5,D333=policy_name_clustering!$A$6,policy_name_clustering!$C$6,D333=policy_name_clustering!$A$7,policy_name_clustering!$C$7,D333=policy_name_clustering!$A$8,policy_name_clustering!$C$8,D333=policy_name_clustering!$A$9,policy_name_clustering!$C$9,D333=policy_name_clustering!$A$10,policy_name_clustering!$C$10,D333=policy_name_clustering!$A$11,policy_name_clustering!$C$11,D333=policy_name_clustering!$A$12,policy_name_clustering!$C$12,D333=policy_name_clustering!$A$13,policy_name_clustering!$C$13,D333=policy_name_clustering!$A$14,policy_name_clustering!$C$14,D333=policy_name_clustering!$A$15,policy_name_clustering!$C$15,D333=policy_name_clustering!$A$16,policy_name_clustering!$C$16,D333="-","",D333=policy_name_clustering!$A$4,policy_name_clustering!$C$4)</f>
        <v/>
      </c>
      <c r="G333">
        <f>wind_cump_cap!C292</f>
        <v>1298</v>
      </c>
      <c r="H333">
        <f>estimated_capacity!C283</f>
        <v>1798.74014834337</v>
      </c>
      <c r="I333" cm="1">
        <f t="array" ref="I333">_xlfn.IFS(D333= ""," ",D333&lt;&gt; " ",F333*(G333/H333))</f>
        <v>0</v>
      </c>
      <c r="J333" cm="1">
        <f t="array" ref="J333">_xlfn.IFS(D333= ""," ",D333&lt;&gt; " ",(H333-F333)*(G333/H333))</f>
        <v>1298</v>
      </c>
      <c r="K333" cm="1">
        <f t="array" ref="K333">IF(ISNUMBER(H333),_xlfn.IFS(D333= ""," ",D333&lt;&gt; " ",F333*(G333/H333)),"")</f>
        <v>0</v>
      </c>
    </row>
    <row r="334" spans="1:11" x14ac:dyDescent="0.35">
      <c r="A334" t="s">
        <v>32</v>
      </c>
      <c r="B334">
        <v>2011</v>
      </c>
      <c r="D334" t="s">
        <v>137</v>
      </c>
      <c r="E334" t="str" cm="1">
        <f t="array" ref="E334">_xlfn.IFS(D334=policy_name_clustering!$A$2,policy_name_clustering!$C$2,D334=policy_name_clustering!$A$3,policy_name_clustering!$C$3,D334=policy_name_clustering!$A$5,policy_name_clustering!$C$5,D334=policy_name_clustering!$A$6,policy_name_clustering!$C$6,D334=policy_name_clustering!$A$7,policy_name_clustering!$C$7,D334=policy_name_clustering!$A$8,policy_name_clustering!$C$8,D334=policy_name_clustering!$A$9,policy_name_clustering!$C$9,D334=policy_name_clustering!$A$10,policy_name_clustering!$C$10,D334=policy_name_clustering!$A$11,policy_name_clustering!$C$11,D334=policy_name_clustering!$A$12,policy_name_clustering!$C$12,D334=policy_name_clustering!$A$13,policy_name_clustering!$C$13,D334=policy_name_clustering!$A$14,policy_name_clustering!$C$14,D334=policy_name_clustering!$A$15,policy_name_clustering!$C$15,D334=policy_name_clustering!$A$16,policy_name_clustering!$C$16,D334="-","",D334=policy_name_clustering!$A$4,policy_name_clustering!$C$4)</f>
        <v/>
      </c>
      <c r="G334">
        <f>wind_cump_cap!C293</f>
        <v>1640</v>
      </c>
      <c r="H334">
        <f>estimated_capacity!C284</f>
        <v>1901.2421644572501</v>
      </c>
      <c r="I334" cm="1">
        <f t="array" ref="I334">_xlfn.IFS(D334= ""," ",D334&lt;&gt; " ",F334*(G334/H334))</f>
        <v>0</v>
      </c>
      <c r="J334" cm="1">
        <f t="array" ref="J334">_xlfn.IFS(D334= ""," ",D334&lt;&gt; " ",(H334-F334)*(G334/H334))</f>
        <v>1640</v>
      </c>
      <c r="K334" cm="1">
        <f t="array" ref="K334">IF(ISNUMBER(H334),_xlfn.IFS(D334= ""," ",D334&lt;&gt; " ",F334*(G334/H334)),"")</f>
        <v>0</v>
      </c>
    </row>
    <row r="335" spans="1:11" x14ac:dyDescent="0.35">
      <c r="A335" t="s">
        <v>32</v>
      </c>
      <c r="B335">
        <v>2012</v>
      </c>
      <c r="D335" t="s">
        <v>137</v>
      </c>
      <c r="E335" t="str" cm="1">
        <f t="array" ref="E335">_xlfn.IFS(D335=policy_name_clustering!$A$2,policy_name_clustering!$C$2,D335=policy_name_clustering!$A$3,policy_name_clustering!$C$3,D335=policy_name_clustering!$A$5,policy_name_clustering!$C$5,D335=policy_name_clustering!$A$6,policy_name_clustering!$C$6,D335=policy_name_clustering!$A$7,policy_name_clustering!$C$7,D335=policy_name_clustering!$A$8,policy_name_clustering!$C$8,D335=policy_name_clustering!$A$9,policy_name_clustering!$C$9,D335=policy_name_clustering!$A$10,policy_name_clustering!$C$10,D335=policy_name_clustering!$A$11,policy_name_clustering!$C$11,D335=policy_name_clustering!$A$12,policy_name_clustering!$C$12,D335=policy_name_clustering!$A$13,policy_name_clustering!$C$13,D335=policy_name_clustering!$A$14,policy_name_clustering!$C$14,D335=policy_name_clustering!$A$15,policy_name_clustering!$C$15,D335=policy_name_clustering!$A$16,policy_name_clustering!$C$16,D335="-","",D335=policy_name_clustering!$A$4,policy_name_clustering!$C$4)</f>
        <v/>
      </c>
      <c r="G335">
        <f>wind_cump_cap!C294</f>
        <v>1753</v>
      </c>
      <c r="H335">
        <f>estimated_capacity!C285</f>
        <v>2006.72200167558</v>
      </c>
      <c r="I335" cm="1">
        <f t="array" ref="I335">_xlfn.IFS(D335= ""," ",D335&lt;&gt; " ",F335*(G335/H335))</f>
        <v>0</v>
      </c>
      <c r="J335" cm="1">
        <f t="array" ref="J335">_xlfn.IFS(D335= ""," ",D335&lt;&gt; " ",(H335-F335)*(G335/H335))</f>
        <v>1753</v>
      </c>
      <c r="K335" cm="1">
        <f t="array" ref="K335">IF(ISNUMBER(H335),_xlfn.IFS(D335= ""," ",D335&lt;&gt; " ",F335*(G335/H335)),"")</f>
        <v>0</v>
      </c>
    </row>
    <row r="336" spans="1:11" x14ac:dyDescent="0.35">
      <c r="A336" t="s">
        <v>32</v>
      </c>
      <c r="B336">
        <v>2013</v>
      </c>
      <c r="D336" t="s">
        <v>137</v>
      </c>
      <c r="E336" t="str" cm="1">
        <f t="array" ref="E336">_xlfn.IFS(D336=policy_name_clustering!$A$2,policy_name_clustering!$C$2,D336=policy_name_clustering!$A$3,policy_name_clustering!$C$3,D336=policy_name_clustering!$A$5,policy_name_clustering!$C$5,D336=policy_name_clustering!$A$6,policy_name_clustering!$C$6,D336=policy_name_clustering!$A$7,policy_name_clustering!$C$7,D336=policy_name_clustering!$A$8,policy_name_clustering!$C$8,D336=policy_name_clustering!$A$9,policy_name_clustering!$C$9,D336=policy_name_clustering!$A$10,policy_name_clustering!$C$10,D336=policy_name_clustering!$A$11,policy_name_clustering!$C$11,D336=policy_name_clustering!$A$12,policy_name_clustering!$C$12,D336=policy_name_clustering!$A$13,policy_name_clustering!$C$13,D336=policy_name_clustering!$A$14,policy_name_clustering!$C$14,D336=policy_name_clustering!$A$15,policy_name_clustering!$C$15,D336=policy_name_clustering!$A$16,policy_name_clustering!$C$16,D336="-","",D336=policy_name_clustering!$A$4,policy_name_clustering!$C$4)</f>
        <v/>
      </c>
      <c r="G336">
        <f>wind_cump_cap!C295</f>
        <v>1809</v>
      </c>
      <c r="H336">
        <f>estimated_capacity!C286</f>
        <v>2132.1786357232099</v>
      </c>
      <c r="I336" cm="1">
        <f t="array" ref="I336">_xlfn.IFS(D336= ""," ",D336&lt;&gt; " ",F336*(G336/H336))</f>
        <v>0</v>
      </c>
      <c r="J336" cm="1">
        <f t="array" ref="J336">_xlfn.IFS(D336= ""," ",D336&lt;&gt; " ",(H336-F336)*(G336/H336))</f>
        <v>1809</v>
      </c>
      <c r="K336" cm="1">
        <f t="array" ref="K336">IF(ISNUMBER(H336),_xlfn.IFS(D336= ""," ",D336&lt;&gt; " ",F336*(G336/H336)),"")</f>
        <v>0</v>
      </c>
    </row>
    <row r="337" spans="1:11" x14ac:dyDescent="0.35">
      <c r="A337" t="s">
        <v>32</v>
      </c>
      <c r="B337">
        <v>2014</v>
      </c>
      <c r="D337" t="s">
        <v>137</v>
      </c>
      <c r="E337" t="str" cm="1">
        <f t="array" ref="E337">_xlfn.IFS(D337=policy_name_clustering!$A$2,policy_name_clustering!$C$2,D337=policy_name_clustering!$A$3,policy_name_clustering!$C$3,D337=policy_name_clustering!$A$5,policy_name_clustering!$C$5,D337=policy_name_clustering!$A$6,policy_name_clustering!$C$6,D337=policy_name_clustering!$A$7,policy_name_clustering!$C$7,D337=policy_name_clustering!$A$8,policy_name_clustering!$C$8,D337=policy_name_clustering!$A$9,policy_name_clustering!$C$9,D337=policy_name_clustering!$A$10,policy_name_clustering!$C$10,D337=policy_name_clustering!$A$11,policy_name_clustering!$C$11,D337=policy_name_clustering!$A$12,policy_name_clustering!$C$12,D337=policy_name_clustering!$A$13,policy_name_clustering!$C$13,D337=policy_name_clustering!$A$14,policy_name_clustering!$C$14,D337=policy_name_clustering!$A$15,policy_name_clustering!$C$15,D337=policy_name_clustering!$A$16,policy_name_clustering!$C$16,D337="-","",D337=policy_name_clustering!$A$4,policy_name_clustering!$C$4)</f>
        <v/>
      </c>
      <c r="G337">
        <f>wind_cump_cap!C296</f>
        <v>1978</v>
      </c>
      <c r="H337">
        <f>estimated_capacity!C287</f>
        <v>2282.0997588448599</v>
      </c>
      <c r="I337" cm="1">
        <f t="array" ref="I337">_xlfn.IFS(D337= ""," ",D337&lt;&gt; " ",F337*(G337/H337))</f>
        <v>0</v>
      </c>
      <c r="J337" cm="1">
        <f t="array" ref="J337">_xlfn.IFS(D337= ""," ",D337&lt;&gt; " ",(H337-F337)*(G337/H337))</f>
        <v>1978</v>
      </c>
      <c r="K337" cm="1">
        <f t="array" ref="K337">IF(ISNUMBER(H337),_xlfn.IFS(D337= ""," ",D337&lt;&gt; " ",F337*(G337/H337)),"")</f>
        <v>0</v>
      </c>
    </row>
    <row r="338" spans="1:11" x14ac:dyDescent="0.35">
      <c r="A338" t="s">
        <v>32</v>
      </c>
      <c r="B338">
        <v>2015</v>
      </c>
      <c r="D338" t="s">
        <v>137</v>
      </c>
      <c r="E338" t="str" cm="1">
        <f t="array" ref="E338">_xlfn.IFS(D338=policy_name_clustering!$A$2,policy_name_clustering!$C$2,D338=policy_name_clustering!$A$3,policy_name_clustering!$C$3,D338=policy_name_clustering!$A$5,policy_name_clustering!$C$5,D338=policy_name_clustering!$A$6,policy_name_clustering!$C$6,D338=policy_name_clustering!$A$7,policy_name_clustering!$C$7,D338=policy_name_clustering!$A$8,policy_name_clustering!$C$8,D338=policy_name_clustering!$A$9,policy_name_clustering!$C$9,D338=policy_name_clustering!$A$10,policy_name_clustering!$C$10,D338=policy_name_clustering!$A$11,policy_name_clustering!$C$11,D338=policy_name_clustering!$A$12,policy_name_clustering!$C$12,D338=policy_name_clustering!$A$13,policy_name_clustering!$C$13,D338=policy_name_clustering!$A$14,policy_name_clustering!$C$14,D338=policy_name_clustering!$A$15,policy_name_clustering!$C$15,D338=policy_name_clustering!$A$16,policy_name_clustering!$C$16,D338="-","",D338=policy_name_clustering!$A$4,policy_name_clustering!$C$4)</f>
        <v/>
      </c>
      <c r="G338">
        <f>wind_cump_cap!C297</f>
        <v>2091</v>
      </c>
      <c r="H338">
        <f>estimated_capacity!C288</f>
        <v>2448.6244778802602</v>
      </c>
      <c r="I338" cm="1">
        <f t="array" ref="I338">_xlfn.IFS(D338= ""," ",D338&lt;&gt; " ",F338*(G338/H338))</f>
        <v>0</v>
      </c>
      <c r="J338" cm="1">
        <f t="array" ref="J338">_xlfn.IFS(D338= ""," ",D338&lt;&gt; " ",(H338-F338)*(G338/H338))</f>
        <v>2091</v>
      </c>
      <c r="K338" cm="1">
        <f t="array" ref="K338">IF(ISNUMBER(H338),_xlfn.IFS(D338= ""," ",D338&lt;&gt; " ",F338*(G338/H338)),"")</f>
        <v>0</v>
      </c>
    </row>
    <row r="339" spans="1:11" x14ac:dyDescent="0.35">
      <c r="A339" t="s">
        <v>32</v>
      </c>
      <c r="B339">
        <v>2016</v>
      </c>
      <c r="D339" t="s">
        <v>137</v>
      </c>
      <c r="E339" t="str" cm="1">
        <f t="array" ref="E339">_xlfn.IFS(D339=policy_name_clustering!$A$2,policy_name_clustering!$C$2,D339=policy_name_clustering!$A$3,policy_name_clustering!$C$3,D339=policy_name_clustering!$A$5,policy_name_clustering!$C$5,D339=policy_name_clustering!$A$6,policy_name_clustering!$C$6,D339=policy_name_clustering!$A$7,policy_name_clustering!$C$7,D339=policy_name_clustering!$A$8,policy_name_clustering!$C$8,D339=policy_name_clustering!$A$9,policy_name_clustering!$C$9,D339=policy_name_clustering!$A$10,policy_name_clustering!$C$10,D339=policy_name_clustering!$A$11,policy_name_clustering!$C$11,D339=policy_name_clustering!$A$12,policy_name_clustering!$C$12,D339=policy_name_clustering!$A$13,policy_name_clustering!$C$13,D339=policy_name_clustering!$A$14,policy_name_clustering!$C$14,D339=policy_name_clustering!$A$15,policy_name_clustering!$C$15,D339=policy_name_clustering!$A$16,policy_name_clustering!$C$16,D339="-","",D339=policy_name_clustering!$A$4,policy_name_clustering!$C$4)</f>
        <v/>
      </c>
      <c r="G339">
        <f>wind_cump_cap!C298</f>
        <v>2370</v>
      </c>
      <c r="H339">
        <f>estimated_capacity!C289</f>
        <v>2620.4748752558298</v>
      </c>
      <c r="I339" cm="1">
        <f t="array" ref="I339">_xlfn.IFS(D339= ""," ",D339&lt;&gt; " ",F339*(G339/H339))</f>
        <v>0</v>
      </c>
      <c r="J339" cm="1">
        <f t="array" ref="J339">_xlfn.IFS(D339= ""," ",D339&lt;&gt; " ",(H339-F339)*(G339/H339))</f>
        <v>2370</v>
      </c>
      <c r="K339" cm="1">
        <f t="array" ref="K339">IF(ISNUMBER(H339),_xlfn.IFS(D339= ""," ",D339&lt;&gt; " ",F339*(G339/H339)),"")</f>
        <v>0</v>
      </c>
    </row>
    <row r="340" spans="1:11" x14ac:dyDescent="0.35">
      <c r="A340" t="s">
        <v>32</v>
      </c>
      <c r="B340">
        <v>2017</v>
      </c>
      <c r="D340" t="s">
        <v>137</v>
      </c>
      <c r="E340" t="str" cm="1">
        <f t="array" ref="E340">_xlfn.IFS(D340=policy_name_clustering!$A$2,policy_name_clustering!$C$2,D340=policy_name_clustering!$A$3,policy_name_clustering!$C$3,D340=policy_name_clustering!$A$5,policy_name_clustering!$C$5,D340=policy_name_clustering!$A$6,policy_name_clustering!$C$6,D340=policy_name_clustering!$A$7,policy_name_clustering!$C$7,D340=policy_name_clustering!$A$8,policy_name_clustering!$C$8,D340=policy_name_clustering!$A$9,policy_name_clustering!$C$9,D340=policy_name_clustering!$A$10,policy_name_clustering!$C$10,D340=policy_name_clustering!$A$11,policy_name_clustering!$C$11,D340=policy_name_clustering!$A$12,policy_name_clustering!$C$12,D340=policy_name_clustering!$A$13,policy_name_clustering!$C$13,D340=policy_name_clustering!$A$14,policy_name_clustering!$C$14,D340=policy_name_clustering!$A$15,policy_name_clustering!$C$15,D340=policy_name_clustering!$A$16,policy_name_clustering!$C$16,D340="-","",D340=policy_name_clustering!$A$4,policy_name_clustering!$C$4)</f>
        <v/>
      </c>
      <c r="G340">
        <f>wind_cump_cap!C299</f>
        <v>2624</v>
      </c>
      <c r="H340">
        <f>estimated_capacity!C290</f>
        <v>2805.9601625856099</v>
      </c>
      <c r="I340" cm="1">
        <f t="array" ref="I340">_xlfn.IFS(D340= ""," ",D340&lt;&gt; " ",F340*(G340/H340))</f>
        <v>0</v>
      </c>
      <c r="J340" cm="1">
        <f t="array" ref="J340">_xlfn.IFS(D340= ""," ",D340&lt;&gt; " ",(H340-F340)*(G340/H340))</f>
        <v>2624</v>
      </c>
      <c r="K340" cm="1">
        <f t="array" ref="K340">IF(ISNUMBER(H340),_xlfn.IFS(D340= ""," ",D340&lt;&gt; " ",F340*(G340/H340)),"")</f>
        <v>0</v>
      </c>
    </row>
    <row r="341" spans="1:11" x14ac:dyDescent="0.35">
      <c r="A341" t="s">
        <v>32</v>
      </c>
      <c r="B341">
        <v>2018</v>
      </c>
      <c r="D341" t="s">
        <v>137</v>
      </c>
      <c r="E341" t="str" cm="1">
        <f t="array" ref="E341">_xlfn.IFS(D341=policy_name_clustering!$A$2,policy_name_clustering!$C$2,D341=policy_name_clustering!$A$3,policy_name_clustering!$C$3,D341=policy_name_clustering!$A$5,policy_name_clustering!$C$5,D341=policy_name_clustering!$A$6,policy_name_clustering!$C$6,D341=policy_name_clustering!$A$7,policy_name_clustering!$C$7,D341=policy_name_clustering!$A$8,policy_name_clustering!$C$8,D341=policy_name_clustering!$A$9,policy_name_clustering!$C$9,D341=policy_name_clustering!$A$10,policy_name_clustering!$C$10,D341=policy_name_clustering!$A$11,policy_name_clustering!$C$11,D341=policy_name_clustering!$A$12,policy_name_clustering!$C$12,D341=policy_name_clustering!$A$13,policy_name_clustering!$C$13,D341=policy_name_clustering!$A$14,policy_name_clustering!$C$14,D341=policy_name_clustering!$A$15,policy_name_clustering!$C$15,D341=policy_name_clustering!$A$16,policy_name_clustering!$C$16,D341="-","",D341=policy_name_clustering!$A$4,policy_name_clustering!$C$4)</f>
        <v/>
      </c>
      <c r="G341">
        <f>wind_cump_cap!C300</f>
        <v>2877.4949999999999</v>
      </c>
      <c r="H341">
        <f>estimated_capacity!C291</f>
        <v>3025.6026523507198</v>
      </c>
      <c r="I341" cm="1">
        <f t="array" ref="I341">_xlfn.IFS(D341= ""," ",D341&lt;&gt; " ",F341*(G341/H341))</f>
        <v>0</v>
      </c>
      <c r="J341" cm="1">
        <f t="array" ref="J341">_xlfn.IFS(D341= ""," ",D341&lt;&gt; " ",(H341-F341)*(G341/H341))</f>
        <v>2877.4949999999999</v>
      </c>
      <c r="K341" cm="1">
        <f t="array" ref="K341">IF(ISNUMBER(H341),_xlfn.IFS(D341= ""," ",D341&lt;&gt; " ",F341*(G341/H341)),"")</f>
        <v>0</v>
      </c>
    </row>
    <row r="342" spans="1:11" x14ac:dyDescent="0.35">
      <c r="A342" t="s">
        <v>32</v>
      </c>
      <c r="B342">
        <v>2019</v>
      </c>
      <c r="D342" t="s">
        <v>137</v>
      </c>
      <c r="E342" t="str" cm="1">
        <f t="array" ref="E342">_xlfn.IFS(D342=policy_name_clustering!$A$2,policy_name_clustering!$C$2,D342=policy_name_clustering!$A$3,policy_name_clustering!$C$3,D342=policy_name_clustering!$A$5,policy_name_clustering!$C$5,D342=policy_name_clustering!$A$6,policy_name_clustering!$C$6,D342=policy_name_clustering!$A$7,policy_name_clustering!$C$7,D342=policy_name_clustering!$A$8,policy_name_clustering!$C$8,D342=policy_name_clustering!$A$9,policy_name_clustering!$C$9,D342=policy_name_clustering!$A$10,policy_name_clustering!$C$10,D342=policy_name_clustering!$A$11,policy_name_clustering!$C$11,D342=policy_name_clustering!$A$12,policy_name_clustering!$C$12,D342=policy_name_clustering!$A$13,policy_name_clustering!$C$13,D342=policy_name_clustering!$A$14,policy_name_clustering!$C$14,D342=policy_name_clustering!$A$15,policy_name_clustering!$C$15,D342=policy_name_clustering!$A$16,policy_name_clustering!$C$16,D342="-","",D342=policy_name_clustering!$A$4,policy_name_clustering!$C$4)</f>
        <v/>
      </c>
      <c r="G342">
        <f>wind_cump_cap!C301</f>
        <v>3589</v>
      </c>
      <c r="H342">
        <f>estimated_capacity!C292</f>
        <v>3287.29863703297</v>
      </c>
      <c r="I342" cm="1">
        <f t="array" ref="I342">_xlfn.IFS(D342= ""," ",D342&lt;&gt; " ",F342*(G342/H342))</f>
        <v>0</v>
      </c>
      <c r="J342" cm="1">
        <f t="array" ref="J342">_xlfn.IFS(D342= ""," ",D342&lt;&gt; " ",(H342-F342)*(G342/H342))</f>
        <v>3588.9999999999995</v>
      </c>
      <c r="K342" cm="1">
        <f t="array" ref="K342">IF(ISNUMBER(H342),_xlfn.IFS(D342= ""," ",D342&lt;&gt; " ",F342*(G342/H342)),"")</f>
        <v>0</v>
      </c>
    </row>
    <row r="343" spans="1:11" x14ac:dyDescent="0.35">
      <c r="A343" t="s">
        <v>32</v>
      </c>
      <c r="B343">
        <v>2020</v>
      </c>
      <c r="D343" t="s">
        <v>137</v>
      </c>
      <c r="E343" t="str" cm="1">
        <f t="array" ref="E343">_xlfn.IFS(D343=policy_name_clustering!$A$2,policy_name_clustering!$C$2,D343=policy_name_clustering!$A$3,policy_name_clustering!$C$3,D343=policy_name_clustering!$A$5,policy_name_clustering!$C$5,D343=policy_name_clustering!$A$6,policy_name_clustering!$C$6,D343=policy_name_clustering!$A$7,policy_name_clustering!$C$7,D343=policy_name_clustering!$A$8,policy_name_clustering!$C$8,D343=policy_name_clustering!$A$9,policy_name_clustering!$C$9,D343=policy_name_clustering!$A$10,policy_name_clustering!$C$10,D343=policy_name_clustering!$A$11,policy_name_clustering!$C$11,D343=policy_name_clustering!$A$12,policy_name_clustering!$C$12,D343=policy_name_clustering!$A$13,policy_name_clustering!$C$13,D343=policy_name_clustering!$A$14,policy_name_clustering!$C$14,D343=policy_name_clustering!$A$15,policy_name_clustering!$C$15,D343=policy_name_clustering!$A$16,policy_name_clustering!$C$16,D343="-","",D343=policy_name_clustering!$A$4,policy_name_clustering!$C$4)</f>
        <v/>
      </c>
      <c r="G343">
        <f>wind_cump_cap!C302</f>
        <v>4119.25</v>
      </c>
      <c r="H343">
        <f>estimated_capacity!C293</f>
        <v>3627.4888961063398</v>
      </c>
      <c r="I343" cm="1">
        <f t="array" ref="I343">_xlfn.IFS(D343= ""," ",D343&lt;&gt; " ",F343*(G343/H343))</f>
        <v>0</v>
      </c>
      <c r="J343" cm="1">
        <f t="array" ref="J343">_xlfn.IFS(D343= ""," ",D343&lt;&gt; " ",(H343-F343)*(G343/H343))</f>
        <v>4119.25</v>
      </c>
      <c r="K343" cm="1">
        <f t="array" ref="K343">IF(ISNUMBER(H343),_xlfn.IFS(D343= ""," ",D343&lt;&gt; " ",F343*(G343/H343)),"")</f>
        <v>0</v>
      </c>
    </row>
    <row r="344" spans="1:11" x14ac:dyDescent="0.35">
      <c r="A344" t="s">
        <v>32</v>
      </c>
      <c r="B344">
        <v>2021</v>
      </c>
      <c r="D344" t="s">
        <v>137</v>
      </c>
      <c r="E344" t="str" cm="1">
        <f t="array" ref="E344">_xlfn.IFS(D344=policy_name_clustering!$A$2,policy_name_clustering!$C$2,D344=policy_name_clustering!$A$3,policy_name_clustering!$C$3,D344=policy_name_clustering!$A$5,policy_name_clustering!$C$5,D344=policy_name_clustering!$A$6,policy_name_clustering!$C$6,D344=policy_name_clustering!$A$7,policy_name_clustering!$C$7,D344=policy_name_clustering!$A$8,policy_name_clustering!$C$8,D344=policy_name_clustering!$A$9,policy_name_clustering!$C$9,D344=policy_name_clustering!$A$10,policy_name_clustering!$C$10,D344=policy_name_clustering!$A$11,policy_name_clustering!$C$11,D344=policy_name_clustering!$A$12,policy_name_clustering!$C$12,D344=policy_name_clustering!$A$13,policy_name_clustering!$C$13,D344=policy_name_clustering!$A$14,policy_name_clustering!$C$14,D344=policy_name_clustering!$A$15,policy_name_clustering!$C$15,D344=policy_name_clustering!$A$16,policy_name_clustering!$C$16,D344="-","",D344=policy_name_clustering!$A$4,policy_name_clustering!$C$4)</f>
        <v/>
      </c>
      <c r="G344">
        <f>wind_cump_cap!C303</f>
        <v>4649.13</v>
      </c>
      <c r="H344">
        <f>estimated_capacity!C294</f>
        <v>4010.3286234851098</v>
      </c>
      <c r="I344" cm="1">
        <f t="array" ref="I344">_xlfn.IFS(D344= ""," ",D344&lt;&gt; " ",F344*(G344/H344))</f>
        <v>0</v>
      </c>
      <c r="J344" cm="1">
        <f t="array" ref="J344">_xlfn.IFS(D344= ""," ",D344&lt;&gt; " ",(H344-F344)*(G344/H344))</f>
        <v>4649.13</v>
      </c>
      <c r="K344" cm="1">
        <f t="array" ref="K344">IF(ISNUMBER(H344),_xlfn.IFS(D344= ""," ",D344&lt;&gt; " ",F344*(G344/H344)),"")</f>
        <v>0</v>
      </c>
    </row>
    <row r="345" spans="1:11" x14ac:dyDescent="0.35">
      <c r="A345" t="s">
        <v>32</v>
      </c>
      <c r="B345">
        <v>2022</v>
      </c>
      <c r="D345" t="s">
        <v>137</v>
      </c>
      <c r="E345" t="str" cm="1">
        <f t="array" ref="E345">_xlfn.IFS(D345=policy_name_clustering!$A$2,policy_name_clustering!$C$2,D345=policy_name_clustering!$A$3,policy_name_clustering!$C$3,D345=policy_name_clustering!$A$5,policy_name_clustering!$C$5,D345=policy_name_clustering!$A$6,policy_name_clustering!$C$6,D345=policy_name_clustering!$A$7,policy_name_clustering!$C$7,D345=policy_name_clustering!$A$8,policy_name_clustering!$C$8,D345=policy_name_clustering!$A$9,policy_name_clustering!$C$9,D345=policy_name_clustering!$A$10,policy_name_clustering!$C$10,D345=policy_name_clustering!$A$11,policy_name_clustering!$C$11,D345=policy_name_clustering!$A$12,policy_name_clustering!$C$12,D345=policy_name_clustering!$A$13,policy_name_clustering!$C$13,D345=policy_name_clustering!$A$14,policy_name_clustering!$C$14,D345=policy_name_clustering!$A$15,policy_name_clustering!$C$15,D345=policy_name_clustering!$A$16,policy_name_clustering!$C$16,D345="-","",D345=policy_name_clustering!$A$4,policy_name_clustering!$C$4)</f>
        <v/>
      </c>
      <c r="G345">
        <f>wind_cump_cap!C304</f>
        <v>4702.33</v>
      </c>
      <c r="H345">
        <f>estimated_capacity!C295</f>
        <v>4391.4333563997197</v>
      </c>
      <c r="I345" cm="1">
        <f t="array" ref="I345">_xlfn.IFS(D345= ""," ",D345&lt;&gt; " ",F345*(G345/H345))</f>
        <v>0</v>
      </c>
      <c r="J345" cm="1">
        <f t="array" ref="J345">_xlfn.IFS(D345= ""," ",D345&lt;&gt; " ",(H345-F345)*(G345/H345))</f>
        <v>4702.33</v>
      </c>
      <c r="K345" cm="1">
        <f t="array" ref="K345">IF(ISNUMBER(H345),_xlfn.IFS(D345= ""," ",D345&lt;&gt; " ",F345*(G345/H345)),"")</f>
        <v>0</v>
      </c>
    </row>
    <row r="346" spans="1:11" x14ac:dyDescent="0.35">
      <c r="A346" t="s">
        <v>32</v>
      </c>
      <c r="B346">
        <v>2023</v>
      </c>
      <c r="D346" t="s">
        <v>137</v>
      </c>
      <c r="E346" t="str" cm="1">
        <f t="array" ref="E346">_xlfn.IFS(D346=policy_name_clustering!$A$2,policy_name_clustering!$C$2,D346=policy_name_clustering!$A$3,policy_name_clustering!$C$3,D346=policy_name_clustering!$A$5,policy_name_clustering!$C$5,D346=policy_name_clustering!$A$6,policy_name_clustering!$C$6,D346=policy_name_clustering!$A$7,policy_name_clustering!$C$7,D346=policy_name_clustering!$A$8,policy_name_clustering!$C$8,D346=policy_name_clustering!$A$9,policy_name_clustering!$C$9,D346=policy_name_clustering!$A$10,policy_name_clustering!$C$10,D346=policy_name_clustering!$A$11,policy_name_clustering!$C$11,D346=policy_name_clustering!$A$12,policy_name_clustering!$C$12,D346=policy_name_clustering!$A$13,policy_name_clustering!$C$13,D346=policy_name_clustering!$A$14,policy_name_clustering!$C$14,D346=policy_name_clustering!$A$15,policy_name_clustering!$C$15,D346=policy_name_clustering!$A$16,policy_name_clustering!$C$16,D346="-","",D346=policy_name_clustering!$A$4,policy_name_clustering!$C$4)</f>
        <v/>
      </c>
      <c r="G346">
        <f>wind_cump_cap!C305</f>
        <v>5231.7030000000004</v>
      </c>
      <c r="H346">
        <f>estimated_capacity!C296</f>
        <v>4845.0882544839396</v>
      </c>
      <c r="I346" cm="1">
        <f t="array" ref="I346">_xlfn.IFS(D346= ""," ",D346&lt;&gt; " ",F346*(G346/H346))</f>
        <v>0</v>
      </c>
      <c r="J346" cm="1">
        <f t="array" ref="J346">_xlfn.IFS(D346= ""," ",D346&lt;&gt; " ",(H346-F346)*(G346/H346))</f>
        <v>5231.7030000000004</v>
      </c>
      <c r="K346" cm="1">
        <f t="array" ref="K346">IF(ISNUMBER(H346),_xlfn.IFS(D346= ""," ",D346&lt;&gt; " ",F346*(G346/H346)),"")</f>
        <v>0</v>
      </c>
    </row>
    <row r="347" spans="1:11" x14ac:dyDescent="0.35">
      <c r="A347" t="s">
        <v>33</v>
      </c>
      <c r="B347">
        <v>1991</v>
      </c>
      <c r="D347" t="s">
        <v>137</v>
      </c>
      <c r="E347" t="str" cm="1">
        <f t="array" ref="E347">_xlfn.IFS(D347=policy_name_clustering!$A$2,policy_name_clustering!$C$2,D347=policy_name_clustering!$A$3,policy_name_clustering!$C$3,D347=policy_name_clustering!$A$5,policy_name_clustering!$C$5,D347=policy_name_clustering!$A$6,policy_name_clustering!$C$6,D347=policy_name_clustering!$A$7,policy_name_clustering!$C$7,D347=policy_name_clustering!$A$8,policy_name_clustering!$C$8,D347=policy_name_clustering!$A$9,policy_name_clustering!$C$9,D347=policy_name_clustering!$A$10,policy_name_clustering!$C$10,D347=policy_name_clustering!$A$11,policy_name_clustering!$C$11,D347=policy_name_clustering!$A$12,policy_name_clustering!$C$12,D347=policy_name_clustering!$A$13,policy_name_clustering!$C$13,D347=policy_name_clustering!$A$14,policy_name_clustering!$C$14,D347=policy_name_clustering!$A$15,policy_name_clustering!$C$15,D347=policy_name_clustering!$A$16,policy_name_clustering!$C$16,D347="-","",D347=policy_name_clustering!$A$4,policy_name_clustering!$C$4)</f>
        <v/>
      </c>
      <c r="G347">
        <f>wind_cump_cap!C307</f>
        <v>0</v>
      </c>
      <c r="H347">
        <f>estimated_capacity!C297</f>
        <v>4.7486128390569</v>
      </c>
      <c r="I347" cm="1">
        <f t="array" ref="I347">_xlfn.IFS(D347= ""," ",D347&lt;&gt; " ",F347*(G347/H347))</f>
        <v>0</v>
      </c>
      <c r="J347" cm="1">
        <f t="array" ref="J347">_xlfn.IFS(D347= ""," ",D347&lt;&gt; " ",(H347-F347)*(G347/H347))</f>
        <v>0</v>
      </c>
      <c r="K347" cm="1">
        <f t="array" ref="K347">IF(ISNUMBER(H347),_xlfn.IFS(D347= ""," ",D347&lt;&gt; " ",F347*(G347/H347)),"")</f>
        <v>0</v>
      </c>
    </row>
    <row r="348" spans="1:11" x14ac:dyDescent="0.35">
      <c r="A348" t="s">
        <v>33</v>
      </c>
      <c r="B348">
        <v>1992</v>
      </c>
      <c r="D348" t="s">
        <v>137</v>
      </c>
      <c r="E348" t="str" cm="1">
        <f t="array" ref="E348">_xlfn.IFS(D348=policy_name_clustering!$A$2,policy_name_clustering!$C$2,D348=policy_name_clustering!$A$3,policy_name_clustering!$C$3,D348=policy_name_clustering!$A$5,policy_name_clustering!$C$5,D348=policy_name_clustering!$A$6,policy_name_clustering!$C$6,D348=policy_name_clustering!$A$7,policy_name_clustering!$C$7,D348=policy_name_clustering!$A$8,policy_name_clustering!$C$8,D348=policy_name_clustering!$A$9,policy_name_clustering!$C$9,D348=policy_name_clustering!$A$10,policy_name_clustering!$C$10,D348=policy_name_clustering!$A$11,policy_name_clustering!$C$11,D348=policy_name_clustering!$A$12,policy_name_clustering!$C$12,D348=policy_name_clustering!$A$13,policy_name_clustering!$C$13,D348=policy_name_clustering!$A$14,policy_name_clustering!$C$14,D348=policy_name_clustering!$A$15,policy_name_clustering!$C$15,D348=policy_name_clustering!$A$16,policy_name_clustering!$C$16,D348="-","",D348=policy_name_clustering!$A$4,policy_name_clustering!$C$4)</f>
        <v/>
      </c>
      <c r="G348">
        <f>wind_cump_cap!C308</f>
        <v>6.5</v>
      </c>
      <c r="H348">
        <f>estimated_capacity!C298</f>
        <v>11.7695261592854</v>
      </c>
      <c r="I348" cm="1">
        <f t="array" ref="I348">_xlfn.IFS(D348= ""," ",D348&lt;&gt; " ",F348*(G348/H348))</f>
        <v>0</v>
      </c>
      <c r="J348" cm="1">
        <f t="array" ref="J348">_xlfn.IFS(D348= ""," ",D348&lt;&gt; " ",(H348-F348)*(G348/H348))</f>
        <v>6.5000000000000009</v>
      </c>
      <c r="K348" cm="1">
        <f t="array" ref="K348">IF(ISNUMBER(H348),_xlfn.IFS(D348= ""," ",D348&lt;&gt; " ",F348*(G348/H348)),"")</f>
        <v>0</v>
      </c>
    </row>
    <row r="349" spans="1:11" x14ac:dyDescent="0.35">
      <c r="A349" t="s">
        <v>33</v>
      </c>
      <c r="B349">
        <v>1993</v>
      </c>
      <c r="D349" t="s">
        <v>137</v>
      </c>
      <c r="E349" t="str" cm="1">
        <f t="array" ref="E349">_xlfn.IFS(D349=policy_name_clustering!$A$2,policy_name_clustering!$C$2,D349=policy_name_clustering!$A$3,policy_name_clustering!$C$3,D349=policy_name_clustering!$A$5,policy_name_clustering!$C$5,D349=policy_name_clustering!$A$6,policy_name_clustering!$C$6,D349=policy_name_clustering!$A$7,policy_name_clustering!$C$7,D349=policy_name_clustering!$A$8,policy_name_clustering!$C$8,D349=policy_name_clustering!$A$9,policy_name_clustering!$C$9,D349=policy_name_clustering!$A$10,policy_name_clustering!$C$10,D349=policy_name_clustering!$A$11,policy_name_clustering!$C$11,D349=policy_name_clustering!$A$12,policy_name_clustering!$C$12,D349=policy_name_clustering!$A$13,policy_name_clustering!$C$13,D349=policy_name_clustering!$A$14,policy_name_clustering!$C$14,D349=policy_name_clustering!$A$15,policy_name_clustering!$C$15,D349=policy_name_clustering!$A$16,policy_name_clustering!$C$16,D349="-","",D349=policy_name_clustering!$A$4,policy_name_clustering!$C$4)</f>
        <v/>
      </c>
      <c r="G349">
        <f>wind_cump_cap!C309</f>
        <v>6.5</v>
      </c>
      <c r="H349">
        <f>estimated_capacity!C299</f>
        <v>26.860533571128801</v>
      </c>
      <c r="I349" cm="1">
        <f t="array" ref="I349">_xlfn.IFS(D349= ""," ",D349&lt;&gt; " ",F349*(G349/H349))</f>
        <v>0</v>
      </c>
      <c r="J349" cm="1">
        <f t="array" ref="J349">_xlfn.IFS(D349= ""," ",D349&lt;&gt; " ",(H349-F349)*(G349/H349))</f>
        <v>6.5</v>
      </c>
      <c r="K349" cm="1">
        <f t="array" ref="K349">IF(ISNUMBER(H349),_xlfn.IFS(D349= ""," ",D349&lt;&gt; " ",F349*(G349/H349)),"")</f>
        <v>0</v>
      </c>
    </row>
    <row r="350" spans="1:11" x14ac:dyDescent="0.35">
      <c r="A350" t="s">
        <v>33</v>
      </c>
      <c r="B350">
        <v>1994</v>
      </c>
      <c r="D350" t="s">
        <v>137</v>
      </c>
      <c r="E350" t="str" cm="1">
        <f t="array" ref="E350">_xlfn.IFS(D350=policy_name_clustering!$A$2,policy_name_clustering!$C$2,D350=policy_name_clustering!$A$3,policy_name_clustering!$C$3,D350=policy_name_clustering!$A$5,policy_name_clustering!$C$5,D350=policy_name_clustering!$A$6,policy_name_clustering!$C$6,D350=policy_name_clustering!$A$7,policy_name_clustering!$C$7,D350=policy_name_clustering!$A$8,policy_name_clustering!$C$8,D350=policy_name_clustering!$A$9,policy_name_clustering!$C$9,D350=policy_name_clustering!$A$10,policy_name_clustering!$C$10,D350=policy_name_clustering!$A$11,policy_name_clustering!$C$11,D350=policy_name_clustering!$A$12,policy_name_clustering!$C$12,D350=policy_name_clustering!$A$13,policy_name_clustering!$C$13,D350=policy_name_clustering!$A$14,policy_name_clustering!$C$14,D350=policy_name_clustering!$A$15,policy_name_clustering!$C$15,D350=policy_name_clustering!$A$16,policy_name_clustering!$C$16,D350="-","",D350=policy_name_clustering!$A$4,policy_name_clustering!$C$4)</f>
        <v/>
      </c>
      <c r="G350">
        <f>wind_cump_cap!C310</f>
        <v>6.5</v>
      </c>
      <c r="H350">
        <f>estimated_capacity!C300</f>
        <v>46.9289429438616</v>
      </c>
      <c r="I350" cm="1">
        <f t="array" ref="I350">_xlfn.IFS(D350= ""," ",D350&lt;&gt; " ",F350*(G350/H350))</f>
        <v>0</v>
      </c>
      <c r="J350" cm="1">
        <f t="array" ref="J350">_xlfn.IFS(D350= ""," ",D350&lt;&gt; " ",(H350-F350)*(G350/H350))</f>
        <v>6.5</v>
      </c>
      <c r="K350" cm="1">
        <f t="array" ref="K350">IF(ISNUMBER(H350),_xlfn.IFS(D350= ""," ",D350&lt;&gt; " ",F350*(G350/H350)),"")</f>
        <v>0</v>
      </c>
    </row>
    <row r="351" spans="1:11" x14ac:dyDescent="0.35">
      <c r="A351" t="s">
        <v>33</v>
      </c>
      <c r="B351">
        <v>1995</v>
      </c>
      <c r="D351" t="s">
        <v>137</v>
      </c>
      <c r="E351" t="str" cm="1">
        <f t="array" ref="E351">_xlfn.IFS(D351=policy_name_clustering!$A$2,policy_name_clustering!$C$2,D351=policy_name_clustering!$A$3,policy_name_clustering!$C$3,D351=policy_name_clustering!$A$5,policy_name_clustering!$C$5,D351=policy_name_clustering!$A$6,policy_name_clustering!$C$6,D351=policy_name_clustering!$A$7,policy_name_clustering!$C$7,D351=policy_name_clustering!$A$8,policy_name_clustering!$C$8,D351=policy_name_clustering!$A$9,policy_name_clustering!$C$9,D351=policy_name_clustering!$A$10,policy_name_clustering!$C$10,D351=policy_name_clustering!$A$11,policy_name_clustering!$C$11,D351=policy_name_clustering!$A$12,policy_name_clustering!$C$12,D351=policy_name_clustering!$A$13,policy_name_clustering!$C$13,D351=policy_name_clustering!$A$14,policy_name_clustering!$C$14,D351=policy_name_clustering!$A$15,policy_name_clustering!$C$15,D351=policy_name_clustering!$A$16,policy_name_clustering!$C$16,D351="-","",D351=policy_name_clustering!$A$4,policy_name_clustering!$C$4)</f>
        <v/>
      </c>
      <c r="G351">
        <f>wind_cump_cap!C311</f>
        <v>6.5</v>
      </c>
      <c r="H351">
        <f>estimated_capacity!C301</f>
        <v>79.885117381310494</v>
      </c>
      <c r="I351" cm="1">
        <f t="array" ref="I351">_xlfn.IFS(D351= ""," ",D351&lt;&gt; " ",F351*(G351/H351))</f>
        <v>0</v>
      </c>
      <c r="J351" cm="1">
        <f t="array" ref="J351">_xlfn.IFS(D351= ""," ",D351&lt;&gt; " ",(H351-F351)*(G351/H351))</f>
        <v>6.5</v>
      </c>
      <c r="K351" cm="1">
        <f t="array" ref="K351">IF(ISNUMBER(H351),_xlfn.IFS(D351= ""," ",D351&lt;&gt; " ",F351*(G351/H351)),"")</f>
        <v>0</v>
      </c>
    </row>
    <row r="352" spans="1:11" x14ac:dyDescent="0.35">
      <c r="A352" t="s">
        <v>33</v>
      </c>
      <c r="B352">
        <v>1996</v>
      </c>
      <c r="D352" t="s">
        <v>137</v>
      </c>
      <c r="E352" t="str" cm="1">
        <f t="array" ref="E352">_xlfn.IFS(D352=policy_name_clustering!$A$2,policy_name_clustering!$C$2,D352=policy_name_clustering!$A$3,policy_name_clustering!$C$3,D352=policy_name_clustering!$A$5,policy_name_clustering!$C$5,D352=policy_name_clustering!$A$6,policy_name_clustering!$C$6,D352=policy_name_clustering!$A$7,policy_name_clustering!$C$7,D352=policy_name_clustering!$A$8,policy_name_clustering!$C$8,D352=policy_name_clustering!$A$9,policy_name_clustering!$C$9,D352=policy_name_clustering!$A$10,policy_name_clustering!$C$10,D352=policy_name_clustering!$A$11,policy_name_clustering!$C$11,D352=policy_name_clustering!$A$12,policy_name_clustering!$C$12,D352=policy_name_clustering!$A$13,policy_name_clustering!$C$13,D352=policy_name_clustering!$A$14,policy_name_clustering!$C$14,D352=policy_name_clustering!$A$15,policy_name_clustering!$C$15,D352=policy_name_clustering!$A$16,policy_name_clustering!$C$16,D352="-","",D352=policy_name_clustering!$A$4,policy_name_clustering!$C$4)</f>
        <v/>
      </c>
      <c r="G352">
        <f>wind_cump_cap!C312</f>
        <v>6.5</v>
      </c>
      <c r="H352">
        <f>estimated_capacity!C302</f>
        <v>123.947995237356</v>
      </c>
      <c r="I352" cm="1">
        <f t="array" ref="I352">_xlfn.IFS(D352= ""," ",D352&lt;&gt; " ",F352*(G352/H352))</f>
        <v>0</v>
      </c>
      <c r="J352" cm="1">
        <f t="array" ref="J352">_xlfn.IFS(D352= ""," ",D352&lt;&gt; " ",(H352-F352)*(G352/H352))</f>
        <v>6.5</v>
      </c>
      <c r="K352" cm="1">
        <f t="array" ref="K352">IF(ISNUMBER(H352),_xlfn.IFS(D352= ""," ",D352&lt;&gt; " ",F352*(G352/H352)),"")</f>
        <v>0</v>
      </c>
    </row>
    <row r="353" spans="1:11" x14ac:dyDescent="0.35">
      <c r="A353" t="s">
        <v>33</v>
      </c>
      <c r="B353">
        <v>1997</v>
      </c>
      <c r="D353" t="s">
        <v>137</v>
      </c>
      <c r="E353" t="str" cm="1">
        <f t="array" ref="E353">_xlfn.IFS(D353=policy_name_clustering!$A$2,policy_name_clustering!$C$2,D353=policy_name_clustering!$A$3,policy_name_clustering!$C$3,D353=policy_name_clustering!$A$5,policy_name_clustering!$C$5,D353=policy_name_clustering!$A$6,policy_name_clustering!$C$6,D353=policy_name_clustering!$A$7,policy_name_clustering!$C$7,D353=policy_name_clustering!$A$8,policy_name_clustering!$C$8,D353=policy_name_clustering!$A$9,policy_name_clustering!$C$9,D353=policy_name_clustering!$A$10,policy_name_clustering!$C$10,D353=policy_name_clustering!$A$11,policy_name_clustering!$C$11,D353=policy_name_clustering!$A$12,policy_name_clustering!$C$12,D353=policy_name_clustering!$A$13,policy_name_clustering!$C$13,D353=policy_name_clustering!$A$14,policy_name_clustering!$C$14,D353=policy_name_clustering!$A$15,policy_name_clustering!$C$15,D353=policy_name_clustering!$A$16,policy_name_clustering!$C$16,D353="-","",D353=policy_name_clustering!$A$4,policy_name_clustering!$C$4)</f>
        <v/>
      </c>
      <c r="G353">
        <f>wind_cump_cap!C313</f>
        <v>57.2</v>
      </c>
      <c r="H353">
        <f>estimated_capacity!C303</f>
        <v>183.47638790363101</v>
      </c>
      <c r="I353" cm="1">
        <f t="array" ref="I353">_xlfn.IFS(D353= ""," ",D353&lt;&gt; " ",F353*(G353/H353))</f>
        <v>0</v>
      </c>
      <c r="J353" cm="1">
        <f t="array" ref="J353">_xlfn.IFS(D353= ""," ",D353&lt;&gt; " ",(H353-F353)*(G353/H353))</f>
        <v>57.199999999999996</v>
      </c>
      <c r="K353" cm="1">
        <f t="array" ref="K353">IF(ISNUMBER(H353),_xlfn.IFS(D353= ""," ",D353&lt;&gt; " ",F353*(G353/H353)),"")</f>
        <v>0</v>
      </c>
    </row>
    <row r="354" spans="1:11" x14ac:dyDescent="0.35">
      <c r="A354" t="s">
        <v>33</v>
      </c>
      <c r="B354">
        <v>1998</v>
      </c>
      <c r="D354" t="s">
        <v>137</v>
      </c>
      <c r="E354" t="str" cm="1">
        <f t="array" ref="E354">_xlfn.IFS(D354=policy_name_clustering!$A$2,policy_name_clustering!$C$2,D354=policy_name_clustering!$A$3,policy_name_clustering!$C$3,D354=policy_name_clustering!$A$5,policy_name_clustering!$C$5,D354=policy_name_clustering!$A$6,policy_name_clustering!$C$6,D354=policy_name_clustering!$A$7,policy_name_clustering!$C$7,D354=policy_name_clustering!$A$8,policy_name_clustering!$C$8,D354=policy_name_clustering!$A$9,policy_name_clustering!$C$9,D354=policy_name_clustering!$A$10,policy_name_clustering!$C$10,D354=policy_name_clustering!$A$11,policy_name_clustering!$C$11,D354=policy_name_clustering!$A$12,policy_name_clustering!$C$12,D354=policy_name_clustering!$A$13,policy_name_clustering!$C$13,D354=policy_name_clustering!$A$14,policy_name_clustering!$C$14,D354=policy_name_clustering!$A$15,policy_name_clustering!$C$15,D354=policy_name_clustering!$A$16,policy_name_clustering!$C$16,D354="-","",D354=policy_name_clustering!$A$4,policy_name_clustering!$C$4)</f>
        <v/>
      </c>
      <c r="G354">
        <f>wind_cump_cap!C314</f>
        <v>62.2</v>
      </c>
      <c r="H354">
        <f>estimated_capacity!C304</f>
        <v>248.81153626947</v>
      </c>
      <c r="I354" cm="1">
        <f t="array" ref="I354">_xlfn.IFS(D354= ""," ",D354&lt;&gt; " ",F354*(G354/H354))</f>
        <v>0</v>
      </c>
      <c r="J354" cm="1">
        <f t="array" ref="J354">_xlfn.IFS(D354= ""," ",D354&lt;&gt; " ",(H354-F354)*(G354/H354))</f>
        <v>62.2</v>
      </c>
      <c r="K354" cm="1">
        <f t="array" ref="K354">IF(ISNUMBER(H354),_xlfn.IFS(D354= ""," ",D354&lt;&gt; " ",F354*(G354/H354)),"")</f>
        <v>0</v>
      </c>
    </row>
    <row r="355" spans="1:11" x14ac:dyDescent="0.35">
      <c r="A355" t="s">
        <v>33</v>
      </c>
      <c r="B355">
        <v>1999</v>
      </c>
      <c r="D355" t="s">
        <v>137</v>
      </c>
      <c r="E355" t="str" cm="1">
        <f t="array" ref="E355">_xlfn.IFS(D355=policy_name_clustering!$A$2,policy_name_clustering!$C$2,D355=policy_name_clustering!$A$3,policy_name_clustering!$C$3,D355=policy_name_clustering!$A$5,policy_name_clustering!$C$5,D355=policy_name_clustering!$A$6,policy_name_clustering!$C$6,D355=policy_name_clustering!$A$7,policy_name_clustering!$C$7,D355=policy_name_clustering!$A$8,policy_name_clustering!$C$8,D355=policy_name_clustering!$A$9,policy_name_clustering!$C$9,D355=policy_name_clustering!$A$10,policy_name_clustering!$C$10,D355=policy_name_clustering!$A$11,policy_name_clustering!$C$11,D355=policy_name_clustering!$A$12,policy_name_clustering!$C$12,D355=policy_name_clustering!$A$13,policy_name_clustering!$C$13,D355=policy_name_clustering!$A$14,policy_name_clustering!$C$14,D355=policy_name_clustering!$A$15,policy_name_clustering!$C$15,D355=policy_name_clustering!$A$16,policy_name_clustering!$C$16,D355="-","",D355=policy_name_clustering!$A$4,policy_name_clustering!$C$4)</f>
        <v/>
      </c>
      <c r="G355">
        <f>wind_cump_cap!C315</f>
        <v>70.2</v>
      </c>
      <c r="H355">
        <f>estimated_capacity!C305</f>
        <v>328.74606549444798</v>
      </c>
      <c r="I355" cm="1">
        <f t="array" ref="I355">_xlfn.IFS(D355= ""," ",D355&lt;&gt; " ",F355*(G355/H355))</f>
        <v>0</v>
      </c>
      <c r="J355" cm="1">
        <f t="array" ref="J355">_xlfn.IFS(D355= ""," ",D355&lt;&gt; " ",(H355-F355)*(G355/H355))</f>
        <v>70.2</v>
      </c>
      <c r="K355" cm="1">
        <f t="array" ref="K355">IF(ISNUMBER(H355),_xlfn.IFS(D355= ""," ",D355&lt;&gt; " ",F355*(G355/H355)),"")</f>
        <v>0</v>
      </c>
    </row>
    <row r="356" spans="1:11" x14ac:dyDescent="0.35">
      <c r="A356" t="s">
        <v>33</v>
      </c>
      <c r="B356">
        <v>2000</v>
      </c>
      <c r="D356" t="s">
        <v>137</v>
      </c>
      <c r="E356" t="str" cm="1">
        <f t="array" ref="E356">_xlfn.IFS(D356=policy_name_clustering!$A$2,policy_name_clustering!$C$2,D356=policy_name_clustering!$A$3,policy_name_clustering!$C$3,D356=policy_name_clustering!$A$5,policy_name_clustering!$C$5,D356=policy_name_clustering!$A$6,policy_name_clustering!$C$6,D356=policy_name_clustering!$A$7,policy_name_clustering!$C$7,D356=policy_name_clustering!$A$8,policy_name_clustering!$C$8,D356=policy_name_clustering!$A$9,policy_name_clustering!$C$9,D356=policy_name_clustering!$A$10,policy_name_clustering!$C$10,D356=policy_name_clustering!$A$11,policy_name_clustering!$C$11,D356=policy_name_clustering!$A$12,policy_name_clustering!$C$12,D356=policy_name_clustering!$A$13,policy_name_clustering!$C$13,D356=policy_name_clustering!$A$14,policy_name_clustering!$C$14,D356=policy_name_clustering!$A$15,policy_name_clustering!$C$15,D356=policy_name_clustering!$A$16,policy_name_clustering!$C$16,D356="-","",D356=policy_name_clustering!$A$4,policy_name_clustering!$C$4)</f>
        <v/>
      </c>
      <c r="G356">
        <f>wind_cump_cap!C316</f>
        <v>116.5</v>
      </c>
      <c r="H356">
        <f>estimated_capacity!C306</f>
        <v>411.02292078724003</v>
      </c>
      <c r="I356" cm="1">
        <f t="array" ref="I356">_xlfn.IFS(D356= ""," ",D356&lt;&gt; " ",F356*(G356/H356))</f>
        <v>0</v>
      </c>
      <c r="J356" cm="1">
        <f t="array" ref="J356">_xlfn.IFS(D356= ""," ",D356&lt;&gt; " ",(H356-F356)*(G356/H356))</f>
        <v>116.50000000000001</v>
      </c>
      <c r="K356" cm="1">
        <f t="array" ref="K356">IF(ISNUMBER(H356),_xlfn.IFS(D356= ""," ",D356&lt;&gt; " ",F356*(G356/H356)),"")</f>
        <v>0</v>
      </c>
    </row>
    <row r="357" spans="1:11" x14ac:dyDescent="0.35">
      <c r="A357" t="s">
        <v>33</v>
      </c>
      <c r="B357">
        <v>2001</v>
      </c>
      <c r="D357" t="s">
        <v>137</v>
      </c>
      <c r="E357" t="str" cm="1">
        <f t="array" ref="E357">_xlfn.IFS(D357=policy_name_clustering!$A$2,policy_name_clustering!$C$2,D357=policy_name_clustering!$A$3,policy_name_clustering!$C$3,D357=policy_name_clustering!$A$5,policy_name_clustering!$C$5,D357=policy_name_clustering!$A$6,policy_name_clustering!$C$6,D357=policy_name_clustering!$A$7,policy_name_clustering!$C$7,D357=policy_name_clustering!$A$8,policy_name_clustering!$C$8,D357=policy_name_clustering!$A$9,policy_name_clustering!$C$9,D357=policy_name_clustering!$A$10,policy_name_clustering!$C$10,D357=policy_name_clustering!$A$11,policy_name_clustering!$C$11,D357=policy_name_clustering!$A$12,policy_name_clustering!$C$12,D357=policy_name_clustering!$A$13,policy_name_clustering!$C$13,D357=policy_name_clustering!$A$14,policy_name_clustering!$C$14,D357=policy_name_clustering!$A$15,policy_name_clustering!$C$15,D357=policy_name_clustering!$A$16,policy_name_clustering!$C$16,D357="-","",D357=policy_name_clustering!$A$4,policy_name_clustering!$C$4)</f>
        <v/>
      </c>
      <c r="G357">
        <f>wind_cump_cap!C317</f>
        <v>122.9</v>
      </c>
      <c r="H357">
        <f>estimated_capacity!C307</f>
        <v>510.26029088993897</v>
      </c>
      <c r="I357" cm="1">
        <f t="array" ref="I357">_xlfn.IFS(D357= ""," ",D357&lt;&gt; " ",F357*(G357/H357))</f>
        <v>0</v>
      </c>
      <c r="J357" cm="1">
        <f t="array" ref="J357">_xlfn.IFS(D357= ""," ",D357&lt;&gt; " ",(H357-F357)*(G357/H357))</f>
        <v>122.9</v>
      </c>
      <c r="K357" cm="1">
        <f t="array" ref="K357">IF(ISNUMBER(H357),_xlfn.IFS(D357= ""," ",D357&lt;&gt; " ",F357*(G357/H357)),"")</f>
        <v>0</v>
      </c>
    </row>
    <row r="358" spans="1:11" x14ac:dyDescent="0.35">
      <c r="A358" t="s">
        <v>33</v>
      </c>
      <c r="B358">
        <v>2002</v>
      </c>
      <c r="D358" t="s">
        <v>137</v>
      </c>
      <c r="E358" t="str" cm="1">
        <f t="array" ref="E358">_xlfn.IFS(D358=policy_name_clustering!$A$2,policy_name_clustering!$C$2,D358=policy_name_clustering!$A$3,policy_name_clustering!$C$3,D358=policy_name_clustering!$A$5,policy_name_clustering!$C$5,D358=policy_name_clustering!$A$6,policy_name_clustering!$C$6,D358=policy_name_clustering!$A$7,policy_name_clustering!$C$7,D358=policy_name_clustering!$A$8,policy_name_clustering!$C$8,D358=policy_name_clustering!$A$9,policy_name_clustering!$C$9,D358=policy_name_clustering!$A$10,policy_name_clustering!$C$10,D358=policy_name_clustering!$A$11,policy_name_clustering!$C$11,D358=policy_name_clustering!$A$12,policy_name_clustering!$C$12,D358=policy_name_clustering!$A$13,policy_name_clustering!$C$13,D358=policy_name_clustering!$A$14,policy_name_clustering!$C$14,D358=policy_name_clustering!$A$15,policy_name_clustering!$C$15,D358=policy_name_clustering!$A$16,policy_name_clustering!$C$16,D358="-","",D358=policy_name_clustering!$A$4,policy_name_clustering!$C$4)</f>
        <v/>
      </c>
      <c r="G358">
        <f>wind_cump_cap!C318</f>
        <v>134.80000000000001</v>
      </c>
      <c r="H358">
        <f>estimated_capacity!C308</f>
        <v>611.519168153029</v>
      </c>
      <c r="I358" cm="1">
        <f t="array" ref="I358">_xlfn.IFS(D358= ""," ",D358&lt;&gt; " ",F358*(G358/H358))</f>
        <v>0</v>
      </c>
      <c r="J358" cm="1">
        <f t="array" ref="J358">_xlfn.IFS(D358= ""," ",D358&lt;&gt; " ",(H358-F358)*(G358/H358))</f>
        <v>134.80000000000001</v>
      </c>
      <c r="K358" cm="1">
        <f t="array" ref="K358">IF(ISNUMBER(H358),_xlfn.IFS(D358= ""," ",D358&lt;&gt; " ",F358*(G358/H358)),"")</f>
        <v>0</v>
      </c>
    </row>
    <row r="359" spans="1:11" x14ac:dyDescent="0.35">
      <c r="A359" t="s">
        <v>33</v>
      </c>
      <c r="B359">
        <v>2003</v>
      </c>
      <c r="D359" t="s">
        <v>137</v>
      </c>
      <c r="E359" t="str" cm="1">
        <f t="array" ref="E359">_xlfn.IFS(D359=policy_name_clustering!$A$2,policy_name_clustering!$C$2,D359=policy_name_clustering!$A$3,policy_name_clustering!$C$3,D359=policy_name_clustering!$A$5,policy_name_clustering!$C$5,D359=policy_name_clustering!$A$6,policy_name_clustering!$C$6,D359=policy_name_clustering!$A$7,policy_name_clustering!$C$7,D359=policy_name_clustering!$A$8,policy_name_clustering!$C$8,D359=policy_name_clustering!$A$9,policy_name_clustering!$C$9,D359=policy_name_clustering!$A$10,policy_name_clustering!$C$10,D359=policy_name_clustering!$A$11,policy_name_clustering!$C$11,D359=policy_name_clustering!$A$12,policy_name_clustering!$C$12,D359=policy_name_clustering!$A$13,policy_name_clustering!$C$13,D359=policy_name_clustering!$A$14,policy_name_clustering!$C$14,D359=policy_name_clustering!$A$15,policy_name_clustering!$C$15,D359=policy_name_clustering!$A$16,policy_name_clustering!$C$16,D359="-","",D359=policy_name_clustering!$A$4,policy_name_clustering!$C$4)</f>
        <v/>
      </c>
      <c r="G359">
        <f>wind_cump_cap!C319</f>
        <v>210.3</v>
      </c>
      <c r="H359">
        <f>estimated_capacity!C309</f>
        <v>733.01074498236801</v>
      </c>
      <c r="I359" cm="1">
        <f t="array" ref="I359">_xlfn.IFS(D359= ""," ",D359&lt;&gt; " ",F359*(G359/H359))</f>
        <v>0</v>
      </c>
      <c r="J359" cm="1">
        <f t="array" ref="J359">_xlfn.IFS(D359= ""," ",D359&lt;&gt; " ",(H359-F359)*(G359/H359))</f>
        <v>210.3</v>
      </c>
      <c r="K359" cm="1">
        <f t="array" ref="K359">IF(ISNUMBER(H359),_xlfn.IFS(D359= ""," ",D359&lt;&gt; " ",F359*(G359/H359)),"")</f>
        <v>0</v>
      </c>
    </row>
    <row r="360" spans="1:11" x14ac:dyDescent="0.35">
      <c r="A360" t="s">
        <v>33</v>
      </c>
      <c r="B360">
        <v>2004</v>
      </c>
      <c r="D360" t="s">
        <v>137</v>
      </c>
      <c r="E360" t="str" cm="1">
        <f t="array" ref="E360">_xlfn.IFS(D360=policy_name_clustering!$A$2,policy_name_clustering!$C$2,D360=policy_name_clustering!$A$3,policy_name_clustering!$C$3,D360=policy_name_clustering!$A$5,policy_name_clustering!$C$5,D360=policy_name_clustering!$A$6,policy_name_clustering!$C$6,D360=policy_name_clustering!$A$7,policy_name_clustering!$C$7,D360=policy_name_clustering!$A$8,policy_name_clustering!$C$8,D360=policy_name_clustering!$A$9,policy_name_clustering!$C$9,D360=policy_name_clustering!$A$10,policy_name_clustering!$C$10,D360=policy_name_clustering!$A$11,policy_name_clustering!$C$11,D360=policy_name_clustering!$A$12,policy_name_clustering!$C$12,D360=policy_name_clustering!$A$13,policy_name_clustering!$C$13,D360=policy_name_clustering!$A$14,policy_name_clustering!$C$14,D360=policy_name_clustering!$A$15,policy_name_clustering!$C$15,D360=policy_name_clustering!$A$16,policy_name_clustering!$C$16,D360="-","",D360=policy_name_clustering!$A$4,policy_name_clustering!$C$4)</f>
        <v/>
      </c>
      <c r="G360">
        <f>wind_cump_cap!C320</f>
        <v>336.4</v>
      </c>
      <c r="H360">
        <f>estimated_capacity!C310</f>
        <v>851.106760900224</v>
      </c>
      <c r="I360" cm="1">
        <f t="array" ref="I360">_xlfn.IFS(D360= ""," ",D360&lt;&gt; " ",F360*(G360/H360))</f>
        <v>0</v>
      </c>
      <c r="J360" cm="1">
        <f t="array" ref="J360">_xlfn.IFS(D360= ""," ",D360&lt;&gt; " ",(H360-F360)*(G360/H360))</f>
        <v>336.4</v>
      </c>
      <c r="K360" cm="1">
        <f t="array" ref="K360">IF(ISNUMBER(H360),_xlfn.IFS(D360= ""," ",D360&lt;&gt; " ",F360*(G360/H360)),"")</f>
        <v>0</v>
      </c>
    </row>
    <row r="361" spans="1:11" x14ac:dyDescent="0.35">
      <c r="A361" t="s">
        <v>33</v>
      </c>
      <c r="B361">
        <v>2005</v>
      </c>
      <c r="D361" t="s">
        <v>137</v>
      </c>
      <c r="E361" t="str" cm="1">
        <f t="array" ref="E361">_xlfn.IFS(D361=policy_name_clustering!$A$2,policy_name_clustering!$C$2,D361=policy_name_clustering!$A$3,policy_name_clustering!$C$3,D361=policy_name_clustering!$A$5,policy_name_clustering!$C$5,D361=policy_name_clustering!$A$6,policy_name_clustering!$C$6,D361=policy_name_clustering!$A$7,policy_name_clustering!$C$7,D361=policy_name_clustering!$A$8,policy_name_clustering!$C$8,D361=policy_name_clustering!$A$9,policy_name_clustering!$C$9,D361=policy_name_clustering!$A$10,policy_name_clustering!$C$10,D361=policy_name_clustering!$A$11,policy_name_clustering!$C$11,D361=policy_name_clustering!$A$12,policy_name_clustering!$C$12,D361=policy_name_clustering!$A$13,policy_name_clustering!$C$13,D361=policy_name_clustering!$A$14,policy_name_clustering!$C$14,D361=policy_name_clustering!$A$15,policy_name_clustering!$C$15,D361=policy_name_clustering!$A$16,policy_name_clustering!$C$16,D361="-","",D361=policy_name_clustering!$A$4,policy_name_clustering!$C$4)</f>
        <v/>
      </c>
      <c r="G361">
        <f>wind_cump_cap!C321</f>
        <v>493.3</v>
      </c>
      <c r="H361">
        <f>estimated_capacity!C311</f>
        <v>991.56535827838502</v>
      </c>
      <c r="I361" cm="1">
        <f t="array" ref="I361">_xlfn.IFS(D361= ""," ",D361&lt;&gt; " ",F361*(G361/H361))</f>
        <v>0</v>
      </c>
      <c r="J361" cm="1">
        <f t="array" ref="J361">_xlfn.IFS(D361= ""," ",D361&lt;&gt; " ",(H361-F361)*(G361/H361))</f>
        <v>493.3</v>
      </c>
      <c r="K361" cm="1">
        <f t="array" ref="K361">IF(ISNUMBER(H361),_xlfn.IFS(D361= ""," ",D361&lt;&gt; " ",F361*(G361/H361)),"")</f>
        <v>0</v>
      </c>
    </row>
    <row r="362" spans="1:11" x14ac:dyDescent="0.35">
      <c r="A362" t="s">
        <v>33</v>
      </c>
      <c r="B362">
        <v>2006</v>
      </c>
      <c r="D362" t="s">
        <v>137</v>
      </c>
      <c r="E362" t="str" cm="1">
        <f t="array" ref="E362">_xlfn.IFS(D362=policy_name_clustering!$A$2,policy_name_clustering!$C$2,D362=policy_name_clustering!$A$3,policy_name_clustering!$C$3,D362=policy_name_clustering!$A$5,policy_name_clustering!$C$5,D362=policy_name_clustering!$A$6,policy_name_clustering!$C$6,D362=policy_name_clustering!$A$7,policy_name_clustering!$C$7,D362=policy_name_clustering!$A$8,policy_name_clustering!$C$8,D362=policy_name_clustering!$A$9,policy_name_clustering!$C$9,D362=policy_name_clustering!$A$10,policy_name_clustering!$C$10,D362=policy_name_clustering!$A$11,policy_name_clustering!$C$11,D362=policy_name_clustering!$A$12,policy_name_clustering!$C$12,D362=policy_name_clustering!$A$13,policy_name_clustering!$C$13,D362=policy_name_clustering!$A$14,policy_name_clustering!$C$14,D362=policy_name_clustering!$A$15,policy_name_clustering!$C$15,D362=policy_name_clustering!$A$16,policy_name_clustering!$C$16,D362="-","",D362=policy_name_clustering!$A$4,policy_name_clustering!$C$4)</f>
        <v/>
      </c>
      <c r="G362">
        <f>wind_cump_cap!C322</f>
        <v>676.5</v>
      </c>
      <c r="H362">
        <f>estimated_capacity!C312</f>
        <v>1121.8006683364999</v>
      </c>
      <c r="I362" cm="1">
        <f t="array" ref="I362">_xlfn.IFS(D362= ""," ",D362&lt;&gt; " ",F362*(G362/H362))</f>
        <v>0</v>
      </c>
      <c r="J362" cm="1">
        <f t="array" ref="J362">_xlfn.IFS(D362= ""," ",D362&lt;&gt; " ",(H362-F362)*(G362/H362))</f>
        <v>676.5</v>
      </c>
      <c r="K362" cm="1">
        <f t="array" ref="K362">IF(ISNUMBER(H362),_xlfn.IFS(D362= ""," ",D362&lt;&gt; " ",F362*(G362/H362)),"")</f>
        <v>0</v>
      </c>
    </row>
    <row r="363" spans="1:11" x14ac:dyDescent="0.35">
      <c r="A363" t="s">
        <v>33</v>
      </c>
      <c r="B363">
        <v>2007</v>
      </c>
      <c r="D363" t="s">
        <v>137</v>
      </c>
      <c r="E363" t="str" cm="1">
        <f t="array" ref="E363">_xlfn.IFS(D363=policy_name_clustering!$A$2,policy_name_clustering!$C$2,D363=policy_name_clustering!$A$3,policy_name_clustering!$C$3,D363=policy_name_clustering!$A$5,policy_name_clustering!$C$5,D363=policy_name_clustering!$A$6,policy_name_clustering!$C$6,D363=policy_name_clustering!$A$7,policy_name_clustering!$C$7,D363=policy_name_clustering!$A$8,policy_name_clustering!$C$8,D363=policy_name_clustering!$A$9,policy_name_clustering!$C$9,D363=policy_name_clustering!$A$10,policy_name_clustering!$C$10,D363=policy_name_clustering!$A$11,policy_name_clustering!$C$11,D363=policy_name_clustering!$A$12,policy_name_clustering!$C$12,D363=policy_name_clustering!$A$13,policy_name_clustering!$C$13,D363=policy_name_clustering!$A$14,policy_name_clustering!$C$14,D363=policy_name_clustering!$A$15,policy_name_clustering!$C$15,D363=policy_name_clustering!$A$16,policy_name_clustering!$C$16,D363="-","",D363=policy_name_clustering!$A$4,policy_name_clustering!$C$4)</f>
        <v/>
      </c>
      <c r="G363">
        <f>wind_cump_cap!C323</f>
        <v>740.5</v>
      </c>
      <c r="H363">
        <f>estimated_capacity!C313</f>
        <v>1246.82593613772</v>
      </c>
      <c r="I363" cm="1">
        <f t="array" ref="I363">_xlfn.IFS(D363= ""," ",D363&lt;&gt; " ",F363*(G363/H363))</f>
        <v>0</v>
      </c>
      <c r="J363" cm="1">
        <f t="array" ref="J363">_xlfn.IFS(D363= ""," ",D363&lt;&gt; " ",(H363-F363)*(G363/H363))</f>
        <v>740.5</v>
      </c>
      <c r="K363" cm="1">
        <f t="array" ref="K363">IF(ISNUMBER(H363),_xlfn.IFS(D363= ""," ",D363&lt;&gt; " ",F363*(G363/H363)),"")</f>
        <v>0</v>
      </c>
    </row>
    <row r="364" spans="1:11" x14ac:dyDescent="0.35">
      <c r="A364" t="s">
        <v>33</v>
      </c>
      <c r="B364">
        <v>2008</v>
      </c>
      <c r="D364" t="s">
        <v>137</v>
      </c>
      <c r="E364" t="str" cm="1">
        <f t="array" ref="E364">_xlfn.IFS(D364=policy_name_clustering!$A$2,policy_name_clustering!$C$2,D364=policy_name_clustering!$A$3,policy_name_clustering!$C$3,D364=policy_name_clustering!$A$5,policy_name_clustering!$C$5,D364=policy_name_clustering!$A$6,policy_name_clustering!$C$6,D364=policy_name_clustering!$A$7,policy_name_clustering!$C$7,D364=policy_name_clustering!$A$8,policy_name_clustering!$C$8,D364=policy_name_clustering!$A$9,policy_name_clustering!$C$9,D364=policy_name_clustering!$A$10,policy_name_clustering!$C$10,D364=policy_name_clustering!$A$11,policy_name_clustering!$C$11,D364=policy_name_clustering!$A$12,policy_name_clustering!$C$12,D364=policy_name_clustering!$A$13,policy_name_clustering!$C$13,D364=policy_name_clustering!$A$14,policy_name_clustering!$C$14,D364=policy_name_clustering!$A$15,policy_name_clustering!$C$15,D364=policy_name_clustering!$A$16,policy_name_clustering!$C$16,D364="-","",D364=policy_name_clustering!$A$4,policy_name_clustering!$C$4)</f>
        <v/>
      </c>
      <c r="G364">
        <f>wind_cump_cap!C324</f>
        <v>942.3</v>
      </c>
      <c r="H364">
        <f>estimated_capacity!C314</f>
        <v>1356.3209349819499</v>
      </c>
      <c r="I364" cm="1">
        <f t="array" ref="I364">_xlfn.IFS(D364= ""," ",D364&lt;&gt; " ",F364*(G364/H364))</f>
        <v>0</v>
      </c>
      <c r="J364" cm="1">
        <f t="array" ref="J364">_xlfn.IFS(D364= ""," ",D364&lt;&gt; " ",(H364-F364)*(G364/H364))</f>
        <v>942.30000000000007</v>
      </c>
      <c r="K364" cm="1">
        <f t="array" ref="K364">IF(ISNUMBER(H364),_xlfn.IFS(D364= ""," ",D364&lt;&gt; " ",F364*(G364/H364)),"")</f>
        <v>0</v>
      </c>
    </row>
    <row r="365" spans="1:11" x14ac:dyDescent="0.35">
      <c r="A365" t="s">
        <v>33</v>
      </c>
      <c r="B365">
        <v>2009</v>
      </c>
      <c r="D365" t="s">
        <v>137</v>
      </c>
      <c r="E365" t="str" cm="1">
        <f t="array" ref="E365">_xlfn.IFS(D365=policy_name_clustering!$A$2,policy_name_clustering!$C$2,D365=policy_name_clustering!$A$3,policy_name_clustering!$C$3,D365=policy_name_clustering!$A$5,policy_name_clustering!$C$5,D365=policy_name_clustering!$A$6,policy_name_clustering!$C$6,D365=policy_name_clustering!$A$7,policy_name_clustering!$C$7,D365=policy_name_clustering!$A$8,policy_name_clustering!$C$8,D365=policy_name_clustering!$A$9,policy_name_clustering!$C$9,D365=policy_name_clustering!$A$10,policy_name_clustering!$C$10,D365=policy_name_clustering!$A$11,policy_name_clustering!$C$11,D365=policy_name_clustering!$A$12,policy_name_clustering!$C$12,D365=policy_name_clustering!$A$13,policy_name_clustering!$C$13,D365=policy_name_clustering!$A$14,policy_name_clustering!$C$14,D365=policy_name_clustering!$A$15,policy_name_clustering!$C$15,D365=policy_name_clustering!$A$16,policy_name_clustering!$C$16,D365="-","",D365=policy_name_clustering!$A$4,policy_name_clustering!$C$4)</f>
        <v/>
      </c>
      <c r="G365">
        <f>wind_cump_cap!C325</f>
        <v>1251.3</v>
      </c>
      <c r="H365">
        <f>estimated_capacity!C315</f>
        <v>1456.2750109344499</v>
      </c>
      <c r="I365" cm="1">
        <f t="array" ref="I365">_xlfn.IFS(D365= ""," ",D365&lt;&gt; " ",F365*(G365/H365))</f>
        <v>0</v>
      </c>
      <c r="J365" cm="1">
        <f t="array" ref="J365">_xlfn.IFS(D365= ""," ",D365&lt;&gt; " ",(H365-F365)*(G365/H365))</f>
        <v>1251.3</v>
      </c>
      <c r="K365" cm="1">
        <f t="array" ref="K365">IF(ISNUMBER(H365),_xlfn.IFS(D365= ""," ",D365&lt;&gt; " ",F365*(G365/H365)),"")</f>
        <v>0</v>
      </c>
    </row>
    <row r="366" spans="1:11" x14ac:dyDescent="0.35">
      <c r="A366" t="s">
        <v>33</v>
      </c>
      <c r="B366">
        <v>2010</v>
      </c>
      <c r="D366" t="s">
        <v>137</v>
      </c>
      <c r="E366" t="str" cm="1">
        <f t="array" ref="E366">_xlfn.IFS(D366=policy_name_clustering!$A$2,policy_name_clustering!$C$2,D366=policy_name_clustering!$A$3,policy_name_clustering!$C$3,D366=policy_name_clustering!$A$5,policy_name_clustering!$C$5,D366=policy_name_clustering!$A$6,policy_name_clustering!$C$6,D366=policy_name_clustering!$A$7,policy_name_clustering!$C$7,D366=policy_name_clustering!$A$8,policy_name_clustering!$C$8,D366=policy_name_clustering!$A$9,policy_name_clustering!$C$9,D366=policy_name_clustering!$A$10,policy_name_clustering!$C$10,D366=policy_name_clustering!$A$11,policy_name_clustering!$C$11,D366=policy_name_clustering!$A$12,policy_name_clustering!$C$12,D366=policy_name_clustering!$A$13,policy_name_clustering!$C$13,D366=policy_name_clustering!$A$14,policy_name_clustering!$C$14,D366=policy_name_clustering!$A$15,policy_name_clustering!$C$15,D366=policy_name_clustering!$A$16,policy_name_clustering!$C$16,D366="-","",D366=policy_name_clustering!$A$4,policy_name_clustering!$C$4)</f>
        <v/>
      </c>
      <c r="G366">
        <f>wind_cump_cap!C326</f>
        <v>1390.4</v>
      </c>
      <c r="H366">
        <f>estimated_capacity!C316</f>
        <v>1566.3340426769901</v>
      </c>
      <c r="I366" cm="1">
        <f t="array" ref="I366">_xlfn.IFS(D366= ""," ",D366&lt;&gt; " ",F366*(G366/H366))</f>
        <v>0</v>
      </c>
      <c r="J366" cm="1">
        <f t="array" ref="J366">_xlfn.IFS(D366= ""," ",D366&lt;&gt; " ",(H366-F366)*(G366/H366))</f>
        <v>1390.4</v>
      </c>
      <c r="K366" cm="1">
        <f t="array" ref="K366">IF(ISNUMBER(H366),_xlfn.IFS(D366= ""," ",D366&lt;&gt; " ",F366*(G366/H366)),"")</f>
        <v>0</v>
      </c>
    </row>
    <row r="367" spans="1:11" x14ac:dyDescent="0.35">
      <c r="A367" t="s">
        <v>33</v>
      </c>
      <c r="B367">
        <v>2011</v>
      </c>
      <c r="D367" t="s">
        <v>137</v>
      </c>
      <c r="E367" t="str" cm="1">
        <f t="array" ref="E367">_xlfn.IFS(D367=policy_name_clustering!$A$2,policy_name_clustering!$C$2,D367=policy_name_clustering!$A$3,policy_name_clustering!$C$3,D367=policy_name_clustering!$A$5,policy_name_clustering!$C$5,D367=policy_name_clustering!$A$6,policy_name_clustering!$C$6,D367=policy_name_clustering!$A$7,policy_name_clustering!$C$7,D367=policy_name_clustering!$A$8,policy_name_clustering!$C$8,D367=policy_name_clustering!$A$9,policy_name_clustering!$C$9,D367=policy_name_clustering!$A$10,policy_name_clustering!$C$10,D367=policy_name_clustering!$A$11,policy_name_clustering!$C$11,D367=policy_name_clustering!$A$12,policy_name_clustering!$C$12,D367=policy_name_clustering!$A$13,policy_name_clustering!$C$13,D367=policy_name_clustering!$A$14,policy_name_clustering!$C$14,D367=policy_name_clustering!$A$15,policy_name_clustering!$C$15,D367=policy_name_clustering!$A$16,policy_name_clustering!$C$16,D367="-","",D367=policy_name_clustering!$A$4,policy_name_clustering!$C$4)</f>
        <v/>
      </c>
      <c r="G367">
        <f>wind_cump_cap!C327</f>
        <v>1584.6</v>
      </c>
      <c r="H367">
        <f>estimated_capacity!C317</f>
        <v>1663.1694477983201</v>
      </c>
      <c r="I367" cm="1">
        <f t="array" ref="I367">_xlfn.IFS(D367= ""," ",D367&lt;&gt; " ",F367*(G367/H367))</f>
        <v>0</v>
      </c>
      <c r="J367" cm="1">
        <f t="array" ref="J367">_xlfn.IFS(D367= ""," ",D367&lt;&gt; " ",(H367-F367)*(G367/H367))</f>
        <v>1584.6</v>
      </c>
      <c r="K367" cm="1">
        <f t="array" ref="K367">IF(ISNUMBER(H367),_xlfn.IFS(D367= ""," ",D367&lt;&gt; " ",F367*(G367/H367)),"")</f>
        <v>0</v>
      </c>
    </row>
    <row r="368" spans="1:11" x14ac:dyDescent="0.35">
      <c r="A368" t="s">
        <v>33</v>
      </c>
      <c r="B368">
        <v>2012</v>
      </c>
      <c r="D368" t="s">
        <v>137</v>
      </c>
      <c r="E368" t="str" cm="1">
        <f t="array" ref="E368">_xlfn.IFS(D368=policy_name_clustering!$A$2,policy_name_clustering!$C$2,D368=policy_name_clustering!$A$3,policy_name_clustering!$C$3,D368=policy_name_clustering!$A$5,policy_name_clustering!$C$5,D368=policy_name_clustering!$A$6,policy_name_clustering!$C$6,D368=policy_name_clustering!$A$7,policy_name_clustering!$C$7,D368=policy_name_clustering!$A$8,policy_name_clustering!$C$8,D368=policy_name_clustering!$A$9,policy_name_clustering!$C$9,D368=policy_name_clustering!$A$10,policy_name_clustering!$C$10,D368=policy_name_clustering!$A$11,policy_name_clustering!$C$11,D368=policy_name_clustering!$A$12,policy_name_clustering!$C$12,D368=policy_name_clustering!$A$13,policy_name_clustering!$C$13,D368=policy_name_clustering!$A$14,policy_name_clustering!$C$14,D368=policy_name_clustering!$A$15,policy_name_clustering!$C$15,D368=policy_name_clustering!$A$16,policy_name_clustering!$C$16,D368="-","",D368=policy_name_clustering!$A$4,policy_name_clustering!$C$4)</f>
        <v/>
      </c>
      <c r="G368">
        <f>wind_cump_cap!C328</f>
        <v>1704.35</v>
      </c>
      <c r="H368">
        <f>estimated_capacity!C318</f>
        <v>1789.61276556755</v>
      </c>
      <c r="I368" cm="1">
        <f t="array" ref="I368">_xlfn.IFS(D368= ""," ",D368&lt;&gt; " ",F368*(G368/H368))</f>
        <v>0</v>
      </c>
      <c r="J368" cm="1">
        <f t="array" ref="J368">_xlfn.IFS(D368= ""," ",D368&lt;&gt; " ",(H368-F368)*(G368/H368))</f>
        <v>1704.35</v>
      </c>
      <c r="K368" cm="1">
        <f t="array" ref="K368">IF(ISNUMBER(H368),_xlfn.IFS(D368= ""," ",D368&lt;&gt; " ",F368*(G368/H368)),"")</f>
        <v>0</v>
      </c>
    </row>
    <row r="369" spans="1:11" x14ac:dyDescent="0.35">
      <c r="A369" t="s">
        <v>33</v>
      </c>
      <c r="B369">
        <v>2013</v>
      </c>
      <c r="D369" t="s">
        <v>137</v>
      </c>
      <c r="E369" t="str" cm="1">
        <f t="array" ref="E369">_xlfn.IFS(D369=policy_name_clustering!$A$2,policy_name_clustering!$C$2,D369=policy_name_clustering!$A$3,policy_name_clustering!$C$3,D369=policy_name_clustering!$A$5,policy_name_clustering!$C$5,D369=policy_name_clustering!$A$6,policy_name_clustering!$C$6,D369=policy_name_clustering!$A$7,policy_name_clustering!$C$7,D369=policy_name_clustering!$A$8,policy_name_clustering!$C$8,D369=policy_name_clustering!$A$9,policy_name_clustering!$C$9,D369=policy_name_clustering!$A$10,policy_name_clustering!$C$10,D369=policy_name_clustering!$A$11,policy_name_clustering!$C$11,D369=policy_name_clustering!$A$12,policy_name_clustering!$C$12,D369=policy_name_clustering!$A$13,policy_name_clustering!$C$13,D369=policy_name_clustering!$A$14,policy_name_clustering!$C$14,D369=policy_name_clustering!$A$15,policy_name_clustering!$C$15,D369=policy_name_clustering!$A$16,policy_name_clustering!$C$16,D369="-","",D369=policy_name_clustering!$A$4,policy_name_clustering!$C$4)</f>
        <v/>
      </c>
      <c r="G369">
        <f>wind_cump_cap!C329</f>
        <v>1923.3</v>
      </c>
      <c r="H369">
        <f>estimated_capacity!C319</f>
        <v>1922.6590371739101</v>
      </c>
      <c r="I369" cm="1">
        <f t="array" ref="I369">_xlfn.IFS(D369= ""," ",D369&lt;&gt; " ",F369*(G369/H369))</f>
        <v>0</v>
      </c>
      <c r="J369" cm="1">
        <f t="array" ref="J369">_xlfn.IFS(D369= ""," ",D369&lt;&gt; " ",(H369-F369)*(G369/H369))</f>
        <v>1923.3</v>
      </c>
      <c r="K369" cm="1">
        <f t="array" ref="K369">IF(ISNUMBER(H369),_xlfn.IFS(D369= ""," ",D369&lt;&gt; " ",F369*(G369/H369)),"")</f>
        <v>0</v>
      </c>
    </row>
    <row r="370" spans="1:11" x14ac:dyDescent="0.35">
      <c r="A370" t="s">
        <v>33</v>
      </c>
      <c r="B370">
        <v>2014</v>
      </c>
      <c r="D370" t="s">
        <v>137</v>
      </c>
      <c r="E370" t="str" cm="1">
        <f t="array" ref="E370">_xlfn.IFS(D370=policy_name_clustering!$A$2,policy_name_clustering!$C$2,D370=policy_name_clustering!$A$3,policy_name_clustering!$C$3,D370=policy_name_clustering!$A$5,policy_name_clustering!$C$5,D370=policy_name_clustering!$A$6,policy_name_clustering!$C$6,D370=policy_name_clustering!$A$7,policy_name_clustering!$C$7,D370=policy_name_clustering!$A$8,policy_name_clustering!$C$8,D370=policy_name_clustering!$A$9,policy_name_clustering!$C$9,D370=policy_name_clustering!$A$10,policy_name_clustering!$C$10,D370=policy_name_clustering!$A$11,policy_name_clustering!$C$11,D370=policy_name_clustering!$A$12,policy_name_clustering!$C$12,D370=policy_name_clustering!$A$13,policy_name_clustering!$C$13,D370=policy_name_clustering!$A$14,policy_name_clustering!$C$14,D370=policy_name_clustering!$A$15,policy_name_clustering!$C$15,D370=policy_name_clustering!$A$16,policy_name_clustering!$C$16,D370="-","",D370=policy_name_clustering!$A$4,policy_name_clustering!$C$4)</f>
        <v/>
      </c>
      <c r="G370">
        <f>wind_cump_cap!C330</f>
        <v>2283.25</v>
      </c>
      <c r="H370">
        <f>estimated_capacity!C320</f>
        <v>2080.2393546539702</v>
      </c>
      <c r="I370" cm="1">
        <f t="array" ref="I370">_xlfn.IFS(D370= ""," ",D370&lt;&gt; " ",F370*(G370/H370))</f>
        <v>0</v>
      </c>
      <c r="J370" cm="1">
        <f t="array" ref="J370">_xlfn.IFS(D370= ""," ",D370&lt;&gt; " ",(H370-F370)*(G370/H370))</f>
        <v>2283.25</v>
      </c>
      <c r="K370" cm="1">
        <f t="array" ref="K370">IF(ISNUMBER(H370),_xlfn.IFS(D370= ""," ",D370&lt;&gt; " ",F370*(G370/H370)),"")</f>
        <v>0</v>
      </c>
    </row>
    <row r="371" spans="1:11" x14ac:dyDescent="0.35">
      <c r="A371" t="s">
        <v>33</v>
      </c>
      <c r="B371">
        <v>2015</v>
      </c>
      <c r="D371" t="s">
        <v>137</v>
      </c>
      <c r="E371" t="str" cm="1">
        <f t="array" ref="E371">_xlfn.IFS(D371=policy_name_clustering!$A$2,policy_name_clustering!$C$2,D371=policy_name_clustering!$A$3,policy_name_clustering!$C$3,D371=policy_name_clustering!$A$5,policy_name_clustering!$C$5,D371=policy_name_clustering!$A$6,policy_name_clustering!$C$6,D371=policy_name_clustering!$A$7,policy_name_clustering!$C$7,D371=policy_name_clustering!$A$8,policy_name_clustering!$C$8,D371=policy_name_clustering!$A$9,policy_name_clustering!$C$9,D371=policy_name_clustering!$A$10,policy_name_clustering!$C$10,D371=policy_name_clustering!$A$11,policy_name_clustering!$C$11,D371=policy_name_clustering!$A$12,policy_name_clustering!$C$12,D371=policy_name_clustering!$A$13,policy_name_clustering!$C$13,D371=policy_name_clustering!$A$14,policy_name_clustering!$C$14,D371=policy_name_clustering!$A$15,policy_name_clustering!$C$15,D371=policy_name_clustering!$A$16,policy_name_clustering!$C$16,D371="-","",D371=policy_name_clustering!$A$4,policy_name_clustering!$C$4)</f>
        <v/>
      </c>
      <c r="G371">
        <f>wind_cump_cap!C331</f>
        <v>2451.15</v>
      </c>
      <c r="H371">
        <f>estimated_capacity!C321</f>
        <v>2289.48111455464</v>
      </c>
      <c r="I371" cm="1">
        <f t="array" ref="I371">_xlfn.IFS(D371= ""," ",D371&lt;&gt; " ",F371*(G371/H371))</f>
        <v>0</v>
      </c>
      <c r="J371" cm="1">
        <f t="array" ref="J371">_xlfn.IFS(D371= ""," ",D371&lt;&gt; " ",(H371-F371)*(G371/H371))</f>
        <v>2451.15</v>
      </c>
      <c r="K371" cm="1">
        <f t="array" ref="K371">IF(ISNUMBER(H371),_xlfn.IFS(D371= ""," ",D371&lt;&gt; " ",F371*(G371/H371)),"")</f>
        <v>0</v>
      </c>
    </row>
    <row r="372" spans="1:11" x14ac:dyDescent="0.35">
      <c r="A372" t="s">
        <v>33</v>
      </c>
      <c r="B372">
        <v>2016</v>
      </c>
      <c r="D372" t="s">
        <v>137</v>
      </c>
      <c r="E372" t="str" cm="1">
        <f t="array" ref="E372">_xlfn.IFS(D372=policy_name_clustering!$A$2,policy_name_clustering!$C$2,D372=policy_name_clustering!$A$3,policy_name_clustering!$C$3,D372=policy_name_clustering!$A$5,policy_name_clustering!$C$5,D372=policy_name_clustering!$A$6,policy_name_clustering!$C$6,D372=policy_name_clustering!$A$7,policy_name_clustering!$C$7,D372=policy_name_clustering!$A$8,policy_name_clustering!$C$8,D372=policy_name_clustering!$A$9,policy_name_clustering!$C$9,D372=policy_name_clustering!$A$10,policy_name_clustering!$C$10,D372=policy_name_clustering!$A$11,policy_name_clustering!$C$11,D372=policy_name_clustering!$A$12,policy_name_clustering!$C$12,D372=policy_name_clustering!$A$13,policy_name_clustering!$C$13,D372=policy_name_clustering!$A$14,policy_name_clustering!$C$14,D372=policy_name_clustering!$A$15,policy_name_clustering!$C$15,D372=policy_name_clustering!$A$16,policy_name_clustering!$C$16,D372="-","",D372=policy_name_clustering!$A$4,policy_name_clustering!$C$4)</f>
        <v/>
      </c>
      <c r="G372">
        <f>wind_cump_cap!C332</f>
        <v>2801.65</v>
      </c>
      <c r="H372">
        <f>estimated_capacity!C322</f>
        <v>2509.57198020856</v>
      </c>
      <c r="I372" cm="1">
        <f t="array" ref="I372">_xlfn.IFS(D372= ""," ",D372&lt;&gt; " ",F372*(G372/H372))</f>
        <v>0</v>
      </c>
      <c r="J372" cm="1">
        <f t="array" ref="J372">_xlfn.IFS(D372= ""," ",D372&lt;&gt; " ",(H372-F372)*(G372/H372))</f>
        <v>2801.65</v>
      </c>
      <c r="K372" cm="1">
        <f t="array" ref="K372">IF(ISNUMBER(H372),_xlfn.IFS(D372= ""," ",D372&lt;&gt; " ",F372*(G372/H372)),"")</f>
        <v>0</v>
      </c>
    </row>
    <row r="373" spans="1:11" x14ac:dyDescent="0.35">
      <c r="A373" t="s">
        <v>33</v>
      </c>
      <c r="B373">
        <v>2017</v>
      </c>
      <c r="D373" t="s">
        <v>137</v>
      </c>
      <c r="E373" t="str" cm="1">
        <f t="array" ref="E373">_xlfn.IFS(D373=policy_name_clustering!$A$2,policy_name_clustering!$C$2,D373=policy_name_clustering!$A$3,policy_name_clustering!$C$3,D373=policy_name_clustering!$A$5,policy_name_clustering!$C$5,D373=policy_name_clustering!$A$6,policy_name_clustering!$C$6,D373=policy_name_clustering!$A$7,policy_name_clustering!$C$7,D373=policy_name_clustering!$A$8,policy_name_clustering!$C$8,D373=policy_name_clustering!$A$9,policy_name_clustering!$C$9,D373=policy_name_clustering!$A$10,policy_name_clustering!$C$10,D373=policy_name_clustering!$A$11,policy_name_clustering!$C$11,D373=policy_name_clustering!$A$12,policy_name_clustering!$C$12,D373=policy_name_clustering!$A$13,policy_name_clustering!$C$13,D373=policy_name_clustering!$A$14,policy_name_clustering!$C$14,D373=policy_name_clustering!$A$15,policy_name_clustering!$C$15,D373=policy_name_clustering!$A$16,policy_name_clustering!$C$16,D373="-","",D373=policy_name_clustering!$A$4,policy_name_clustering!$C$4)</f>
        <v/>
      </c>
      <c r="G373">
        <f>wind_cump_cap!C333</f>
        <v>3319.15</v>
      </c>
      <c r="H373">
        <f>estimated_capacity!C323</f>
        <v>2726.7019191376098</v>
      </c>
      <c r="I373" cm="1">
        <f t="array" ref="I373">_xlfn.IFS(D373= ""," ",D373&lt;&gt; " ",F373*(G373/H373))</f>
        <v>0</v>
      </c>
      <c r="J373" cm="1">
        <f t="array" ref="J373">_xlfn.IFS(D373= ""," ",D373&lt;&gt; " ",(H373-F373)*(G373/H373))</f>
        <v>3319.1499999999996</v>
      </c>
      <c r="K373" cm="1">
        <f t="array" ref="K373">IF(ISNUMBER(H373),_xlfn.IFS(D373= ""," ",D373&lt;&gt; " ",F373*(G373/H373)),"")</f>
        <v>0</v>
      </c>
    </row>
    <row r="374" spans="1:11" x14ac:dyDescent="0.35">
      <c r="A374" t="s">
        <v>33</v>
      </c>
      <c r="B374">
        <v>2018</v>
      </c>
      <c r="D374" t="s">
        <v>137</v>
      </c>
      <c r="E374" t="str" cm="1">
        <f t="array" ref="E374">_xlfn.IFS(D374=policy_name_clustering!$A$2,policy_name_clustering!$C$2,D374=policy_name_clustering!$A$3,policy_name_clustering!$C$3,D374=policy_name_clustering!$A$5,policy_name_clustering!$C$5,D374=policy_name_clustering!$A$6,policy_name_clustering!$C$6,D374=policy_name_clustering!$A$7,policy_name_clustering!$C$7,D374=policy_name_clustering!$A$8,policy_name_clustering!$C$8,D374=policy_name_clustering!$A$9,policy_name_clustering!$C$9,D374=policy_name_clustering!$A$10,policy_name_clustering!$C$10,D374=policy_name_clustering!$A$11,policy_name_clustering!$C$11,D374=policy_name_clustering!$A$12,policy_name_clustering!$C$12,D374=policy_name_clustering!$A$13,policy_name_clustering!$C$13,D374=policy_name_clustering!$A$14,policy_name_clustering!$C$14,D374=policy_name_clustering!$A$15,policy_name_clustering!$C$15,D374=policy_name_clustering!$A$16,policy_name_clustering!$C$16,D374="-","",D374=policy_name_clustering!$A$4,policy_name_clustering!$C$4)</f>
        <v/>
      </c>
      <c r="G374">
        <f>wind_cump_cap!C334</f>
        <v>3673.85</v>
      </c>
      <c r="H374">
        <f>estimated_capacity!C324</f>
        <v>2961.9964387754399</v>
      </c>
      <c r="I374" cm="1">
        <f t="array" ref="I374">_xlfn.IFS(D374= ""," ",D374&lt;&gt; " ",F374*(G374/H374))</f>
        <v>0</v>
      </c>
      <c r="J374" cm="1">
        <f t="array" ref="J374">_xlfn.IFS(D374= ""," ",D374&lt;&gt; " ",(H374-F374)*(G374/H374))</f>
        <v>3673.8499999999995</v>
      </c>
      <c r="K374" cm="1">
        <f t="array" ref="K374">IF(ISNUMBER(H374),_xlfn.IFS(D374= ""," ",D374&lt;&gt; " ",F374*(G374/H374)),"")</f>
        <v>0</v>
      </c>
    </row>
    <row r="375" spans="1:11" x14ac:dyDescent="0.35">
      <c r="A375" t="s">
        <v>33</v>
      </c>
      <c r="B375">
        <v>2019</v>
      </c>
      <c r="D375" t="s">
        <v>137</v>
      </c>
      <c r="E375" t="str" cm="1">
        <f t="array" ref="E375">_xlfn.IFS(D375=policy_name_clustering!$A$2,policy_name_clustering!$C$2,D375=policy_name_clustering!$A$3,policy_name_clustering!$C$3,D375=policy_name_clustering!$A$5,policy_name_clustering!$C$5,D375=policy_name_clustering!$A$6,policy_name_clustering!$C$6,D375=policy_name_clustering!$A$7,policy_name_clustering!$C$7,D375=policy_name_clustering!$A$8,policy_name_clustering!$C$8,D375=policy_name_clustering!$A$9,policy_name_clustering!$C$9,D375=policy_name_clustering!$A$10,policy_name_clustering!$C$10,D375=policy_name_clustering!$A$11,policy_name_clustering!$C$11,D375=policy_name_clustering!$A$12,policy_name_clustering!$C$12,D375=policy_name_clustering!$A$13,policy_name_clustering!$C$13,D375=policy_name_clustering!$A$14,policy_name_clustering!$C$14,D375=policy_name_clustering!$A$15,policy_name_clustering!$C$15,D375=policy_name_clustering!$A$16,policy_name_clustering!$C$16,D375="-","",D375=policy_name_clustering!$A$4,policy_name_clustering!$C$4)</f>
        <v/>
      </c>
      <c r="G375">
        <f>wind_cump_cap!C335</f>
        <v>4126.45</v>
      </c>
      <c r="H375">
        <f>estimated_capacity!C325</f>
        <v>3238.5416048100201</v>
      </c>
      <c r="I375" cm="1">
        <f t="array" ref="I375">_xlfn.IFS(D375= ""," ",D375&lt;&gt; " ",F375*(G375/H375))</f>
        <v>0</v>
      </c>
      <c r="J375" cm="1">
        <f t="array" ref="J375">_xlfn.IFS(D375= ""," ",D375&lt;&gt; " ",(H375-F375)*(G375/H375))</f>
        <v>4126.45</v>
      </c>
      <c r="K375" cm="1">
        <f t="array" ref="K375">IF(ISNUMBER(H375),_xlfn.IFS(D375= ""," ",D375&lt;&gt; " ",F375*(G375/H375)),"")</f>
        <v>0</v>
      </c>
    </row>
    <row r="376" spans="1:11" x14ac:dyDescent="0.35">
      <c r="A376" t="s">
        <v>33</v>
      </c>
      <c r="B376">
        <v>2020</v>
      </c>
      <c r="D376" t="s">
        <v>137</v>
      </c>
      <c r="E376" t="str" cm="1">
        <f t="array" ref="E376">_xlfn.IFS(D376=policy_name_clustering!$A$2,policy_name_clustering!$C$2,D376=policy_name_clustering!$A$3,policy_name_clustering!$C$3,D376=policy_name_clustering!$A$5,policy_name_clustering!$C$5,D376=policy_name_clustering!$A$6,policy_name_clustering!$C$6,D376=policy_name_clustering!$A$7,policy_name_clustering!$C$7,D376=policy_name_clustering!$A$8,policy_name_clustering!$C$8,D376=policy_name_clustering!$A$9,policy_name_clustering!$C$9,D376=policy_name_clustering!$A$10,policy_name_clustering!$C$10,D376=policy_name_clustering!$A$11,policy_name_clustering!$C$11,D376=policy_name_clustering!$A$12,policy_name_clustering!$C$12,D376=policy_name_clustering!$A$13,policy_name_clustering!$C$13,D376=policy_name_clustering!$A$14,policy_name_clustering!$C$14,D376=policy_name_clustering!$A$15,policy_name_clustering!$C$15,D376=policy_name_clustering!$A$16,policy_name_clustering!$C$16,D376="-","",D376=policy_name_clustering!$A$4,policy_name_clustering!$C$4)</f>
        <v/>
      </c>
      <c r="G376">
        <f>wind_cump_cap!C336</f>
        <v>4306.7</v>
      </c>
      <c r="H376">
        <f>estimated_capacity!C326</f>
        <v>3586.1615226168301</v>
      </c>
      <c r="I376" cm="1">
        <f t="array" ref="I376">_xlfn.IFS(D376= ""," ",D376&lt;&gt; " ",F376*(G376/H376))</f>
        <v>0</v>
      </c>
      <c r="J376" cm="1">
        <f t="array" ref="J376">_xlfn.IFS(D376= ""," ",D376&lt;&gt; " ",(H376-F376)*(G376/H376))</f>
        <v>4306.7</v>
      </c>
      <c r="K376" cm="1">
        <f t="array" ref="K376">IF(ISNUMBER(H376),_xlfn.IFS(D376= ""," ",D376&lt;&gt; " ",F376*(G376/H376)),"")</f>
        <v>0</v>
      </c>
    </row>
    <row r="377" spans="1:11" x14ac:dyDescent="0.35">
      <c r="A377" t="s">
        <v>33</v>
      </c>
      <c r="B377">
        <v>2021</v>
      </c>
      <c r="D377" t="s">
        <v>137</v>
      </c>
      <c r="E377" t="str" cm="1">
        <f t="array" ref="E377">_xlfn.IFS(D377=policy_name_clustering!$A$2,policy_name_clustering!$C$2,D377=policy_name_clustering!$A$3,policy_name_clustering!$C$3,D377=policy_name_clustering!$A$5,policy_name_clustering!$C$5,D377=policy_name_clustering!$A$6,policy_name_clustering!$C$6,D377=policy_name_clustering!$A$7,policy_name_clustering!$C$7,D377=policy_name_clustering!$A$8,policy_name_clustering!$C$8,D377=policy_name_clustering!$A$9,policy_name_clustering!$C$9,D377=policy_name_clustering!$A$10,policy_name_clustering!$C$10,D377=policy_name_clustering!$A$11,policy_name_clustering!$C$11,D377=policy_name_clustering!$A$12,policy_name_clustering!$C$12,D377=policy_name_clustering!$A$13,policy_name_clustering!$C$13,D377=policy_name_clustering!$A$14,policy_name_clustering!$C$14,D377=policy_name_clustering!$A$15,policy_name_clustering!$C$15,D377=policy_name_clustering!$A$16,policy_name_clustering!$C$16,D377="-","",D377=policy_name_clustering!$A$4,policy_name_clustering!$C$4)</f>
        <v/>
      </c>
      <c r="G377">
        <f>wind_cump_cap!C337</f>
        <v>4339.0410000000002</v>
      </c>
      <c r="H377">
        <f>estimated_capacity!C327</f>
        <v>3952.3149423057298</v>
      </c>
      <c r="I377" cm="1">
        <f t="array" ref="I377">_xlfn.IFS(D377= ""," ",D377&lt;&gt; " ",F377*(G377/H377))</f>
        <v>0</v>
      </c>
      <c r="J377" cm="1">
        <f t="array" ref="J377">_xlfn.IFS(D377= ""," ",D377&lt;&gt; " ",(H377-F377)*(G377/H377))</f>
        <v>4339.0410000000002</v>
      </c>
      <c r="K377" cm="1">
        <f t="array" ref="K377">IF(ISNUMBER(H377),_xlfn.IFS(D377= ""," ",D377&lt;&gt; " ",F377*(G377/H377)),"")</f>
        <v>0</v>
      </c>
    </row>
    <row r="378" spans="1:11" x14ac:dyDescent="0.35">
      <c r="A378" t="s">
        <v>33</v>
      </c>
      <c r="B378">
        <v>2022</v>
      </c>
      <c r="D378" t="s">
        <v>137</v>
      </c>
      <c r="E378" t="str" cm="1">
        <f t="array" ref="E378">_xlfn.IFS(D378=policy_name_clustering!$A$2,policy_name_clustering!$C$2,D378=policy_name_clustering!$A$3,policy_name_clustering!$C$3,D378=policy_name_clustering!$A$5,policy_name_clustering!$C$5,D378=policy_name_clustering!$A$6,policy_name_clustering!$C$6,D378=policy_name_clustering!$A$7,policy_name_clustering!$C$7,D378=policy_name_clustering!$A$8,policy_name_clustering!$C$8,D378=policy_name_clustering!$A$9,policy_name_clustering!$C$9,D378=policy_name_clustering!$A$10,policy_name_clustering!$C$10,D378=policy_name_clustering!$A$11,policy_name_clustering!$C$11,D378=policy_name_clustering!$A$12,policy_name_clustering!$C$12,D378=policy_name_clustering!$A$13,policy_name_clustering!$C$13,D378=policy_name_clustering!$A$14,policy_name_clustering!$C$14,D378=policy_name_clustering!$A$15,policy_name_clustering!$C$15,D378=policy_name_clustering!$A$16,policy_name_clustering!$C$16,D378="-","",D378=policy_name_clustering!$A$4,policy_name_clustering!$C$4)</f>
        <v/>
      </c>
      <c r="G378">
        <f>wind_cump_cap!C338</f>
        <v>4536.1310000000003</v>
      </c>
      <c r="H378">
        <f>estimated_capacity!C328</f>
        <v>4317.6361937326901</v>
      </c>
      <c r="I378" cm="1">
        <f t="array" ref="I378">_xlfn.IFS(D378= ""," ",D378&lt;&gt; " ",F378*(G378/H378))</f>
        <v>0</v>
      </c>
      <c r="J378" cm="1">
        <f t="array" ref="J378">_xlfn.IFS(D378= ""," ",D378&lt;&gt; " ",(H378-F378)*(G378/H378))</f>
        <v>4536.1310000000003</v>
      </c>
      <c r="K378" cm="1">
        <f t="array" ref="K378">IF(ISNUMBER(H378),_xlfn.IFS(D378= ""," ",D378&lt;&gt; " ",F378*(G378/H378)),"")</f>
        <v>0</v>
      </c>
    </row>
    <row r="379" spans="1:11" x14ac:dyDescent="0.35">
      <c r="A379" t="s">
        <v>33</v>
      </c>
      <c r="B379">
        <v>2023</v>
      </c>
      <c r="D379" t="s">
        <v>137</v>
      </c>
      <c r="E379" t="str" cm="1">
        <f t="array" ref="E379">_xlfn.IFS(D379=policy_name_clustering!$A$2,policy_name_clustering!$C$2,D379=policy_name_clustering!$A$3,policy_name_clustering!$C$3,D379=policy_name_clustering!$A$5,policy_name_clustering!$C$5,D379=policy_name_clustering!$A$6,policy_name_clustering!$C$6,D379=policy_name_clustering!$A$7,policy_name_clustering!$C$7,D379=policy_name_clustering!$A$8,policy_name_clustering!$C$8,D379=policy_name_clustering!$A$9,policy_name_clustering!$C$9,D379=policy_name_clustering!$A$10,policy_name_clustering!$C$10,D379=policy_name_clustering!$A$11,policy_name_clustering!$C$11,D379=policy_name_clustering!$A$12,policy_name_clustering!$C$12,D379=policy_name_clustering!$A$13,policy_name_clustering!$C$13,D379=policy_name_clustering!$A$14,policy_name_clustering!$C$14,D379=policy_name_clustering!$A$15,policy_name_clustering!$C$15,D379=policy_name_clustering!$A$16,policy_name_clustering!$C$16,D379="-","",D379=policy_name_clustering!$A$4,policy_name_clustering!$C$4)</f>
        <v/>
      </c>
      <c r="G379">
        <f>wind_cump_cap!C339</f>
        <v>4739.2510000000002</v>
      </c>
      <c r="H379">
        <f>estimated_capacity!C329</f>
        <v>4734.8731510119396</v>
      </c>
      <c r="I379" cm="1">
        <f t="array" ref="I379">_xlfn.IFS(D379= ""," ",D379&lt;&gt; " ",F379*(G379/H379))</f>
        <v>0</v>
      </c>
      <c r="J379" cm="1">
        <f t="array" ref="J379">_xlfn.IFS(D379= ""," ",D379&lt;&gt; " ",(H379-F379)*(G379/H379))</f>
        <v>4739.2510000000002</v>
      </c>
      <c r="K379" cm="1">
        <f t="array" ref="K379">IF(ISNUMBER(H379),_xlfn.IFS(D379= ""," ",D379&lt;&gt; " ",F379*(G379/H379)),"")</f>
        <v>0</v>
      </c>
    </row>
    <row r="380" spans="1:11" x14ac:dyDescent="0.35">
      <c r="A380" t="s">
        <v>12</v>
      </c>
      <c r="B380">
        <v>1991</v>
      </c>
      <c r="D380" t="s">
        <v>137</v>
      </c>
      <c r="E380" t="str" cm="1">
        <f t="array" ref="E380">_xlfn.IFS(D380=policy_name_clustering!$A$2,policy_name_clustering!$C$2,D380=policy_name_clustering!$A$3,policy_name_clustering!$C$3,D380=policy_name_clustering!$A$5,policy_name_clustering!$C$5,D380=policy_name_clustering!$A$6,policy_name_clustering!$C$6,D380=policy_name_clustering!$A$7,policy_name_clustering!$C$7,D380=policy_name_clustering!$A$8,policy_name_clustering!$C$8,D380=policy_name_clustering!$A$9,policy_name_clustering!$C$9,D380=policy_name_clustering!$A$10,policy_name_clustering!$C$10,D380=policy_name_clustering!$A$11,policy_name_clustering!$C$11,D380=policy_name_clustering!$A$12,policy_name_clustering!$C$12,D380=policy_name_clustering!$A$13,policy_name_clustering!$C$13,D380=policy_name_clustering!$A$14,policy_name_clustering!$C$14,D380=policy_name_clustering!$A$15,policy_name_clustering!$C$15,D380=policy_name_clustering!$A$16,policy_name_clustering!$C$16,D380="-","",D380=policy_name_clustering!$A$4,policy_name_clustering!$C$4)</f>
        <v/>
      </c>
      <c r="G380">
        <f>wind_cump_cap!C341</f>
        <v>4</v>
      </c>
      <c r="H380">
        <f>estimated_capacity!C330</f>
        <v>11.0041735454011</v>
      </c>
      <c r="I380" cm="1">
        <f t="array" ref="I380">_xlfn.IFS(D380= ""," ",D380&lt;&gt; " ",F380*(G380/H380))</f>
        <v>0</v>
      </c>
      <c r="J380" cm="1">
        <f t="array" ref="J380">_xlfn.IFS(D380= ""," ",D380&lt;&gt; " ",(H380-F380)*(G380/H380))</f>
        <v>4</v>
      </c>
      <c r="K380" cm="1">
        <f t="array" ref="K380">IF(ISNUMBER(H380),_xlfn.IFS(D380= ""," ",D380&lt;&gt; " ",F380*(G380/H380)),"")</f>
        <v>0</v>
      </c>
    </row>
    <row r="381" spans="1:11" x14ac:dyDescent="0.35">
      <c r="A381" t="s">
        <v>12</v>
      </c>
      <c r="B381">
        <v>1992</v>
      </c>
      <c r="D381" t="s">
        <v>137</v>
      </c>
      <c r="E381" t="str" cm="1">
        <f t="array" ref="E381">_xlfn.IFS(D381=policy_name_clustering!$A$2,policy_name_clustering!$C$2,D381=policy_name_clustering!$A$3,policy_name_clustering!$C$3,D381=policy_name_clustering!$A$5,policy_name_clustering!$C$5,D381=policy_name_clustering!$A$6,policy_name_clustering!$C$6,D381=policy_name_clustering!$A$7,policy_name_clustering!$C$7,D381=policy_name_clustering!$A$8,policy_name_clustering!$C$8,D381=policy_name_clustering!$A$9,policy_name_clustering!$C$9,D381=policy_name_clustering!$A$10,policy_name_clustering!$C$10,D381=policy_name_clustering!$A$11,policy_name_clustering!$C$11,D381=policy_name_clustering!$A$12,policy_name_clustering!$C$12,D381=policy_name_clustering!$A$13,policy_name_clustering!$C$13,D381=policy_name_clustering!$A$14,policy_name_clustering!$C$14,D381=policy_name_clustering!$A$15,policy_name_clustering!$C$15,D381=policy_name_clustering!$A$16,policy_name_clustering!$C$16,D381="-","",D381=policy_name_clustering!$A$4,policy_name_clustering!$C$4)</f>
        <v/>
      </c>
      <c r="G381">
        <f>wind_cump_cap!C342</f>
        <v>7</v>
      </c>
      <c r="H381">
        <f>estimated_capacity!C331</f>
        <v>24.080795787410899</v>
      </c>
      <c r="I381" cm="1">
        <f t="array" ref="I381">_xlfn.IFS(D381= ""," ",D381&lt;&gt; " ",F381*(G381/H381))</f>
        <v>0</v>
      </c>
      <c r="J381" cm="1">
        <f t="array" ref="J381">_xlfn.IFS(D381= ""," ",D381&lt;&gt; " ",(H381-F381)*(G381/H381))</f>
        <v>7</v>
      </c>
      <c r="K381" cm="1">
        <f t="array" ref="K381">IF(ISNUMBER(H381),_xlfn.IFS(D381= ""," ",D381&lt;&gt; " ",F381*(G381/H381)),"")</f>
        <v>0</v>
      </c>
    </row>
    <row r="382" spans="1:11" x14ac:dyDescent="0.35">
      <c r="A382" t="s">
        <v>12</v>
      </c>
      <c r="B382">
        <v>1993</v>
      </c>
      <c r="D382" t="s">
        <v>137</v>
      </c>
      <c r="E382" t="str" cm="1">
        <f t="array" ref="E382">_xlfn.IFS(D382=policy_name_clustering!$A$2,policy_name_clustering!$C$2,D382=policy_name_clustering!$A$3,policy_name_clustering!$C$3,D382=policy_name_clustering!$A$5,policy_name_clustering!$C$5,D382=policy_name_clustering!$A$6,policy_name_clustering!$C$6,D382=policy_name_clustering!$A$7,policy_name_clustering!$C$7,D382=policy_name_clustering!$A$8,policy_name_clustering!$C$8,D382=policy_name_clustering!$A$9,policy_name_clustering!$C$9,D382=policy_name_clustering!$A$10,policy_name_clustering!$C$10,D382=policy_name_clustering!$A$11,policy_name_clustering!$C$11,D382=policy_name_clustering!$A$12,policy_name_clustering!$C$12,D382=policy_name_clustering!$A$13,policy_name_clustering!$C$13,D382=policy_name_clustering!$A$14,policy_name_clustering!$C$14,D382=policy_name_clustering!$A$15,policy_name_clustering!$C$15,D382=policy_name_clustering!$A$16,policy_name_clustering!$C$16,D382="-","",D382=policy_name_clustering!$A$4,policy_name_clustering!$C$4)</f>
        <v/>
      </c>
      <c r="G382">
        <f>wind_cump_cap!C343</f>
        <v>18</v>
      </c>
      <c r="H382">
        <f>estimated_capacity!C332</f>
        <v>45.929962834413601</v>
      </c>
      <c r="I382" cm="1">
        <f t="array" ref="I382">_xlfn.IFS(D382= ""," ",D382&lt;&gt; " ",F382*(G382/H382))</f>
        <v>0</v>
      </c>
      <c r="J382" cm="1">
        <f t="array" ref="J382">_xlfn.IFS(D382= ""," ",D382&lt;&gt; " ",(H382-F382)*(G382/H382))</f>
        <v>18</v>
      </c>
      <c r="K382" cm="1">
        <f t="array" ref="K382">IF(ISNUMBER(H382),_xlfn.IFS(D382= ""," ",D382&lt;&gt; " ",F382*(G382/H382)),"")</f>
        <v>0</v>
      </c>
    </row>
    <row r="383" spans="1:11" x14ac:dyDescent="0.35">
      <c r="A383" t="s">
        <v>12</v>
      </c>
      <c r="B383">
        <v>1994</v>
      </c>
      <c r="D383" t="s">
        <v>137</v>
      </c>
      <c r="E383" t="str" cm="1">
        <f t="array" ref="E383">_xlfn.IFS(D383=policy_name_clustering!$A$2,policy_name_clustering!$C$2,D383=policy_name_clustering!$A$3,policy_name_clustering!$C$3,D383=policy_name_clustering!$A$5,policy_name_clustering!$C$5,D383=policy_name_clustering!$A$6,policy_name_clustering!$C$6,D383=policy_name_clustering!$A$7,policy_name_clustering!$C$7,D383=policy_name_clustering!$A$8,policy_name_clustering!$C$8,D383=policy_name_clustering!$A$9,policy_name_clustering!$C$9,D383=policy_name_clustering!$A$10,policy_name_clustering!$C$10,D383=policy_name_clustering!$A$11,policy_name_clustering!$C$11,D383=policy_name_clustering!$A$12,policy_name_clustering!$C$12,D383=policy_name_clustering!$A$13,policy_name_clustering!$C$13,D383=policy_name_clustering!$A$14,policy_name_clustering!$C$14,D383=policy_name_clustering!$A$15,policy_name_clustering!$C$15,D383=policy_name_clustering!$A$16,policy_name_clustering!$C$16,D383="-","",D383=policy_name_clustering!$A$4,policy_name_clustering!$C$4)</f>
        <v/>
      </c>
      <c r="G383">
        <f>wind_cump_cap!C344</f>
        <v>21</v>
      </c>
      <c r="H383">
        <f>estimated_capacity!C333</f>
        <v>74.866650691832206</v>
      </c>
      <c r="I383" cm="1">
        <f t="array" ref="I383">_xlfn.IFS(D383= ""," ",D383&lt;&gt; " ",F383*(G383/H383))</f>
        <v>0</v>
      </c>
      <c r="J383" cm="1">
        <f t="array" ref="J383">_xlfn.IFS(D383= ""," ",D383&lt;&gt; " ",(H383-F383)*(G383/H383))</f>
        <v>21</v>
      </c>
      <c r="K383" cm="1">
        <f t="array" ref="K383">IF(ISNUMBER(H383),_xlfn.IFS(D383= ""," ",D383&lt;&gt; " ",F383*(G383/H383)),"")</f>
        <v>0</v>
      </c>
    </row>
    <row r="384" spans="1:11" x14ac:dyDescent="0.35">
      <c r="A384" t="s">
        <v>12</v>
      </c>
      <c r="B384">
        <v>1995</v>
      </c>
      <c r="D384" t="s">
        <v>137</v>
      </c>
      <c r="E384" t="str" cm="1">
        <f t="array" ref="E384">_xlfn.IFS(D384=policy_name_clustering!$A$2,policy_name_clustering!$C$2,D384=policy_name_clustering!$A$3,policy_name_clustering!$C$3,D384=policy_name_clustering!$A$5,policy_name_clustering!$C$5,D384=policy_name_clustering!$A$6,policy_name_clustering!$C$6,D384=policy_name_clustering!$A$7,policy_name_clustering!$C$7,D384=policy_name_clustering!$A$8,policy_name_clustering!$C$8,D384=policy_name_clustering!$A$9,policy_name_clustering!$C$9,D384=policy_name_clustering!$A$10,policy_name_clustering!$C$10,D384=policy_name_clustering!$A$11,policy_name_clustering!$C$11,D384=policy_name_clustering!$A$12,policy_name_clustering!$C$12,D384=policy_name_clustering!$A$13,policy_name_clustering!$C$13,D384=policy_name_clustering!$A$14,policy_name_clustering!$C$14,D384=policy_name_clustering!$A$15,policy_name_clustering!$C$15,D384=policy_name_clustering!$A$16,policy_name_clustering!$C$16,D384="-","",D384=policy_name_clustering!$A$4,policy_name_clustering!$C$4)</f>
        <v/>
      </c>
      <c r="G384">
        <f>wind_cump_cap!C345</f>
        <v>22</v>
      </c>
      <c r="H384">
        <f>estimated_capacity!C334</f>
        <v>115.29430579416901</v>
      </c>
      <c r="I384" cm="1">
        <f t="array" ref="I384">_xlfn.IFS(D384= ""," ",D384&lt;&gt; " ",F384*(G384/H384))</f>
        <v>0</v>
      </c>
      <c r="J384" cm="1">
        <f t="array" ref="J384">_xlfn.IFS(D384= ""," ",D384&lt;&gt; " ",(H384-F384)*(G384/H384))</f>
        <v>22</v>
      </c>
      <c r="K384" cm="1">
        <f t="array" ref="K384">IF(ISNUMBER(H384),_xlfn.IFS(D384= ""," ",D384&lt;&gt; " ",F384*(G384/H384)),"")</f>
        <v>0</v>
      </c>
    </row>
    <row r="385" spans="1:11" x14ac:dyDescent="0.35">
      <c r="A385" t="s">
        <v>12</v>
      </c>
      <c r="B385">
        <v>1996</v>
      </c>
      <c r="D385" t="s">
        <v>137</v>
      </c>
      <c r="E385" t="str" cm="1">
        <f t="array" ref="E385">_xlfn.IFS(D385=policy_name_clustering!$A$2,policy_name_clustering!$C$2,D385=policy_name_clustering!$A$3,policy_name_clustering!$C$3,D385=policy_name_clustering!$A$5,policy_name_clustering!$C$5,D385=policy_name_clustering!$A$6,policy_name_clustering!$C$6,D385=policy_name_clustering!$A$7,policy_name_clustering!$C$7,D385=policy_name_clustering!$A$8,policy_name_clustering!$C$8,D385=policy_name_clustering!$A$9,policy_name_clustering!$C$9,D385=policy_name_clustering!$A$10,policy_name_clustering!$C$10,D385=policy_name_clustering!$A$11,policy_name_clustering!$C$11,D385=policy_name_clustering!$A$12,policy_name_clustering!$C$12,D385=policy_name_clustering!$A$13,policy_name_clustering!$C$13,D385=policy_name_clustering!$A$14,policy_name_clustering!$C$14,D385=policy_name_clustering!$A$15,policy_name_clustering!$C$15,D385=policy_name_clustering!$A$16,policy_name_clustering!$C$16,D385="-","",D385=policy_name_clustering!$A$4,policy_name_clustering!$C$4)</f>
        <v/>
      </c>
      <c r="G385">
        <f>wind_cump_cap!C346</f>
        <v>34</v>
      </c>
      <c r="H385">
        <f>estimated_capacity!C335</f>
        <v>170.826197608695</v>
      </c>
      <c r="I385" cm="1">
        <f t="array" ref="I385">_xlfn.IFS(D385= ""," ",D385&lt;&gt; " ",F385*(G385/H385))</f>
        <v>0</v>
      </c>
      <c r="J385" cm="1">
        <f t="array" ref="J385">_xlfn.IFS(D385= ""," ",D385&lt;&gt; " ",(H385-F385)*(G385/H385))</f>
        <v>34</v>
      </c>
      <c r="K385" cm="1">
        <f t="array" ref="K385">IF(ISNUMBER(H385),_xlfn.IFS(D385= ""," ",D385&lt;&gt; " ",F385*(G385/H385)),"")</f>
        <v>0</v>
      </c>
    </row>
    <row r="386" spans="1:11" x14ac:dyDescent="0.35">
      <c r="A386" t="s">
        <v>12</v>
      </c>
      <c r="B386">
        <v>1997</v>
      </c>
      <c r="D386" t="s">
        <v>137</v>
      </c>
      <c r="E386" t="str" cm="1">
        <f t="array" ref="E386">_xlfn.IFS(D386=policy_name_clustering!$A$2,policy_name_clustering!$C$2,D386=policy_name_clustering!$A$3,policy_name_clustering!$C$3,D386=policy_name_clustering!$A$5,policy_name_clustering!$C$5,D386=policy_name_clustering!$A$6,policy_name_clustering!$C$6,D386=policy_name_clustering!$A$7,policy_name_clustering!$C$7,D386=policy_name_clustering!$A$8,policy_name_clustering!$C$8,D386=policy_name_clustering!$A$9,policy_name_clustering!$C$9,D386=policy_name_clustering!$A$10,policy_name_clustering!$C$10,D386=policy_name_clustering!$A$11,policy_name_clustering!$C$11,D386=policy_name_clustering!$A$12,policy_name_clustering!$C$12,D386=policy_name_clustering!$A$13,policy_name_clustering!$C$13,D386=policy_name_clustering!$A$14,policy_name_clustering!$C$14,D386=policy_name_clustering!$A$15,policy_name_clustering!$C$15,D386=policy_name_clustering!$A$16,policy_name_clustering!$C$16,D386="-","",D386=policy_name_clustering!$A$4,policy_name_clustering!$C$4)</f>
        <v/>
      </c>
      <c r="G386">
        <f>wind_cump_cap!C347</f>
        <v>119</v>
      </c>
      <c r="H386">
        <f>estimated_capacity!C336</f>
        <v>247.46851122925401</v>
      </c>
      <c r="I386" cm="1">
        <f t="array" ref="I386">_xlfn.IFS(D386= ""," ",D386&lt;&gt; " ",F386*(G386/H386))</f>
        <v>0</v>
      </c>
      <c r="J386" cm="1">
        <f t="array" ref="J386">_xlfn.IFS(D386= ""," ",D386&lt;&gt; " ",(H386-F386)*(G386/H386))</f>
        <v>119</v>
      </c>
      <c r="K386" cm="1">
        <f t="array" ref="K386">IF(ISNUMBER(H386),_xlfn.IFS(D386= ""," ",D386&lt;&gt; " ",F386*(G386/H386)),"")</f>
        <v>0</v>
      </c>
    </row>
    <row r="387" spans="1:11" x14ac:dyDescent="0.35">
      <c r="A387" t="s">
        <v>12</v>
      </c>
      <c r="B387">
        <v>1998</v>
      </c>
      <c r="D387" t="s">
        <v>137</v>
      </c>
      <c r="E387" t="str" cm="1">
        <f t="array" ref="E387">_xlfn.IFS(D387=policy_name_clustering!$A$2,policy_name_clustering!$C$2,D387=policy_name_clustering!$A$3,policy_name_clustering!$C$3,D387=policy_name_clustering!$A$5,policy_name_clustering!$C$5,D387=policy_name_clustering!$A$6,policy_name_clustering!$C$6,D387=policy_name_clustering!$A$7,policy_name_clustering!$C$7,D387=policy_name_clustering!$A$8,policy_name_clustering!$C$8,D387=policy_name_clustering!$A$9,policy_name_clustering!$C$9,D387=policy_name_clustering!$A$10,policy_name_clustering!$C$10,D387=policy_name_clustering!$A$11,policy_name_clustering!$C$11,D387=policy_name_clustering!$A$12,policy_name_clustering!$C$12,D387=policy_name_clustering!$A$13,policy_name_clustering!$C$13,D387=policy_name_clustering!$A$14,policy_name_clustering!$C$14,D387=policy_name_clustering!$A$15,policy_name_clustering!$C$15,D387=policy_name_clustering!$A$16,policy_name_clustering!$C$16,D387="-","",D387=policy_name_clustering!$A$4,policy_name_clustering!$C$4)</f>
        <v/>
      </c>
      <c r="G387">
        <f>wind_cump_cap!C348</f>
        <v>164</v>
      </c>
      <c r="H387">
        <f>estimated_capacity!C337</f>
        <v>332.48210722387302</v>
      </c>
      <c r="I387" cm="1">
        <f t="array" ref="I387">_xlfn.IFS(D387= ""," ",D387&lt;&gt; " ",F387*(G387/H387))</f>
        <v>0</v>
      </c>
      <c r="J387" cm="1">
        <f t="array" ref="J387">_xlfn.IFS(D387= ""," ",D387&lt;&gt; " ",(H387-F387)*(G387/H387))</f>
        <v>164</v>
      </c>
      <c r="K387" cm="1">
        <f t="array" ref="K387">IF(ISNUMBER(H387),_xlfn.IFS(D387= ""," ",D387&lt;&gt; " ",F387*(G387/H387)),"")</f>
        <v>0</v>
      </c>
    </row>
    <row r="388" spans="1:11" x14ac:dyDescent="0.35">
      <c r="A388" t="s">
        <v>12</v>
      </c>
      <c r="B388">
        <v>1999</v>
      </c>
      <c r="D388" t="s">
        <v>137</v>
      </c>
      <c r="E388" t="str" cm="1">
        <f t="array" ref="E388">_xlfn.IFS(D388=policy_name_clustering!$A$2,policy_name_clustering!$C$2,D388=policy_name_clustering!$A$3,policy_name_clustering!$C$3,D388=policy_name_clustering!$A$5,policy_name_clustering!$C$5,D388=policy_name_clustering!$A$6,policy_name_clustering!$C$6,D388=policy_name_clustering!$A$7,policy_name_clustering!$C$7,D388=policy_name_clustering!$A$8,policy_name_clustering!$C$8,D388=policy_name_clustering!$A$9,policy_name_clustering!$C$9,D388=policy_name_clustering!$A$10,policy_name_clustering!$C$10,D388=policy_name_clustering!$A$11,policy_name_clustering!$C$11,D388=policy_name_clustering!$A$12,policy_name_clustering!$C$12,D388=policy_name_clustering!$A$13,policy_name_clustering!$C$13,D388=policy_name_clustering!$A$14,policy_name_clustering!$C$14,D388=policy_name_clustering!$A$15,policy_name_clustering!$C$15,D388=policy_name_clustering!$A$16,policy_name_clustering!$C$16,D388="-","",D388=policy_name_clustering!$A$4,policy_name_clustering!$C$4)</f>
        <v/>
      </c>
      <c r="G388">
        <f>wind_cump_cap!C349</f>
        <v>232</v>
      </c>
      <c r="H388">
        <f>estimated_capacity!C338</f>
        <v>434.39254336632598</v>
      </c>
      <c r="I388" cm="1">
        <f t="array" ref="I388">_xlfn.IFS(D388= ""," ",D388&lt;&gt; " ",F388*(G388/H388))</f>
        <v>0</v>
      </c>
      <c r="J388" cm="1">
        <f t="array" ref="J388">_xlfn.IFS(D388= ""," ",D388&lt;&gt; " ",(H388-F388)*(G388/H388))</f>
        <v>232.00000000000003</v>
      </c>
      <c r="K388" cm="1">
        <f t="array" ref="K388">IF(ISNUMBER(H388),_xlfn.IFS(D388= ""," ",D388&lt;&gt; " ",F388*(G388/H388)),"")</f>
        <v>0</v>
      </c>
    </row>
    <row r="389" spans="1:11" x14ac:dyDescent="0.35">
      <c r="A389" t="s">
        <v>12</v>
      </c>
      <c r="B389">
        <v>2000</v>
      </c>
      <c r="D389" t="s">
        <v>137</v>
      </c>
      <c r="E389" t="str" cm="1">
        <f t="array" ref="E389">_xlfn.IFS(D389=policy_name_clustering!$A$2,policy_name_clustering!$C$2,D389=policy_name_clustering!$A$3,policy_name_clustering!$C$3,D389=policy_name_clustering!$A$5,policy_name_clustering!$C$5,D389=policy_name_clustering!$A$6,policy_name_clustering!$C$6,D389=policy_name_clustering!$A$7,policy_name_clustering!$C$7,D389=policy_name_clustering!$A$8,policy_name_clustering!$C$8,D389=policy_name_clustering!$A$9,policy_name_clustering!$C$9,D389=policy_name_clustering!$A$10,policy_name_clustering!$C$10,D389=policy_name_clustering!$A$11,policy_name_clustering!$C$11,D389=policy_name_clustering!$A$12,policy_name_clustering!$C$12,D389=policy_name_clustering!$A$13,policy_name_clustering!$C$13,D389=policy_name_clustering!$A$14,policy_name_clustering!$C$14,D389=policy_name_clustering!$A$15,policy_name_clustering!$C$15,D389=policy_name_clustering!$A$16,policy_name_clustering!$C$16,D389="-","",D389=policy_name_clustering!$A$4,policy_name_clustering!$C$4)</f>
        <v/>
      </c>
      <c r="G389">
        <f>wind_cump_cap!C350</f>
        <v>363</v>
      </c>
      <c r="H389">
        <f>estimated_capacity!C339</f>
        <v>538.40410030198495</v>
      </c>
      <c r="I389" cm="1">
        <f t="array" ref="I389">_xlfn.IFS(D389= ""," ",D389&lt;&gt; " ",F389*(G389/H389))</f>
        <v>0</v>
      </c>
      <c r="J389" cm="1">
        <f t="array" ref="J389">_xlfn.IFS(D389= ""," ",D389&lt;&gt; " ",(H389-F389)*(G389/H389))</f>
        <v>362.99999999999994</v>
      </c>
      <c r="K389" cm="1">
        <f t="array" ref="K389">IF(ISNUMBER(H389),_xlfn.IFS(D389= ""," ",D389&lt;&gt; " ",F389*(G389/H389)),"")</f>
        <v>0</v>
      </c>
    </row>
    <row r="390" spans="1:11" x14ac:dyDescent="0.35">
      <c r="A390" t="s">
        <v>12</v>
      </c>
      <c r="B390">
        <v>2001</v>
      </c>
      <c r="D390" t="s">
        <v>137</v>
      </c>
      <c r="E390" t="str" cm="1">
        <f t="array" ref="E390">_xlfn.IFS(D390=policy_name_clustering!$A$2,policy_name_clustering!$C$2,D390=policy_name_clustering!$A$3,policy_name_clustering!$C$3,D390=policy_name_clustering!$A$5,policy_name_clustering!$C$5,D390=policy_name_clustering!$A$6,policy_name_clustering!$C$6,D390=policy_name_clustering!$A$7,policy_name_clustering!$C$7,D390=policy_name_clustering!$A$8,policy_name_clustering!$C$8,D390=policy_name_clustering!$A$9,policy_name_clustering!$C$9,D390=policy_name_clustering!$A$10,policy_name_clustering!$C$10,D390=policy_name_clustering!$A$11,policy_name_clustering!$C$11,D390=policy_name_clustering!$A$12,policy_name_clustering!$C$12,D390=policy_name_clustering!$A$13,policy_name_clustering!$C$13,D390=policy_name_clustering!$A$14,policy_name_clustering!$C$14,D390=policy_name_clustering!$A$15,policy_name_clustering!$C$15,D390=policy_name_clustering!$A$16,policy_name_clustering!$C$16,D390="-","",D390=policy_name_clustering!$A$4,policy_name_clustering!$C$4)</f>
        <v/>
      </c>
      <c r="G390">
        <f>wind_cump_cap!C351</f>
        <v>664</v>
      </c>
      <c r="H390">
        <f>estimated_capacity!C340</f>
        <v>660.73231571879796</v>
      </c>
      <c r="I390" cm="1">
        <f t="array" ref="I390">_xlfn.IFS(D390= ""," ",D390&lt;&gt; " ",F390*(G390/H390))</f>
        <v>0</v>
      </c>
      <c r="J390" cm="1">
        <f t="array" ref="J390">_xlfn.IFS(D390= ""," ",D390&lt;&gt; " ",(H390-F390)*(G390/H390))</f>
        <v>664</v>
      </c>
      <c r="K390" cm="1">
        <f t="array" ref="K390">IF(ISNUMBER(H390),_xlfn.IFS(D390= ""," ",D390&lt;&gt; " ",F390*(G390/H390)),"")</f>
        <v>0</v>
      </c>
    </row>
    <row r="391" spans="1:11" x14ac:dyDescent="0.35">
      <c r="A391" t="s">
        <v>12</v>
      </c>
      <c r="B391">
        <v>2002</v>
      </c>
      <c r="D391" t="s">
        <v>137</v>
      </c>
      <c r="E391" t="str" cm="1">
        <f t="array" ref="E391">_xlfn.IFS(D391=policy_name_clustering!$A$2,policy_name_clustering!$C$2,D391=policy_name_clustering!$A$3,policy_name_clustering!$C$3,D391=policy_name_clustering!$A$5,policy_name_clustering!$C$5,D391=policy_name_clustering!$A$6,policy_name_clustering!$C$6,D391=policy_name_clustering!$A$7,policy_name_clustering!$C$7,D391=policy_name_clustering!$A$8,policy_name_clustering!$C$8,D391=policy_name_clustering!$A$9,policy_name_clustering!$C$9,D391=policy_name_clustering!$A$10,policy_name_clustering!$C$10,D391=policy_name_clustering!$A$11,policy_name_clustering!$C$11,D391=policy_name_clustering!$A$12,policy_name_clustering!$C$12,D391=policy_name_clustering!$A$13,policy_name_clustering!$C$13,D391=policy_name_clustering!$A$14,policy_name_clustering!$C$14,D391=policy_name_clustering!$A$15,policy_name_clustering!$C$15,D391=policy_name_clustering!$A$16,policy_name_clustering!$C$16,D391="-","",D391=policy_name_clustering!$A$4,policy_name_clustering!$C$4)</f>
        <v/>
      </c>
      <c r="G391">
        <f>wind_cump_cap!C352</f>
        <v>780</v>
      </c>
      <c r="H391">
        <f>estimated_capacity!C341</f>
        <v>786.55016968514406</v>
      </c>
      <c r="I391" cm="1">
        <f t="array" ref="I391">_xlfn.IFS(D391= ""," ",D391&lt;&gt; " ",F391*(G391/H391))</f>
        <v>0</v>
      </c>
      <c r="J391" cm="1">
        <f t="array" ref="J391">_xlfn.IFS(D391= ""," ",D391&lt;&gt; " ",(H391-F391)*(G391/H391))</f>
        <v>780</v>
      </c>
      <c r="K391" cm="1">
        <f t="array" ref="K391">IF(ISNUMBER(H391),_xlfn.IFS(D391= ""," ",D391&lt;&gt; " ",F391*(G391/H391)),"")</f>
        <v>0</v>
      </c>
    </row>
    <row r="392" spans="1:11" x14ac:dyDescent="0.35">
      <c r="A392" t="s">
        <v>12</v>
      </c>
      <c r="B392">
        <v>2003</v>
      </c>
      <c r="D392" t="s">
        <v>137</v>
      </c>
      <c r="E392" t="str" cm="1">
        <f t="array" ref="E392">_xlfn.IFS(D392=policy_name_clustering!$A$2,policy_name_clustering!$C$2,D392=policy_name_clustering!$A$3,policy_name_clustering!$C$3,D392=policy_name_clustering!$A$5,policy_name_clustering!$C$5,D392=policy_name_clustering!$A$6,policy_name_clustering!$C$6,D392=policy_name_clustering!$A$7,policy_name_clustering!$C$7,D392=policy_name_clustering!$A$8,policy_name_clustering!$C$8,D392=policy_name_clustering!$A$9,policy_name_clustering!$C$9,D392=policy_name_clustering!$A$10,policy_name_clustering!$C$10,D392=policy_name_clustering!$A$11,policy_name_clustering!$C$11,D392=policy_name_clustering!$A$12,policy_name_clustering!$C$12,D392=policy_name_clustering!$A$13,policy_name_clustering!$C$13,D392=policy_name_clustering!$A$14,policy_name_clustering!$C$14,D392=policy_name_clustering!$A$15,policy_name_clustering!$C$15,D392=policy_name_clustering!$A$16,policy_name_clustering!$C$16,D392="-","",D392=policy_name_clustering!$A$4,policy_name_clustering!$C$4)</f>
        <v/>
      </c>
      <c r="G392">
        <f>wind_cump_cap!C353</f>
        <v>874</v>
      </c>
      <c r="H392">
        <f>estimated_capacity!C342</f>
        <v>933.47874930591695</v>
      </c>
      <c r="I392" cm="1">
        <f t="array" ref="I392">_xlfn.IFS(D392= ""," ",D392&lt;&gt; " ",F392*(G392/H392))</f>
        <v>0</v>
      </c>
      <c r="J392" cm="1">
        <f t="array" ref="J392">_xlfn.IFS(D392= ""," ",D392&lt;&gt; " ",(H392-F392)*(G392/H392))</f>
        <v>874</v>
      </c>
      <c r="K392" cm="1">
        <f t="array" ref="K392">IF(ISNUMBER(H392),_xlfn.IFS(D392= ""," ",D392&lt;&gt; " ",F392*(G392/H392)),"")</f>
        <v>0</v>
      </c>
    </row>
    <row r="393" spans="1:11" x14ac:dyDescent="0.35">
      <c r="A393" t="s">
        <v>12</v>
      </c>
      <c r="B393">
        <v>2004</v>
      </c>
      <c r="C393" t="s">
        <v>108</v>
      </c>
      <c r="D393" s="3" t="s">
        <v>165</v>
      </c>
      <c r="E393" t="str" cm="1">
        <f t="array" ref="E393">_xlfn.IFS(D393=policy_name_clustering!$A$2,policy_name_clustering!$C$2,D393=policy_name_clustering!$A$3,policy_name_clustering!$C$3,D393=policy_name_clustering!$A$5,policy_name_clustering!$C$5,D393=policy_name_clustering!$A$6,policy_name_clustering!$C$6,D393=policy_name_clustering!$A$7,policy_name_clustering!$C$7,D393=policy_name_clustering!$A$8,policy_name_clustering!$C$8,D393=policy_name_clustering!$A$9,policy_name_clustering!$C$9,D393=policy_name_clustering!$A$10,policy_name_clustering!$C$10,D393=policy_name_clustering!$A$11,policy_name_clustering!$C$11,D393=policy_name_clustering!$A$12,policy_name_clustering!$C$12,D393=policy_name_clustering!$A$13,policy_name_clustering!$C$13,D393=policy_name_clustering!$A$14,policy_name_clustering!$C$14,D393=policy_name_clustering!$A$15,policy_name_clustering!$C$15,D393=policy_name_clustering!$A$16,policy_name_clustering!$C$16,D393="-","",D393=policy_name_clustering!$A$4,policy_name_clustering!$C$4)</f>
        <v>Policy mix</v>
      </c>
      <c r="F393">
        <f>policy_contributions_cum!F128</f>
        <v>82.610951813864105</v>
      </c>
      <c r="G393">
        <f>wind_cump_cap!C354</f>
        <v>1127</v>
      </c>
      <c r="H393">
        <f>estimated_capacity!C343</f>
        <v>1159.23535849161</v>
      </c>
      <c r="I393" cm="1">
        <f t="array" ref="I393">_xlfn.IFS(D393= ""," ",D393&lt;&gt; " ",F393*(G393/H393))</f>
        <v>80.313753382548057</v>
      </c>
      <c r="J393" cm="1">
        <f t="array" ref="J393">_xlfn.IFS(D393= ""," ",D393&lt;&gt; " ",(H393-F393)*(G393/H393))</f>
        <v>1046.6862466174518</v>
      </c>
      <c r="K393" cm="1">
        <f t="array" ref="K393">IF(ISNUMBER(H393),_xlfn.IFS(D393= ""," ",D393&lt;&gt; " ",F393*(G393/H393)),"")</f>
        <v>80.313753382548057</v>
      </c>
    </row>
    <row r="394" spans="1:11" x14ac:dyDescent="0.35">
      <c r="A394" t="s">
        <v>12</v>
      </c>
      <c r="B394">
        <v>2005</v>
      </c>
      <c r="C394" t="s">
        <v>108</v>
      </c>
      <c r="D394" s="3" t="s">
        <v>165</v>
      </c>
      <c r="E394" t="str" cm="1">
        <f t="array" ref="E394">_xlfn.IFS(D394=policy_name_clustering!$A$2,policy_name_clustering!$C$2,D394=policy_name_clustering!$A$3,policy_name_clustering!$C$3,D394=policy_name_clustering!$A$5,policy_name_clustering!$C$5,D394=policy_name_clustering!$A$6,policy_name_clustering!$C$6,D394=policy_name_clustering!$A$7,policy_name_clustering!$C$7,D394=policy_name_clustering!$A$8,policy_name_clustering!$C$8,D394=policy_name_clustering!$A$9,policy_name_clustering!$C$9,D394=policy_name_clustering!$A$10,policy_name_clustering!$C$10,D394=policy_name_clustering!$A$11,policy_name_clustering!$C$11,D394=policy_name_clustering!$A$12,policy_name_clustering!$C$12,D394=policy_name_clustering!$A$13,policy_name_clustering!$C$13,D394=policy_name_clustering!$A$14,policy_name_clustering!$C$14,D394=policy_name_clustering!$A$15,policy_name_clustering!$C$15,D394=policy_name_clustering!$A$16,policy_name_clustering!$C$16,D394="-","",D394=policy_name_clustering!$A$4,policy_name_clustering!$C$4)</f>
        <v>Policy mix</v>
      </c>
      <c r="F394">
        <f>policy_contributions_cum!F129</f>
        <v>294.42280042964097</v>
      </c>
      <c r="G394">
        <f>wind_cump_cap!C355</f>
        <v>1635</v>
      </c>
      <c r="H394">
        <f>estimated_capacity!C344</f>
        <v>1537.87153222743</v>
      </c>
      <c r="I394" cm="1">
        <f t="array" ref="I394">_xlfn.IFS(D394= ""," ",D394&lt;&gt; " ",F394*(G394/H394))</f>
        <v>313.0178747799809</v>
      </c>
      <c r="J394" cm="1">
        <f t="array" ref="J394">_xlfn.IFS(D394= ""," ",D394&lt;&gt; " ",(H394-F394)*(G394/H394))</f>
        <v>1321.982125220019</v>
      </c>
      <c r="K394" cm="1">
        <f t="array" ref="K394">IF(ISNUMBER(H394),_xlfn.IFS(D394= ""," ",D394&lt;&gt; " ",F394*(G394/H394)),"")</f>
        <v>313.0178747799809</v>
      </c>
    </row>
    <row r="395" spans="1:11" x14ac:dyDescent="0.35">
      <c r="A395" t="s">
        <v>12</v>
      </c>
      <c r="B395">
        <v>2006</v>
      </c>
      <c r="C395" t="s">
        <v>108</v>
      </c>
      <c r="D395" s="3" t="s">
        <v>165</v>
      </c>
      <c r="E395" t="str" cm="1">
        <f t="array" ref="E395">_xlfn.IFS(D395=policy_name_clustering!$A$2,policy_name_clustering!$C$2,D395=policy_name_clustering!$A$3,policy_name_clustering!$C$3,D395=policy_name_clustering!$A$5,policy_name_clustering!$C$5,D395=policy_name_clustering!$A$6,policy_name_clustering!$C$6,D395=policy_name_clustering!$A$7,policy_name_clustering!$C$7,D395=policy_name_clustering!$A$8,policy_name_clustering!$C$8,D395=policy_name_clustering!$A$9,policy_name_clustering!$C$9,D395=policy_name_clustering!$A$10,policy_name_clustering!$C$10,D395=policy_name_clustering!$A$11,policy_name_clustering!$C$11,D395=policy_name_clustering!$A$12,policy_name_clustering!$C$12,D395=policy_name_clustering!$A$13,policy_name_clustering!$C$13,D395=policy_name_clustering!$A$14,policy_name_clustering!$C$14,D395=policy_name_clustering!$A$15,policy_name_clustering!$C$15,D395=policy_name_clustering!$A$16,policy_name_clustering!$C$16,D395="-","",D395=policy_name_clustering!$A$4,policy_name_clustering!$C$4)</f>
        <v>Policy mix</v>
      </c>
      <c r="F395">
        <f>policy_contributions_cum!F130</f>
        <v>654.09098698022001</v>
      </c>
      <c r="G395">
        <f>wind_cump_cap!C356</f>
        <v>1902</v>
      </c>
      <c r="H395">
        <f>estimated_capacity!C345</f>
        <v>2054.1189830122198</v>
      </c>
      <c r="I395" cm="1">
        <f t="array" ref="I395">_xlfn.IFS(D395= ""," ",D395&lt;&gt; " ",F395*(G395/H395))</f>
        <v>605.65189627526922</v>
      </c>
      <c r="J395" cm="1">
        <f t="array" ref="J395">_xlfn.IFS(D395= ""," ",D395&lt;&gt; " ",(H395-F395)*(G395/H395))</f>
        <v>1296.3481037247309</v>
      </c>
      <c r="K395" cm="1">
        <f t="array" ref="K395">IF(ISNUMBER(H395),_xlfn.IFS(D395= ""," ",D395&lt;&gt; " ",F395*(G395/H395)),"")</f>
        <v>605.65189627526922</v>
      </c>
    </row>
    <row r="396" spans="1:11" x14ac:dyDescent="0.35">
      <c r="A396" t="s">
        <v>12</v>
      </c>
      <c r="B396">
        <v>2007</v>
      </c>
      <c r="C396" t="s">
        <v>108</v>
      </c>
      <c r="D396" s="3" t="s">
        <v>165</v>
      </c>
      <c r="E396" t="str" cm="1">
        <f t="array" ref="E396">_xlfn.IFS(D396=policy_name_clustering!$A$2,policy_name_clustering!$C$2,D396=policy_name_clustering!$A$3,policy_name_clustering!$C$3,D396=policy_name_clustering!$A$5,policy_name_clustering!$C$5,D396=policy_name_clustering!$A$6,policy_name_clustering!$C$6,D396=policy_name_clustering!$A$7,policy_name_clustering!$C$7,D396=policy_name_clustering!$A$8,policy_name_clustering!$C$8,D396=policy_name_clustering!$A$9,policy_name_clustering!$C$9,D396=policy_name_clustering!$A$10,policy_name_clustering!$C$10,D396=policy_name_clustering!$A$11,policy_name_clustering!$C$11,D396=policy_name_clustering!$A$12,policy_name_clustering!$C$12,D396=policy_name_clustering!$A$13,policy_name_clustering!$C$13,D396=policy_name_clustering!$A$14,policy_name_clustering!$C$14,D396=policy_name_clustering!$A$15,policy_name_clustering!$C$15,D396=policy_name_clustering!$A$16,policy_name_clustering!$C$16,D396="-","",D396=policy_name_clustering!$A$4,policy_name_clustering!$C$4)</f>
        <v>Policy mix</v>
      </c>
      <c r="F396">
        <f>policy_contributions_cum!F131</f>
        <v>1209.9014930251001</v>
      </c>
      <c r="G396">
        <f>wind_cump_cap!C357</f>
        <v>2702</v>
      </c>
      <c r="H396">
        <f>estimated_capacity!C346</f>
        <v>2760.8488847722601</v>
      </c>
      <c r="I396" cm="1">
        <f t="array" ref="I396">_xlfn.IFS(D396= ""," ",D396&lt;&gt; " ",F396*(G396/H396))</f>
        <v>1184.1118332065066</v>
      </c>
      <c r="J396" cm="1">
        <f t="array" ref="J396">_xlfn.IFS(D396= ""," ",D396&lt;&gt; " ",(H396-F396)*(G396/H396))</f>
        <v>1517.8881667934934</v>
      </c>
      <c r="K396" cm="1">
        <f t="array" ref="K396">IF(ISNUMBER(H396),_xlfn.IFS(D396= ""," ",D396&lt;&gt; " ",F396*(G396/H396)),"")</f>
        <v>1184.1118332065066</v>
      </c>
    </row>
    <row r="397" spans="1:11" x14ac:dyDescent="0.35">
      <c r="A397" t="s">
        <v>12</v>
      </c>
      <c r="B397">
        <v>2008</v>
      </c>
      <c r="C397" t="s">
        <v>109</v>
      </c>
      <c r="D397" s="3" t="s">
        <v>165</v>
      </c>
      <c r="E397" t="str" cm="1">
        <f t="array" ref="E397">_xlfn.IFS(D397=policy_name_clustering!$A$2,policy_name_clustering!$C$2,D397=policy_name_clustering!$A$3,policy_name_clustering!$C$3,D397=policy_name_clustering!$A$5,policy_name_clustering!$C$5,D397=policy_name_clustering!$A$6,policy_name_clustering!$C$6,D397=policy_name_clustering!$A$7,policy_name_clustering!$C$7,D397=policy_name_clustering!$A$8,policy_name_clustering!$C$8,D397=policy_name_clustering!$A$9,policy_name_clustering!$C$9,D397=policy_name_clustering!$A$10,policy_name_clustering!$C$10,D397=policy_name_clustering!$A$11,policy_name_clustering!$C$11,D397=policy_name_clustering!$A$12,policy_name_clustering!$C$12,D397=policy_name_clustering!$A$13,policy_name_clustering!$C$13,D397=policy_name_clustering!$A$14,policy_name_clustering!$C$14,D397=policy_name_clustering!$A$15,policy_name_clustering!$C$15,D397=policy_name_clustering!$A$16,policy_name_clustering!$C$16,D397="-","",D397=policy_name_clustering!$A$4,policy_name_clustering!$C$4)</f>
        <v>Policy mix</v>
      </c>
      <c r="F397">
        <f>policy_contributions_cum!F132</f>
        <v>1981.9761457481</v>
      </c>
      <c r="G397">
        <f>wind_cump_cap!C358</f>
        <v>3525</v>
      </c>
      <c r="H397">
        <f>estimated_capacity!C347</f>
        <v>3666.5843013059698</v>
      </c>
      <c r="I397" cm="1">
        <f t="array" ref="I397">_xlfn.IFS(D397= ""," ",D397&lt;&gt; " ",F397*(G397/H397))</f>
        <v>1905.4425971533237</v>
      </c>
      <c r="J397" cm="1">
        <f t="array" ref="J397">_xlfn.IFS(D397= ""," ",D397&lt;&gt; " ",(H397-F397)*(G397/H397))</f>
        <v>1619.557402846676</v>
      </c>
      <c r="K397" cm="1">
        <f t="array" ref="K397">IF(ISNUMBER(H397),_xlfn.IFS(D397= ""," ",D397&lt;&gt; " ",F397*(G397/H397)),"")</f>
        <v>1905.4425971533237</v>
      </c>
    </row>
    <row r="398" spans="1:11" x14ac:dyDescent="0.35">
      <c r="A398" t="s">
        <v>12</v>
      </c>
      <c r="B398">
        <v>2009</v>
      </c>
      <c r="C398" t="s">
        <v>108</v>
      </c>
      <c r="D398" s="3" t="s">
        <v>165</v>
      </c>
      <c r="E398" t="str" cm="1">
        <f t="array" ref="E398">_xlfn.IFS(D398=policy_name_clustering!$A$2,policy_name_clustering!$C$2,D398=policy_name_clustering!$A$3,policy_name_clustering!$C$3,D398=policy_name_clustering!$A$5,policy_name_clustering!$C$5,D398=policy_name_clustering!$A$6,policy_name_clustering!$C$6,D398=policy_name_clustering!$A$7,policy_name_clustering!$C$7,D398=policy_name_clustering!$A$8,policy_name_clustering!$C$8,D398=policy_name_clustering!$A$9,policy_name_clustering!$C$9,D398=policy_name_clustering!$A$10,policy_name_clustering!$C$10,D398=policy_name_clustering!$A$11,policy_name_clustering!$C$11,D398=policy_name_clustering!$A$12,policy_name_clustering!$C$12,D398=policy_name_clustering!$A$13,policy_name_clustering!$C$13,D398=policy_name_clustering!$A$14,policy_name_clustering!$C$14,D398=policy_name_clustering!$A$15,policy_name_clustering!$C$15,D398=policy_name_clustering!$A$16,policy_name_clustering!$C$16,D398="-","",D398=policy_name_clustering!$A$4,policy_name_clustering!$C$4)</f>
        <v>Policy mix</v>
      </c>
      <c r="F398">
        <f>policy_contributions_cum!F133</f>
        <v>3078.2460684098201</v>
      </c>
      <c r="G398">
        <f>wind_cump_cap!C359</f>
        <v>4879</v>
      </c>
      <c r="H398">
        <f>estimated_capacity!C348</f>
        <v>4893.1451903789202</v>
      </c>
      <c r="I398" cm="1">
        <f t="array" ref="I398">_xlfn.IFS(D398= ""," ",D398&lt;&gt; " ",F398*(G398/H398))</f>
        <v>3069.347420408033</v>
      </c>
      <c r="J398" cm="1">
        <f t="array" ref="J398">_xlfn.IFS(D398= ""," ",D398&lt;&gt; " ",(H398-F398)*(G398/H398))</f>
        <v>1809.652579591967</v>
      </c>
      <c r="K398" cm="1">
        <f t="array" ref="K398">IF(ISNUMBER(H398),_xlfn.IFS(D398= ""," ",D398&lt;&gt; " ",F398*(G398/H398)),"")</f>
        <v>3069.347420408033</v>
      </c>
    </row>
    <row r="399" spans="1:11" x14ac:dyDescent="0.35">
      <c r="A399" t="s">
        <v>12</v>
      </c>
      <c r="B399">
        <v>2010</v>
      </c>
      <c r="C399" s="9" t="s">
        <v>110</v>
      </c>
      <c r="D399" s="3" t="s">
        <v>165</v>
      </c>
      <c r="E399" t="str" cm="1">
        <f t="array" ref="E399">_xlfn.IFS(D399=policy_name_clustering!$A$2,policy_name_clustering!$C$2,D399=policy_name_clustering!$A$3,policy_name_clustering!$C$3,D399=policy_name_clustering!$A$5,policy_name_clustering!$C$5,D399=policy_name_clustering!$A$6,policy_name_clustering!$C$6,D399=policy_name_clustering!$A$7,policy_name_clustering!$C$7,D399=policy_name_clustering!$A$8,policy_name_clustering!$C$8,D399=policy_name_clustering!$A$9,policy_name_clustering!$C$9,D399=policy_name_clustering!$A$10,policy_name_clustering!$C$10,D399=policy_name_clustering!$A$11,policy_name_clustering!$C$11,D399=policy_name_clustering!$A$12,policy_name_clustering!$C$12,D399=policy_name_clustering!$A$13,policy_name_clustering!$C$13,D399=policy_name_clustering!$A$14,policy_name_clustering!$C$14,D399=policy_name_clustering!$A$15,policy_name_clustering!$C$15,D399=policy_name_clustering!$A$16,policy_name_clustering!$C$16,D399="-","",D399=policy_name_clustering!$A$4,policy_name_clustering!$C$4)</f>
        <v>Policy mix</v>
      </c>
      <c r="F399">
        <f>policy_contributions_cum!F134</f>
        <v>4274.5113798625898</v>
      </c>
      <c r="G399">
        <f>wind_cump_cap!C360</f>
        <v>5794</v>
      </c>
      <c r="H399">
        <f>estimated_capacity!C349</f>
        <v>6167.4147951152299</v>
      </c>
      <c r="I399" cm="1">
        <f t="array" ref="I399">_xlfn.IFS(D399= ""," ",D399&lt;&gt; " ",F399*(G399/H399))</f>
        <v>4015.705081899087</v>
      </c>
      <c r="J399" cm="1">
        <f t="array" ref="J399">_xlfn.IFS(D399= ""," ",D399&lt;&gt; " ",(H399-F399)*(G399/H399))</f>
        <v>1778.294918100913</v>
      </c>
      <c r="K399" cm="1">
        <f t="array" ref="K399">IF(ISNUMBER(H399),_xlfn.IFS(D399= ""," ",D399&lt;&gt; " ",F399*(G399/H399)),"")</f>
        <v>4015.705081899087</v>
      </c>
    </row>
    <row r="400" spans="1:11" x14ac:dyDescent="0.35">
      <c r="A400" t="s">
        <v>12</v>
      </c>
      <c r="B400">
        <v>2011</v>
      </c>
      <c r="C400" t="s">
        <v>111</v>
      </c>
      <c r="D400" s="3" t="s">
        <v>165</v>
      </c>
      <c r="E400" t="str" cm="1">
        <f t="array" ref="E400">_xlfn.IFS(D400=policy_name_clustering!$A$2,policy_name_clustering!$C$2,D400=policy_name_clustering!$A$3,policy_name_clustering!$C$3,D400=policy_name_clustering!$A$5,policy_name_clustering!$C$5,D400=policy_name_clustering!$A$6,policy_name_clustering!$C$6,D400=policy_name_clustering!$A$7,policy_name_clustering!$C$7,D400=policy_name_clustering!$A$8,policy_name_clustering!$C$8,D400=policy_name_clustering!$A$9,policy_name_clustering!$C$9,D400=policy_name_clustering!$A$10,policy_name_clustering!$C$10,D400=policy_name_clustering!$A$11,policy_name_clustering!$C$11,D400=policy_name_clustering!$A$12,policy_name_clustering!$C$12,D400=policy_name_clustering!$A$13,policy_name_clustering!$C$13,D400=policy_name_clustering!$A$14,policy_name_clustering!$C$14,D400=policy_name_clustering!$A$15,policy_name_clustering!$C$15,D400=policy_name_clustering!$A$16,policy_name_clustering!$C$16,D400="-","",D400=policy_name_clustering!$A$4,policy_name_clustering!$C$4)</f>
        <v>Policy mix</v>
      </c>
      <c r="F400">
        <f>policy_contributions_cum!F135</f>
        <v>5439.5461016531199</v>
      </c>
      <c r="G400">
        <f>wind_cump_cap!C361</f>
        <v>6918</v>
      </c>
      <c r="H400">
        <f>estimated_capacity!C350</f>
        <v>7356.8702753965199</v>
      </c>
      <c r="I400" cm="1">
        <f t="array" ref="I400">_xlfn.IFS(D400= ""," ",D400&lt;&gt; " ",F400*(G400/H400))</f>
        <v>5115.0528040550589</v>
      </c>
      <c r="J400" cm="1">
        <f t="array" ref="J400">_xlfn.IFS(D400= ""," ",D400&lt;&gt; " ",(H400-F400)*(G400/H400))</f>
        <v>1802.9471959449411</v>
      </c>
      <c r="K400" cm="1">
        <f t="array" ref="K400">IF(ISNUMBER(H400),_xlfn.IFS(D400= ""," ",D400&lt;&gt; " ",F400*(G400/H400)),"")</f>
        <v>5115.0528040550589</v>
      </c>
    </row>
    <row r="401" spans="1:11" x14ac:dyDescent="0.35">
      <c r="A401" t="s">
        <v>12</v>
      </c>
      <c r="B401">
        <v>2012</v>
      </c>
      <c r="C401" s="9" t="s">
        <v>112</v>
      </c>
      <c r="D401" s="3" t="s">
        <v>165</v>
      </c>
      <c r="E401" t="str" cm="1">
        <f t="array" ref="E401">_xlfn.IFS(D401=policy_name_clustering!$A$2,policy_name_clustering!$C$2,D401=policy_name_clustering!$A$3,policy_name_clustering!$C$3,D401=policy_name_clustering!$A$5,policy_name_clustering!$C$5,D401=policy_name_clustering!$A$6,policy_name_clustering!$C$6,D401=policy_name_clustering!$A$7,policy_name_clustering!$C$7,D401=policy_name_clustering!$A$8,policy_name_clustering!$C$8,D401=policy_name_clustering!$A$9,policy_name_clustering!$C$9,D401=policy_name_clustering!$A$10,policy_name_clustering!$C$10,D401=policy_name_clustering!$A$11,policy_name_clustering!$C$11,D401=policy_name_clustering!$A$12,policy_name_clustering!$C$12,D401=policy_name_clustering!$A$13,policy_name_clustering!$C$13,D401=policy_name_clustering!$A$14,policy_name_clustering!$C$14,D401=policy_name_clustering!$A$15,policy_name_clustering!$C$15,D401=policy_name_clustering!$A$16,policy_name_clustering!$C$16,D401="-","",D401=policy_name_clustering!$A$4,policy_name_clustering!$C$4)</f>
        <v>Policy mix</v>
      </c>
      <c r="F401">
        <f>policy_contributions_cum!F136</f>
        <v>6678.5385709328903</v>
      </c>
      <c r="G401">
        <f>wind_cump_cap!C362</f>
        <v>8102</v>
      </c>
      <c r="H401">
        <f>estimated_capacity!C351</f>
        <v>8591.8155446717392</v>
      </c>
      <c r="I401" cm="1">
        <f t="array" ref="I401">_xlfn.IFS(D401= ""," ",D401&lt;&gt; " ",F401*(G401/H401))</f>
        <v>6297.7980870707343</v>
      </c>
      <c r="J401" cm="1">
        <f t="array" ref="J401">_xlfn.IFS(D401= ""," ",D401&lt;&gt; " ",(H401-F401)*(G401/H401))</f>
        <v>1804.2019129292657</v>
      </c>
      <c r="K401" cm="1">
        <f t="array" ref="K401">IF(ISNUMBER(H401),_xlfn.IFS(D401= ""," ",D401&lt;&gt; " ",F401*(G401/H401)),"")</f>
        <v>6297.7980870707343</v>
      </c>
    </row>
    <row r="402" spans="1:11" x14ac:dyDescent="0.35">
      <c r="A402" t="s">
        <v>12</v>
      </c>
      <c r="B402">
        <v>2013</v>
      </c>
      <c r="C402" s="9" t="s">
        <v>113</v>
      </c>
      <c r="D402" s="3" t="s">
        <v>165</v>
      </c>
      <c r="E402" t="str" cm="1">
        <f t="array" ref="E402">_xlfn.IFS(D402=policy_name_clustering!$A$2,policy_name_clustering!$C$2,D402=policy_name_clustering!$A$3,policy_name_clustering!$C$3,D402=policy_name_clustering!$A$5,policy_name_clustering!$C$5,D402=policy_name_clustering!$A$6,policy_name_clustering!$C$6,D402=policy_name_clustering!$A$7,policy_name_clustering!$C$7,D402=policy_name_clustering!$A$8,policy_name_clustering!$C$8,D402=policy_name_clustering!$A$9,policy_name_clustering!$C$9,D402=policy_name_clustering!$A$10,policy_name_clustering!$C$10,D402=policy_name_clustering!$A$11,policy_name_clustering!$C$11,D402=policy_name_clustering!$A$12,policy_name_clustering!$C$12,D402=policy_name_clustering!$A$13,policy_name_clustering!$C$13,D402=policy_name_clustering!$A$14,policy_name_clustering!$C$14,D402=policy_name_clustering!$A$15,policy_name_clustering!$C$15,D402=policy_name_clustering!$A$16,policy_name_clustering!$C$16,D402="-","",D402=policy_name_clustering!$A$4,policy_name_clustering!$C$4)</f>
        <v>Policy mix</v>
      </c>
      <c r="F402">
        <f>policy_contributions_cum!F137</f>
        <v>7066.0290791159196</v>
      </c>
      <c r="G402">
        <f>wind_cump_cap!C363</f>
        <v>8542</v>
      </c>
      <c r="H402">
        <f>estimated_capacity!C352</f>
        <v>8900.1572905981702</v>
      </c>
      <c r="I402" cm="1">
        <f t="array" ref="I402">_xlfn.IFS(D402= ""," ",D402&lt;&gt; " ",F402*(G402/H402))</f>
        <v>6781.6801909297028</v>
      </c>
      <c r="J402" cm="1">
        <f t="array" ref="J402">_xlfn.IFS(D402= ""," ",D402&lt;&gt; " ",(H402-F402)*(G402/H402))</f>
        <v>1760.3198090702972</v>
      </c>
      <c r="K402" cm="1">
        <f t="array" ref="K402">IF(ISNUMBER(H402),_xlfn.IFS(D402= ""," ",D402&lt;&gt; " ",F402*(G402/H402)),"")</f>
        <v>6781.6801909297028</v>
      </c>
    </row>
    <row r="403" spans="1:11" x14ac:dyDescent="0.35">
      <c r="A403" t="s">
        <v>12</v>
      </c>
      <c r="B403">
        <v>2014</v>
      </c>
      <c r="D403" s="3" t="s">
        <v>165</v>
      </c>
      <c r="E403" t="str" cm="1">
        <f t="array" ref="E403">_xlfn.IFS(D403=policy_name_clustering!$A$2,policy_name_clustering!$C$2,D403=policy_name_clustering!$A$3,policy_name_clustering!$C$3,D403=policy_name_clustering!$A$5,policy_name_clustering!$C$5,D403=policy_name_clustering!$A$6,policy_name_clustering!$C$6,D403=policy_name_clustering!$A$7,policy_name_clustering!$C$7,D403=policy_name_clustering!$A$8,policy_name_clustering!$C$8,D403=policy_name_clustering!$A$9,policy_name_clustering!$C$9,D403=policy_name_clustering!$A$10,policy_name_clustering!$C$10,D403=policy_name_clustering!$A$11,policy_name_clustering!$C$11,D403=policy_name_clustering!$A$12,policy_name_clustering!$C$12,D403=policy_name_clustering!$A$13,policy_name_clustering!$C$13,D403=policy_name_clustering!$A$14,policy_name_clustering!$C$14,D403=policy_name_clustering!$A$15,policy_name_clustering!$C$15,D403=policy_name_clustering!$A$16,policy_name_clustering!$C$16,D403="-","",D403=policy_name_clustering!$A$4,policy_name_clustering!$C$4)</f>
        <v>Policy mix</v>
      </c>
      <c r="F403">
        <f>policy_contributions_cum!F138</f>
        <v>7482.5759457949798</v>
      </c>
      <c r="G403">
        <f>wind_cump_cap!C364</f>
        <v>8683</v>
      </c>
      <c r="H403">
        <f>estimated_capacity!C353</f>
        <v>9232.9111205498393</v>
      </c>
      <c r="I403" cm="1">
        <f t="array" ref="I403">_xlfn.IFS(D403= ""," ",D403&lt;&gt; " ",F403*(G403/H403))</f>
        <v>7036.9145862056821</v>
      </c>
      <c r="J403" cm="1">
        <f t="array" ref="J403">_xlfn.IFS(D403= ""," ",D403&lt;&gt; " ",(H403-F403)*(G403/H403))</f>
        <v>1646.0854137943184</v>
      </c>
      <c r="K403" cm="1">
        <f t="array" ref="K403">IF(ISNUMBER(H403),_xlfn.IFS(D403= ""," ",D403&lt;&gt; " ",F403*(G403/H403)),"")</f>
        <v>7036.9145862056821</v>
      </c>
    </row>
    <row r="404" spans="1:11" x14ac:dyDescent="0.35">
      <c r="A404" t="s">
        <v>12</v>
      </c>
      <c r="B404">
        <v>2015</v>
      </c>
      <c r="D404" s="3" t="s">
        <v>165</v>
      </c>
      <c r="E404" t="str" cm="1">
        <f t="array" ref="E404">_xlfn.IFS(D404=policy_name_clustering!$A$2,policy_name_clustering!$C$2,D404=policy_name_clustering!$A$3,policy_name_clustering!$C$3,D404=policy_name_clustering!$A$5,policy_name_clustering!$C$5,D404=policy_name_clustering!$A$6,policy_name_clustering!$C$6,D404=policy_name_clustering!$A$7,policy_name_clustering!$C$7,D404=policy_name_clustering!$A$8,policy_name_clustering!$C$8,D404=policy_name_clustering!$A$9,policy_name_clustering!$C$9,D404=policy_name_clustering!$A$10,policy_name_clustering!$C$10,D404=policy_name_clustering!$A$11,policy_name_clustering!$C$11,D404=policy_name_clustering!$A$12,policy_name_clustering!$C$12,D404=policy_name_clustering!$A$13,policy_name_clustering!$C$13,D404=policy_name_clustering!$A$14,policy_name_clustering!$C$14,D404=policy_name_clustering!$A$15,policy_name_clustering!$C$15,D404=policy_name_clustering!$A$16,policy_name_clustering!$C$16,D404="-","",D404=policy_name_clustering!$A$4,policy_name_clustering!$C$4)</f>
        <v>Policy mix</v>
      </c>
      <c r="F404">
        <f>policy_contributions_cum!F139</f>
        <v>7965.3199881177297</v>
      </c>
      <c r="G404">
        <f>wind_cump_cap!C365</f>
        <v>9137</v>
      </c>
      <c r="H404">
        <f>estimated_capacity!C354</f>
        <v>9629.3349310972008</v>
      </c>
      <c r="I404" cm="1">
        <f t="array" ref="I404">_xlfn.IFS(D404= ""," ",D404&lt;&gt; " ",F404*(G404/H404))</f>
        <v>7558.0639007993232</v>
      </c>
      <c r="J404" cm="1">
        <f t="array" ref="J404">_xlfn.IFS(D404= ""," ",D404&lt;&gt; " ",(H404-F404)*(G404/H404))</f>
        <v>1578.9360992006762</v>
      </c>
      <c r="K404" cm="1">
        <f t="array" ref="K404">IF(ISNUMBER(H404),_xlfn.IFS(D404= ""," ",D404&lt;&gt; " ",F404*(G404/H404)),"")</f>
        <v>7558.0639007993232</v>
      </c>
    </row>
    <row r="405" spans="1:11" x14ac:dyDescent="0.35">
      <c r="A405" t="s">
        <v>12</v>
      </c>
      <c r="B405">
        <v>2016</v>
      </c>
      <c r="C405" s="3"/>
      <c r="D405" s="12" t="s">
        <v>165</v>
      </c>
      <c r="E405" t="str" cm="1">
        <f t="array" ref="E405">_xlfn.IFS(D405=policy_name_clustering!$A$2,policy_name_clustering!$C$2,D405=policy_name_clustering!$A$3,policy_name_clustering!$C$3,D405=policy_name_clustering!$A$5,policy_name_clustering!$C$5,D405=policy_name_clustering!$A$6,policy_name_clustering!$C$6,D405=policy_name_clustering!$A$7,policy_name_clustering!$C$7,D405=policy_name_clustering!$A$8,policy_name_clustering!$C$8,D405=policy_name_clustering!$A$9,policy_name_clustering!$C$9,D405=policy_name_clustering!$A$10,policy_name_clustering!$C$10,D405=policy_name_clustering!$A$11,policy_name_clustering!$C$11,D405=policy_name_clustering!$A$12,policy_name_clustering!$C$12,D405=policy_name_clustering!$A$13,policy_name_clustering!$C$13,D405=policy_name_clustering!$A$14,policy_name_clustering!$C$14,D405=policy_name_clustering!$A$15,policy_name_clustering!$C$15,D405=policy_name_clustering!$A$16,policy_name_clustering!$C$16,D405="-","",D405=policy_name_clustering!$A$4,policy_name_clustering!$C$4)</f>
        <v>Policy mix</v>
      </c>
      <c r="I405">
        <f>I404</f>
        <v>7558.0639007993232</v>
      </c>
      <c r="K405" t="str" cm="1">
        <f t="array" ref="K405">IF(ISNUMBER(H405),_xlfn.IFS(D405= ""," ",D405&lt;&gt; " ",F405*(G405/H405)),"")</f>
        <v/>
      </c>
    </row>
    <row r="406" spans="1:11" x14ac:dyDescent="0.35">
      <c r="A406" t="s">
        <v>12</v>
      </c>
      <c r="B406">
        <v>2017</v>
      </c>
      <c r="D406" s="12" t="s">
        <v>165</v>
      </c>
      <c r="E406" t="str" cm="1">
        <f t="array" ref="E406">_xlfn.IFS(D406=policy_name_clustering!$A$2,policy_name_clustering!$C$2,D406=policy_name_clustering!$A$3,policy_name_clustering!$C$3,D406=policy_name_clustering!$A$5,policy_name_clustering!$C$5,D406=policy_name_clustering!$A$6,policy_name_clustering!$C$6,D406=policy_name_clustering!$A$7,policy_name_clustering!$C$7,D406=policy_name_clustering!$A$8,policy_name_clustering!$C$8,D406=policy_name_clustering!$A$9,policy_name_clustering!$C$9,D406=policy_name_clustering!$A$10,policy_name_clustering!$C$10,D406=policy_name_clustering!$A$11,policy_name_clustering!$C$11,D406=policy_name_clustering!$A$12,policy_name_clustering!$C$12,D406=policy_name_clustering!$A$13,policy_name_clustering!$C$13,D406=policy_name_clustering!$A$14,policy_name_clustering!$C$14,D406=policy_name_clustering!$A$15,policy_name_clustering!$C$15,D406=policy_name_clustering!$A$16,policy_name_clustering!$C$16,D406="-","",D406=policy_name_clustering!$A$4,policy_name_clustering!$C$4)</f>
        <v>Policy mix</v>
      </c>
      <c r="I406">
        <f t="shared" ref="I406:I412" si="7">I405</f>
        <v>7558.0639007993232</v>
      </c>
      <c r="K406" t="str" cm="1">
        <f t="array" ref="K406">IF(ISNUMBER(H406),_xlfn.IFS(D406= ""," ",D406&lt;&gt; " ",F406*(G406/H406)),"")</f>
        <v/>
      </c>
    </row>
    <row r="407" spans="1:11" x14ac:dyDescent="0.35">
      <c r="A407" t="s">
        <v>12</v>
      </c>
      <c r="B407">
        <v>2018</v>
      </c>
      <c r="D407" s="12" t="s">
        <v>165</v>
      </c>
      <c r="E407" t="str" cm="1">
        <f t="array" ref="E407">_xlfn.IFS(D407=policy_name_clustering!$A$2,policy_name_clustering!$C$2,D407=policy_name_clustering!$A$3,policy_name_clustering!$C$3,D407=policy_name_clustering!$A$5,policy_name_clustering!$C$5,D407=policy_name_clustering!$A$6,policy_name_clustering!$C$6,D407=policy_name_clustering!$A$7,policy_name_clustering!$C$7,D407=policy_name_clustering!$A$8,policy_name_clustering!$C$8,D407=policy_name_clustering!$A$9,policy_name_clustering!$C$9,D407=policy_name_clustering!$A$10,policy_name_clustering!$C$10,D407=policy_name_clustering!$A$11,policy_name_clustering!$C$11,D407=policy_name_clustering!$A$12,policy_name_clustering!$C$12,D407=policy_name_clustering!$A$13,policy_name_clustering!$C$13,D407=policy_name_clustering!$A$14,policy_name_clustering!$C$14,D407=policy_name_clustering!$A$15,policy_name_clustering!$C$15,D407=policy_name_clustering!$A$16,policy_name_clustering!$C$16,D407="-","",D407=policy_name_clustering!$A$4,policy_name_clustering!$C$4)</f>
        <v>Policy mix</v>
      </c>
      <c r="I407">
        <f t="shared" si="7"/>
        <v>7558.0639007993232</v>
      </c>
      <c r="K407" t="str" cm="1">
        <f t="array" ref="K407">IF(ISNUMBER(H407),_xlfn.IFS(D407= ""," ",D407&lt;&gt; " ",F407*(G407/H407)),"")</f>
        <v/>
      </c>
    </row>
    <row r="408" spans="1:11" x14ac:dyDescent="0.35">
      <c r="A408" t="s">
        <v>12</v>
      </c>
      <c r="B408">
        <v>2019</v>
      </c>
      <c r="D408" s="12" t="s">
        <v>165</v>
      </c>
      <c r="E408" t="str" cm="1">
        <f t="array" ref="E408">_xlfn.IFS(D408=policy_name_clustering!$A$2,policy_name_clustering!$C$2,D408=policy_name_clustering!$A$3,policy_name_clustering!$C$3,D408=policy_name_clustering!$A$5,policy_name_clustering!$C$5,D408=policy_name_clustering!$A$6,policy_name_clustering!$C$6,D408=policy_name_clustering!$A$7,policy_name_clustering!$C$7,D408=policy_name_clustering!$A$8,policy_name_clustering!$C$8,D408=policy_name_clustering!$A$9,policy_name_clustering!$C$9,D408=policy_name_clustering!$A$10,policy_name_clustering!$C$10,D408=policy_name_clustering!$A$11,policy_name_clustering!$C$11,D408=policy_name_clustering!$A$12,policy_name_clustering!$C$12,D408=policy_name_clustering!$A$13,policy_name_clustering!$C$13,D408=policy_name_clustering!$A$14,policy_name_clustering!$C$14,D408=policy_name_clustering!$A$15,policy_name_clustering!$C$15,D408=policy_name_clustering!$A$16,policy_name_clustering!$C$16,D408="-","",D408=policy_name_clustering!$A$4,policy_name_clustering!$C$4)</f>
        <v>Policy mix</v>
      </c>
      <c r="I408">
        <f t="shared" si="7"/>
        <v>7558.0639007993232</v>
      </c>
      <c r="K408" t="str" cm="1">
        <f t="array" ref="K408">IF(ISNUMBER(H408),_xlfn.IFS(D408= ""," ",D408&lt;&gt; " ",F408*(G408/H408)),"")</f>
        <v/>
      </c>
    </row>
    <row r="409" spans="1:11" x14ac:dyDescent="0.35">
      <c r="A409" t="s">
        <v>12</v>
      </c>
      <c r="B409">
        <v>2020</v>
      </c>
      <c r="D409" s="12" t="s">
        <v>165</v>
      </c>
      <c r="E409" t="str" cm="1">
        <f t="array" ref="E409">_xlfn.IFS(D409=policy_name_clustering!$A$2,policy_name_clustering!$C$2,D409=policy_name_clustering!$A$3,policy_name_clustering!$C$3,D409=policy_name_clustering!$A$5,policy_name_clustering!$C$5,D409=policy_name_clustering!$A$6,policy_name_clustering!$C$6,D409=policy_name_clustering!$A$7,policy_name_clustering!$C$7,D409=policy_name_clustering!$A$8,policy_name_clustering!$C$8,D409=policy_name_clustering!$A$9,policy_name_clustering!$C$9,D409=policy_name_clustering!$A$10,policy_name_clustering!$C$10,D409=policy_name_clustering!$A$11,policy_name_clustering!$C$11,D409=policy_name_clustering!$A$12,policy_name_clustering!$C$12,D409=policy_name_clustering!$A$13,policy_name_clustering!$C$13,D409=policy_name_clustering!$A$14,policy_name_clustering!$C$14,D409=policy_name_clustering!$A$15,policy_name_clustering!$C$15,D409=policy_name_clustering!$A$16,policy_name_clustering!$C$16,D409="-","",D409=policy_name_clustering!$A$4,policy_name_clustering!$C$4)</f>
        <v>Policy mix</v>
      </c>
      <c r="I409">
        <f t="shared" si="7"/>
        <v>7558.0639007993232</v>
      </c>
      <c r="K409" t="str" cm="1">
        <f t="array" ref="K409">IF(ISNUMBER(H409),_xlfn.IFS(D409= ""," ",D409&lt;&gt; " ",F409*(G409/H409)),"")</f>
        <v/>
      </c>
    </row>
    <row r="410" spans="1:11" x14ac:dyDescent="0.35">
      <c r="A410" t="s">
        <v>12</v>
      </c>
      <c r="B410">
        <v>2021</v>
      </c>
      <c r="D410" s="12" t="s">
        <v>165</v>
      </c>
      <c r="E410" t="str" cm="1">
        <f t="array" ref="E410">_xlfn.IFS(D410=policy_name_clustering!$A$2,policy_name_clustering!$C$2,D410=policy_name_clustering!$A$3,policy_name_clustering!$C$3,D410=policy_name_clustering!$A$5,policy_name_clustering!$C$5,D410=policy_name_clustering!$A$6,policy_name_clustering!$C$6,D410=policy_name_clustering!$A$7,policy_name_clustering!$C$7,D410=policy_name_clustering!$A$8,policy_name_clustering!$C$8,D410=policy_name_clustering!$A$9,policy_name_clustering!$C$9,D410=policy_name_clustering!$A$10,policy_name_clustering!$C$10,D410=policy_name_clustering!$A$11,policy_name_clustering!$C$11,D410=policy_name_clustering!$A$12,policy_name_clustering!$C$12,D410=policy_name_clustering!$A$13,policy_name_clustering!$C$13,D410=policy_name_clustering!$A$14,policy_name_clustering!$C$14,D410=policy_name_clustering!$A$15,policy_name_clustering!$C$15,D410=policy_name_clustering!$A$16,policy_name_clustering!$C$16,D410="-","",D410=policy_name_clustering!$A$4,policy_name_clustering!$C$4)</f>
        <v>Policy mix</v>
      </c>
      <c r="I410">
        <f t="shared" si="7"/>
        <v>7558.0639007993232</v>
      </c>
      <c r="K410" t="str" cm="1">
        <f t="array" ref="K410">IF(ISNUMBER(H410),_xlfn.IFS(D410= ""," ",D410&lt;&gt; " ",F410*(G410/H410)),"")</f>
        <v/>
      </c>
    </row>
    <row r="411" spans="1:11" x14ac:dyDescent="0.35">
      <c r="A411" t="s">
        <v>12</v>
      </c>
      <c r="B411">
        <v>2022</v>
      </c>
      <c r="D411" s="12" t="s">
        <v>165</v>
      </c>
      <c r="E411" t="str" cm="1">
        <f t="array" ref="E411">_xlfn.IFS(D411=policy_name_clustering!$A$2,policy_name_clustering!$C$2,D411=policy_name_clustering!$A$3,policy_name_clustering!$C$3,D411=policy_name_clustering!$A$5,policy_name_clustering!$C$5,D411=policy_name_clustering!$A$6,policy_name_clustering!$C$6,D411=policy_name_clustering!$A$7,policy_name_clustering!$C$7,D411=policy_name_clustering!$A$8,policy_name_clustering!$C$8,D411=policy_name_clustering!$A$9,policy_name_clustering!$C$9,D411=policy_name_clustering!$A$10,policy_name_clustering!$C$10,D411=policy_name_clustering!$A$11,policy_name_clustering!$C$11,D411=policy_name_clustering!$A$12,policy_name_clustering!$C$12,D411=policy_name_clustering!$A$13,policy_name_clustering!$C$13,D411=policy_name_clustering!$A$14,policy_name_clustering!$C$14,D411=policy_name_clustering!$A$15,policy_name_clustering!$C$15,D411=policy_name_clustering!$A$16,policy_name_clustering!$C$16,D411="-","",D411=policy_name_clustering!$A$4,policy_name_clustering!$C$4)</f>
        <v>Policy mix</v>
      </c>
      <c r="I411">
        <f t="shared" si="7"/>
        <v>7558.0639007993232</v>
      </c>
      <c r="K411" t="str" cm="1">
        <f t="array" ref="K411">IF(ISNUMBER(H411),_xlfn.IFS(D411= ""," ",D411&lt;&gt; " ",F411*(G411/H411)),"")</f>
        <v/>
      </c>
    </row>
    <row r="412" spans="1:11" x14ac:dyDescent="0.35">
      <c r="A412" t="s">
        <v>12</v>
      </c>
      <c r="B412">
        <v>2023</v>
      </c>
      <c r="D412" s="12" t="s">
        <v>165</v>
      </c>
      <c r="E412" t="str" cm="1">
        <f t="array" ref="E412">_xlfn.IFS(D412=policy_name_clustering!$A$2,policy_name_clustering!$C$2,D412=policy_name_clustering!$A$3,policy_name_clustering!$C$3,D412=policy_name_clustering!$A$5,policy_name_clustering!$C$5,D412=policy_name_clustering!$A$6,policy_name_clustering!$C$6,D412=policy_name_clustering!$A$7,policy_name_clustering!$C$7,D412=policy_name_clustering!$A$8,policy_name_clustering!$C$8,D412=policy_name_clustering!$A$9,policy_name_clustering!$C$9,D412=policy_name_clustering!$A$10,policy_name_clustering!$C$10,D412=policy_name_clustering!$A$11,policy_name_clustering!$C$11,D412=policy_name_clustering!$A$12,policy_name_clustering!$C$12,D412=policy_name_clustering!$A$13,policy_name_clustering!$C$13,D412=policy_name_clustering!$A$14,policy_name_clustering!$C$14,D412=policy_name_clustering!$A$15,policy_name_clustering!$C$15,D412=policy_name_clustering!$A$16,policy_name_clustering!$C$16,D412="-","",D412=policy_name_clustering!$A$4,policy_name_clustering!$C$4)</f>
        <v>Policy mix</v>
      </c>
      <c r="I412">
        <f t="shared" si="7"/>
        <v>7558.0639007993232</v>
      </c>
      <c r="K412" t="str" cm="1">
        <f t="array" ref="K412">IF(ISNUMBER(H412),_xlfn.IFS(D412= ""," ",D412&lt;&gt; " ",F412*(G412/H412)),"")</f>
        <v/>
      </c>
    </row>
    <row r="413" spans="1:11" ht="43.5" x14ac:dyDescent="0.35">
      <c r="A413" t="s">
        <v>12</v>
      </c>
      <c r="B413">
        <v>2016</v>
      </c>
      <c r="C413" s="3" t="s">
        <v>114</v>
      </c>
      <c r="D413" s="9" t="s">
        <v>160</v>
      </c>
      <c r="E413" t="str" cm="1">
        <f t="array" ref="E413">_xlfn.IFS(D413=policy_name_clustering!$A$2,policy_name_clustering!$C$2,D413=policy_name_clustering!$A$3,policy_name_clustering!$C$3,D413=policy_name_clustering!$A$5,policy_name_clustering!$C$5,D413=policy_name_clustering!$A$6,policy_name_clustering!$C$6,D413=policy_name_clustering!$A$7,policy_name_clustering!$C$7,D413=policy_name_clustering!$A$8,policy_name_clustering!$C$8,D413=policy_name_clustering!$A$9,policy_name_clustering!$C$9,D413=policy_name_clustering!$A$10,policy_name_clustering!$C$10,D413=policy_name_clustering!$A$11,policy_name_clustering!$C$11,D413=policy_name_clustering!$A$12,policy_name_clustering!$C$12,D413=policy_name_clustering!$A$13,policy_name_clustering!$C$13,D413=policy_name_clustering!$A$14,policy_name_clustering!$C$14,D413=policy_name_clustering!$A$15,policy_name_clustering!$C$15,D413=policy_name_clustering!$A$16,policy_name_clustering!$C$16,D413="-","",D413=policy_name_clustering!$A$4,policy_name_clustering!$C$4)</f>
        <v>Tax-based</v>
      </c>
      <c r="F413">
        <f>policy_contributions_cum!F140</f>
        <v>8438.9043717008608</v>
      </c>
      <c r="G413">
        <f>wind_cump_cap!C366</f>
        <v>9384</v>
      </c>
      <c r="H413">
        <f>estimated_capacity!C355</f>
        <v>10012.467924288399</v>
      </c>
      <c r="I413" cm="1">
        <f t="array" ref="I413">_xlfn.IFS(D413= ""," ",D413&lt;&gt; " ",F413*(G413/H413)-$I$404)</f>
        <v>351.14282254396949</v>
      </c>
      <c r="J413" cm="1">
        <f t="array" ref="J413">_xlfn.IFS(D413= ""," ",D413&lt;&gt; " ",(H413-F413)*(G413/H413))</f>
        <v>1474.7932766567067</v>
      </c>
      <c r="K413" cm="1">
        <f t="array" ref="K413">IF(ISNUMBER(H413),_xlfn.IFS(D413= ""," ",D413&lt;&gt; " ",F413*(G413/H413)),"")</f>
        <v>7909.2067233432927</v>
      </c>
    </row>
    <row r="414" spans="1:11" x14ac:dyDescent="0.35">
      <c r="A414" t="s">
        <v>12</v>
      </c>
      <c r="B414">
        <v>2017</v>
      </c>
      <c r="D414" s="9" t="s">
        <v>160</v>
      </c>
      <c r="E414" t="str" cm="1">
        <f t="array" ref="E414">_xlfn.IFS(D414=policy_name_clustering!$A$2,policy_name_clustering!$C$2,D414=policy_name_clustering!$A$3,policy_name_clustering!$C$3,D414=policy_name_clustering!$A$5,policy_name_clustering!$C$5,D414=policy_name_clustering!$A$6,policy_name_clustering!$C$6,D414=policy_name_clustering!$A$7,policy_name_clustering!$C$7,D414=policy_name_clustering!$A$8,policy_name_clustering!$C$8,D414=policy_name_clustering!$A$9,policy_name_clustering!$C$9,D414=policy_name_clustering!$A$10,policy_name_clustering!$C$10,D414=policy_name_clustering!$A$11,policy_name_clustering!$C$11,D414=policy_name_clustering!$A$12,policy_name_clustering!$C$12,D414=policy_name_clustering!$A$13,policy_name_clustering!$C$13,D414=policy_name_clustering!$A$14,policy_name_clustering!$C$14,D414=policy_name_clustering!$A$15,policy_name_clustering!$C$15,D414=policy_name_clustering!$A$16,policy_name_clustering!$C$16,D414="-","",D414=policy_name_clustering!$A$4,policy_name_clustering!$C$4)</f>
        <v>Tax-based</v>
      </c>
      <c r="F414">
        <f>policy_contributions_cum!F141</f>
        <v>8882.9816041746399</v>
      </c>
      <c r="G414">
        <f>wind_cump_cap!C367</f>
        <v>9736.5779999999995</v>
      </c>
      <c r="H414">
        <f>estimated_capacity!C356</f>
        <v>10362.74893593</v>
      </c>
      <c r="I414" cm="1">
        <f t="array" ref="I414">_xlfn.IFS(D414= ""," ",D414&lt;&gt; " ",F414*(G414/H414)-$I$404)</f>
        <v>788.16196999559725</v>
      </c>
      <c r="J414" cm="1">
        <f t="array" ref="J414">_xlfn.IFS(D414= ""," ",D414&lt;&gt; " ",(H414-F414)*(G414/H414))</f>
        <v>1390.3521292050787</v>
      </c>
      <c r="K414" cm="1">
        <f t="array" ref="K414">IF(ISNUMBER(H414),_xlfn.IFS(D414= ""," ",D414&lt;&gt; " ",F414*(G414/H414)),"")</f>
        <v>8346.2258707949204</v>
      </c>
    </row>
    <row r="415" spans="1:11" x14ac:dyDescent="0.35">
      <c r="A415" t="s">
        <v>12</v>
      </c>
      <c r="B415">
        <v>2018</v>
      </c>
      <c r="D415" s="9" t="s">
        <v>160</v>
      </c>
      <c r="E415" t="str" cm="1">
        <f t="array" ref="E415">_xlfn.IFS(D415=policy_name_clustering!$A$2,policy_name_clustering!$C$2,D415=policy_name_clustering!$A$3,policy_name_clustering!$C$3,D415=policy_name_clustering!$A$5,policy_name_clustering!$C$5,D415=policy_name_clustering!$A$6,policy_name_clustering!$C$6,D415=policy_name_clustering!$A$7,policy_name_clustering!$C$7,D415=policy_name_clustering!$A$8,policy_name_clustering!$C$8,D415=policy_name_clustering!$A$9,policy_name_clustering!$C$9,D415=policy_name_clustering!$A$10,policy_name_clustering!$C$10,D415=policy_name_clustering!$A$11,policy_name_clustering!$C$11,D415=policy_name_clustering!$A$12,policy_name_clustering!$C$12,D415=policy_name_clustering!$A$13,policy_name_clustering!$C$13,D415=policy_name_clustering!$A$14,policy_name_clustering!$C$14,D415=policy_name_clustering!$A$15,policy_name_clustering!$C$15,D415=policy_name_clustering!$A$16,policy_name_clustering!$C$16,D415="-","",D415=policy_name_clustering!$A$4,policy_name_clustering!$C$4)</f>
        <v>Tax-based</v>
      </c>
      <c r="F415">
        <f>policy_contributions_cum!F142</f>
        <v>9330.5904388524395</v>
      </c>
      <c r="G415">
        <f>wind_cump_cap!C368</f>
        <v>10230.245999999999</v>
      </c>
      <c r="H415">
        <f>estimated_capacity!C357</f>
        <v>10714.640796289799</v>
      </c>
      <c r="I415" cm="1">
        <f t="array" ref="I415">_xlfn.IFS(D415= ""," ",D415&lt;&gt; " ",F415*(G415/H415)-$I$404)</f>
        <v>1350.7028352504494</v>
      </c>
      <c r="J415" cm="1">
        <f t="array" ref="J415">_xlfn.IFS(D415= ""," ",D415&lt;&gt; " ",(H415-F415)*(G415/H415))</f>
        <v>1321.4792639502271</v>
      </c>
      <c r="K415" cm="1">
        <f t="array" ref="K415">IF(ISNUMBER(H415),_xlfn.IFS(D415= ""," ",D415&lt;&gt; " ",F415*(G415/H415)),"")</f>
        <v>8908.7667360497726</v>
      </c>
    </row>
    <row r="416" spans="1:11" x14ac:dyDescent="0.35">
      <c r="A416" t="s">
        <v>12</v>
      </c>
      <c r="B416">
        <v>2019</v>
      </c>
      <c r="D416" s="9" t="s">
        <v>160</v>
      </c>
      <c r="E416" t="str" cm="1">
        <f t="array" ref="E416">_xlfn.IFS(D416=policy_name_clustering!$A$2,policy_name_clustering!$C$2,D416=policy_name_clustering!$A$3,policy_name_clustering!$C$3,D416=policy_name_clustering!$A$5,policy_name_clustering!$C$5,D416=policy_name_clustering!$A$6,policy_name_clustering!$C$6,D416=policy_name_clustering!$A$7,policy_name_clustering!$C$7,D416=policy_name_clustering!$A$8,policy_name_clustering!$C$8,D416=policy_name_clustering!$A$9,policy_name_clustering!$C$9,D416=policy_name_clustering!$A$10,policy_name_clustering!$C$10,D416=policy_name_clustering!$A$11,policy_name_clustering!$C$11,D416=policy_name_clustering!$A$12,policy_name_clustering!$C$12,D416=policy_name_clustering!$A$13,policy_name_clustering!$C$13,D416=policy_name_clustering!$A$14,policy_name_clustering!$C$14,D416=policy_name_clustering!$A$15,policy_name_clustering!$C$15,D416=policy_name_clustering!$A$16,policy_name_clustering!$C$16,D416="-","",D416=policy_name_clustering!$A$4,policy_name_clustering!$C$4)</f>
        <v>Tax-based</v>
      </c>
      <c r="F416">
        <f>policy_contributions_cum!F143</f>
        <v>9805.5738882452606</v>
      </c>
      <c r="G416">
        <f>wind_cump_cap!C369</f>
        <v>10679.46</v>
      </c>
      <c r="H416">
        <f>estimated_capacity!C358</f>
        <v>11092.6998158484</v>
      </c>
      <c r="I416" cm="1">
        <f t="array" ref="I416">_xlfn.IFS(D416= ""," ",D416&lt;&gt; " ",F416*(G416/H416)-$I$404)</f>
        <v>1882.2198763697234</v>
      </c>
      <c r="J416" cm="1">
        <f t="array" ref="J416">_xlfn.IFS(D416= ""," ",D416&lt;&gt; " ",(H416-F416)*(G416/H416))</f>
        <v>1239.1762228309526</v>
      </c>
      <c r="K416" cm="1">
        <f t="array" ref="K416">IF(ISNUMBER(H416),_xlfn.IFS(D416= ""," ",D416&lt;&gt; " ",F416*(G416/H416)),"")</f>
        <v>9440.2837771690465</v>
      </c>
    </row>
    <row r="417" spans="1:11" x14ac:dyDescent="0.35">
      <c r="A417" t="s">
        <v>12</v>
      </c>
      <c r="B417">
        <v>2020</v>
      </c>
      <c r="D417" s="9" t="s">
        <v>160</v>
      </c>
      <c r="E417" t="str" cm="1">
        <f t="array" ref="E417">_xlfn.IFS(D417=policy_name_clustering!$A$2,policy_name_clustering!$C$2,D417=policy_name_clustering!$A$3,policy_name_clustering!$C$3,D417=policy_name_clustering!$A$5,policy_name_clustering!$C$5,D417=policy_name_clustering!$A$6,policy_name_clustering!$C$6,D417=policy_name_clustering!$A$7,policy_name_clustering!$C$7,D417=policy_name_clustering!$A$8,policy_name_clustering!$C$8,D417=policy_name_clustering!$A$9,policy_name_clustering!$C$9,D417=policy_name_clustering!$A$10,policy_name_clustering!$C$10,D417=policy_name_clustering!$A$11,policy_name_clustering!$C$11,D417=policy_name_clustering!$A$12,policy_name_clustering!$C$12,D417=policy_name_clustering!$A$13,policy_name_clustering!$C$13,D417=policy_name_clustering!$A$14,policy_name_clustering!$C$14,D417=policy_name_clustering!$A$15,policy_name_clustering!$C$15,D417=policy_name_clustering!$A$16,policy_name_clustering!$C$16,D417="-","",D417=policy_name_clustering!$A$4,policy_name_clustering!$C$4)</f>
        <v>Tax-based</v>
      </c>
      <c r="F417">
        <f>policy_contributions_cum!F144</f>
        <v>10351.950465751301</v>
      </c>
      <c r="G417">
        <f>wind_cump_cap!C370</f>
        <v>10870.621999999999</v>
      </c>
      <c r="H417">
        <f>estimated_capacity!C359</f>
        <v>11541.5034770682</v>
      </c>
      <c r="I417" cm="1">
        <f t="array" ref="I417">_xlfn.IFS(D417= ""," ",D417&lt;&gt; " ",F417*(G417/H417)-$I$404)</f>
        <v>2192.1511123050186</v>
      </c>
      <c r="J417" cm="1">
        <f t="array" ref="J417">_xlfn.IFS(D417= ""," ",D417&lt;&gt; " ",(H417-F417)*(G417/H417))</f>
        <v>1120.4069868956569</v>
      </c>
      <c r="K417" cm="1">
        <f t="array" ref="K417">IF(ISNUMBER(H417),_xlfn.IFS(D417= ""," ",D417&lt;&gt; " ",F417*(G417/H417)),"")</f>
        <v>9750.2150131043418</v>
      </c>
    </row>
    <row r="418" spans="1:11" x14ac:dyDescent="0.35">
      <c r="A418" t="s">
        <v>12</v>
      </c>
      <c r="B418">
        <v>2021</v>
      </c>
      <c r="C418" t="s">
        <v>115</v>
      </c>
      <c r="D418" s="9" t="s">
        <v>160</v>
      </c>
      <c r="E418" t="str" cm="1">
        <f t="array" ref="E418">_xlfn.IFS(D418=policy_name_clustering!$A$2,policy_name_clustering!$C$2,D418=policy_name_clustering!$A$3,policy_name_clustering!$C$3,D418=policy_name_clustering!$A$5,policy_name_clustering!$C$5,D418=policy_name_clustering!$A$6,policy_name_clustering!$C$6,D418=policy_name_clustering!$A$7,policy_name_clustering!$C$7,D418=policy_name_clustering!$A$8,policy_name_clustering!$C$8,D418=policy_name_clustering!$A$9,policy_name_clustering!$C$9,D418=policy_name_clustering!$A$10,policy_name_clustering!$C$10,D418=policy_name_clustering!$A$11,policy_name_clustering!$C$11,D418=policy_name_clustering!$A$12,policy_name_clustering!$C$12,D418=policy_name_clustering!$A$13,policy_name_clustering!$C$13,D418=policy_name_clustering!$A$14,policy_name_clustering!$C$14,D418=policy_name_clustering!$A$15,policy_name_clustering!$C$15,D418=policy_name_clustering!$A$16,policy_name_clustering!$C$16,D418="-","",D418=policy_name_clustering!$A$4,policy_name_clustering!$C$4)</f>
        <v>Tax-based</v>
      </c>
      <c r="F418">
        <f>policy_contributions_cum!F145</f>
        <v>10931.5049171836</v>
      </c>
      <c r="G418">
        <f>wind_cump_cap!C371</f>
        <v>11253.733</v>
      </c>
      <c r="H418">
        <f>estimated_capacity!C360</f>
        <v>12022.6692025473</v>
      </c>
      <c r="I418" cm="1">
        <f t="array" ref="I418">_xlfn.IFS(D418= ""," ",D418&lt;&gt; " ",F418*(G418/H418)-$I$404)</f>
        <v>2674.2926211705617</v>
      </c>
      <c r="J418" cm="1">
        <f t="array" ref="J418">_xlfn.IFS(D418= ""," ",D418&lt;&gt; " ",(H418-F418)*(G418/H418))</f>
        <v>1021.376478030115</v>
      </c>
      <c r="K418" cm="1">
        <f t="array" ref="K418">IF(ISNUMBER(H418),_xlfn.IFS(D418= ""," ",D418&lt;&gt; " ",F418*(G418/H418)),"")</f>
        <v>10232.356521969885</v>
      </c>
    </row>
    <row r="419" spans="1:11" x14ac:dyDescent="0.35">
      <c r="A419" t="s">
        <v>12</v>
      </c>
      <c r="B419">
        <v>2022</v>
      </c>
      <c r="D419" s="9" t="s">
        <v>160</v>
      </c>
      <c r="E419" t="str" cm="1">
        <f t="array" ref="E419">_xlfn.IFS(D419=policy_name_clustering!$A$2,policy_name_clustering!$C$2,D419=policy_name_clustering!$A$3,policy_name_clustering!$C$3,D419=policy_name_clustering!$A$5,policy_name_clustering!$C$5,D419=policy_name_clustering!$A$6,policy_name_clustering!$C$6,D419=policy_name_clustering!$A$7,policy_name_clustering!$C$7,D419=policy_name_clustering!$A$8,policy_name_clustering!$C$8,D419=policy_name_clustering!$A$9,policy_name_clustering!$C$9,D419=policy_name_clustering!$A$10,policy_name_clustering!$C$10,D419=policy_name_clustering!$A$11,policy_name_clustering!$C$11,D419=policy_name_clustering!$A$12,policy_name_clustering!$C$12,D419=policy_name_clustering!$A$13,policy_name_clustering!$C$13,D419=policy_name_clustering!$A$14,policy_name_clustering!$C$14,D419=policy_name_clustering!$A$15,policy_name_clustering!$C$15,D419=policy_name_clustering!$A$16,policy_name_clustering!$C$16,D419="-","",D419=policy_name_clustering!$A$4,policy_name_clustering!$C$4)</f>
        <v>Tax-based</v>
      </c>
      <c r="F419">
        <f>policy_contributions_cum!F146</f>
        <v>11491.172978484101</v>
      </c>
      <c r="G419">
        <f>wind_cump_cap!C372</f>
        <v>11820.508</v>
      </c>
      <c r="H419">
        <f>estimated_capacity!C361</f>
        <v>12483.084184024799</v>
      </c>
      <c r="I419" cm="1">
        <f t="array" ref="I419">_xlfn.IFS(D419= ""," ",D419&lt;&gt; " ",F419*(G419/H419)-$I$404)</f>
        <v>3323.1814804811474</v>
      </c>
      <c r="J419" cm="1">
        <f t="array" ref="J419">_xlfn.IFS(D419= ""," ",D419&lt;&gt; " ",(H419-F419)*(G419/H419))</f>
        <v>939.26261871952931</v>
      </c>
      <c r="K419" cm="1">
        <f t="array" ref="K419">IF(ISNUMBER(H419),_xlfn.IFS(D419= ""," ",D419&lt;&gt; " ",F419*(G419/H419)),"")</f>
        <v>10881.245381280471</v>
      </c>
    </row>
    <row r="420" spans="1:11" x14ac:dyDescent="0.35">
      <c r="A420" t="s">
        <v>12</v>
      </c>
      <c r="B420">
        <v>2023</v>
      </c>
      <c r="D420" s="9" t="s">
        <v>160</v>
      </c>
      <c r="E420" t="str" cm="1">
        <f t="array" ref="E420">_xlfn.IFS(D420=policy_name_clustering!$A$2,policy_name_clustering!$C$2,D420=policy_name_clustering!$A$3,policy_name_clustering!$C$3,D420=policy_name_clustering!$A$5,policy_name_clustering!$C$5,D420=policy_name_clustering!$A$6,policy_name_clustering!$C$6,D420=policy_name_clustering!$A$7,policy_name_clustering!$C$7,D420=policy_name_clustering!$A$8,policy_name_clustering!$C$8,D420=policy_name_clustering!$A$9,policy_name_clustering!$C$9,D420=policy_name_clustering!$A$10,policy_name_clustering!$C$10,D420=policy_name_clustering!$A$11,policy_name_clustering!$C$11,D420=policy_name_clustering!$A$12,policy_name_clustering!$C$12,D420=policy_name_clustering!$A$13,policy_name_clustering!$C$13,D420=policy_name_clustering!$A$14,policy_name_clustering!$C$14,D420=policy_name_clustering!$A$15,policy_name_clustering!$C$15,D420=policy_name_clustering!$A$16,policy_name_clustering!$C$16,D420="-","",D420=policy_name_clustering!$A$4,policy_name_clustering!$C$4)</f>
        <v>Tax-based</v>
      </c>
      <c r="F420">
        <f>policy_contributions_cum!F147</f>
        <v>12100.023786858899</v>
      </c>
      <c r="G420">
        <f>wind_cump_cap!C373</f>
        <v>12307.3</v>
      </c>
      <c r="H420">
        <f>estimated_capacity!C362</f>
        <v>12992.263083849401</v>
      </c>
      <c r="I420" cm="1">
        <f t="array" ref="I420">_xlfn.IFS(D420= ""," ",D420&lt;&gt; " ",F420*(G420/H420)-$I$404)</f>
        <v>3904.036411588002</v>
      </c>
      <c r="J420" cm="1">
        <f t="array" ref="J420">_xlfn.IFS(D420= ""," ",D420&lt;&gt; " ",(H420-F420)*(G420/H420))</f>
        <v>845.19968761267444</v>
      </c>
      <c r="K420" cm="1">
        <f t="array" ref="K420">IF(ISNUMBER(H420),_xlfn.IFS(D420= ""," ",D420&lt;&gt; " ",F420*(G420/H420)),"")</f>
        <v>11462.100312387325</v>
      </c>
    </row>
    <row r="421" spans="1:11" x14ac:dyDescent="0.35">
      <c r="A421" t="s">
        <v>34</v>
      </c>
      <c r="B421">
        <v>2002</v>
      </c>
      <c r="D421" t="s">
        <v>137</v>
      </c>
      <c r="E421" t="str" cm="1">
        <f t="array" ref="E421">_xlfn.IFS(D421=policy_name_clustering!$A$2,policy_name_clustering!$C$2,D421=policy_name_clustering!$A$3,policy_name_clustering!$C$3,D421=policy_name_clustering!$A$5,policy_name_clustering!$C$5,D421=policy_name_clustering!$A$6,policy_name_clustering!$C$6,D421=policy_name_clustering!$A$7,policy_name_clustering!$C$7,D421=policy_name_clustering!$A$8,policy_name_clustering!$C$8,D421=policy_name_clustering!$A$9,policy_name_clustering!$C$9,D421=policy_name_clustering!$A$10,policy_name_clustering!$C$10,D421=policy_name_clustering!$A$11,policy_name_clustering!$C$11,D421=policy_name_clustering!$A$12,policy_name_clustering!$C$12,D421=policy_name_clustering!$A$13,policy_name_clustering!$C$13,D421=policy_name_clustering!$A$14,policy_name_clustering!$C$14,D421=policy_name_clustering!$A$15,policy_name_clustering!$C$15,D421=policy_name_clustering!$A$16,policy_name_clustering!$C$16,D421="-","",D421=policy_name_clustering!$A$4,policy_name_clustering!$C$4)</f>
        <v/>
      </c>
      <c r="G421">
        <f>wind_cump_cap!C375</f>
        <v>0</v>
      </c>
      <c r="H421">
        <f>estimated_capacity!C363</f>
        <v>7.9419761128928599</v>
      </c>
      <c r="I421" cm="1">
        <f t="array" ref="I421">_xlfn.IFS(D421= ""," ",D421&lt;&gt; " ",F421*(G421/H421))</f>
        <v>0</v>
      </c>
      <c r="J421" cm="1">
        <f t="array" ref="J421">_xlfn.IFS(D421= ""," ",D421&lt;&gt; " ",(H421-F421)*(G421/H421))</f>
        <v>0</v>
      </c>
      <c r="K421" cm="1">
        <f t="array" ref="K421">IF(ISNUMBER(H421),_xlfn.IFS(D421= ""," ",D421&lt;&gt; " ",F421*(G421/H421)),"")</f>
        <v>0</v>
      </c>
    </row>
    <row r="422" spans="1:11" x14ac:dyDescent="0.35">
      <c r="A422" t="s">
        <v>34</v>
      </c>
      <c r="B422">
        <v>2003</v>
      </c>
      <c r="D422" t="s">
        <v>137</v>
      </c>
      <c r="E422" t="str" cm="1">
        <f t="array" ref="E422">_xlfn.IFS(D422=policy_name_clustering!$A$2,policy_name_clustering!$C$2,D422=policy_name_clustering!$A$3,policy_name_clustering!$C$3,D422=policy_name_clustering!$A$5,policy_name_clustering!$C$5,D422=policy_name_clustering!$A$6,policy_name_clustering!$C$6,D422=policy_name_clustering!$A$7,policy_name_clustering!$C$7,D422=policy_name_clustering!$A$8,policy_name_clustering!$C$8,D422=policy_name_clustering!$A$9,policy_name_clustering!$C$9,D422=policy_name_clustering!$A$10,policy_name_clustering!$C$10,D422=policy_name_clustering!$A$11,policy_name_clustering!$C$11,D422=policy_name_clustering!$A$12,policy_name_clustering!$C$12,D422=policy_name_clustering!$A$13,policy_name_clustering!$C$13,D422=policy_name_clustering!$A$14,policy_name_clustering!$C$14,D422=policy_name_clustering!$A$15,policy_name_clustering!$C$15,D422=policy_name_clustering!$A$16,policy_name_clustering!$C$16,D422="-","",D422=policy_name_clustering!$A$4,policy_name_clustering!$C$4)</f>
        <v/>
      </c>
      <c r="G422">
        <f>wind_cump_cap!C376</f>
        <v>0</v>
      </c>
      <c r="H422">
        <f>estimated_capacity!C364</f>
        <v>25.988556359926498</v>
      </c>
      <c r="I422" cm="1">
        <f t="array" ref="I422">_xlfn.IFS(D422= ""," ",D422&lt;&gt; " ",F422*(G422/H422))</f>
        <v>0</v>
      </c>
      <c r="J422" cm="1">
        <f t="array" ref="J422">_xlfn.IFS(D422= ""," ",D422&lt;&gt; " ",(H422-F422)*(G422/H422))</f>
        <v>0</v>
      </c>
      <c r="K422" cm="1">
        <f t="array" ref="K422">IF(ISNUMBER(H422),_xlfn.IFS(D422= ""," ",D422&lt;&gt; " ",F422*(G422/H422)),"")</f>
        <v>0</v>
      </c>
    </row>
    <row r="423" spans="1:11" x14ac:dyDescent="0.35">
      <c r="A423" t="s">
        <v>34</v>
      </c>
      <c r="B423">
        <v>2004</v>
      </c>
      <c r="D423" t="s">
        <v>137</v>
      </c>
      <c r="E423" t="str" cm="1">
        <f t="array" ref="E423">_xlfn.IFS(D423=policy_name_clustering!$A$2,policy_name_clustering!$C$2,D423=policy_name_clustering!$A$3,policy_name_clustering!$C$3,D423=policy_name_clustering!$A$5,policy_name_clustering!$C$5,D423=policy_name_clustering!$A$6,policy_name_clustering!$C$6,D423=policy_name_clustering!$A$7,policy_name_clustering!$C$7,D423=policy_name_clustering!$A$8,policy_name_clustering!$C$8,D423=policy_name_clustering!$A$9,policy_name_clustering!$C$9,D423=policy_name_clustering!$A$10,policy_name_clustering!$C$10,D423=policy_name_clustering!$A$11,policy_name_clustering!$C$11,D423=policy_name_clustering!$A$12,policy_name_clustering!$C$12,D423=policy_name_clustering!$A$13,policy_name_clustering!$C$13,D423=policy_name_clustering!$A$14,policy_name_clustering!$C$14,D423=policy_name_clustering!$A$15,policy_name_clustering!$C$15,D423=policy_name_clustering!$A$16,policy_name_clustering!$C$16,D423="-","",D423=policy_name_clustering!$A$4,policy_name_clustering!$C$4)</f>
        <v/>
      </c>
      <c r="G423">
        <f>wind_cump_cap!C377</f>
        <v>1</v>
      </c>
      <c r="H423">
        <f>estimated_capacity!C365</f>
        <v>44.894796404583197</v>
      </c>
      <c r="I423" cm="1">
        <f t="array" ref="I423">_xlfn.IFS(D423= ""," ",D423&lt;&gt; " ",F423*(G423/H423))</f>
        <v>0</v>
      </c>
      <c r="J423" cm="1">
        <f t="array" ref="J423">_xlfn.IFS(D423= ""," ",D423&lt;&gt; " ",(H423-F423)*(G423/H423))</f>
        <v>1</v>
      </c>
      <c r="K423" cm="1">
        <f t="array" ref="K423">IF(ISNUMBER(H423),_xlfn.IFS(D423= ""," ",D423&lt;&gt; " ",F423*(G423/H423)),"")</f>
        <v>0</v>
      </c>
    </row>
    <row r="424" spans="1:11" x14ac:dyDescent="0.35">
      <c r="A424" t="s">
        <v>34</v>
      </c>
      <c r="B424">
        <v>2005</v>
      </c>
      <c r="D424" t="s">
        <v>137</v>
      </c>
      <c r="E424" t="str" cm="1">
        <f t="array" ref="E424">_xlfn.IFS(D424=policy_name_clustering!$A$2,policy_name_clustering!$C$2,D424=policy_name_clustering!$A$3,policy_name_clustering!$C$3,D424=policy_name_clustering!$A$5,policy_name_clustering!$C$5,D424=policy_name_clustering!$A$6,policy_name_clustering!$C$6,D424=policy_name_clustering!$A$7,policy_name_clustering!$C$7,D424=policy_name_clustering!$A$8,policy_name_clustering!$C$8,D424=policy_name_clustering!$A$9,policy_name_clustering!$C$9,D424=policy_name_clustering!$A$10,policy_name_clustering!$C$10,D424=policy_name_clustering!$A$11,policy_name_clustering!$C$11,D424=policy_name_clustering!$A$12,policy_name_clustering!$C$12,D424=policy_name_clustering!$A$13,policy_name_clustering!$C$13,D424=policy_name_clustering!$A$14,policy_name_clustering!$C$14,D424=policy_name_clustering!$A$15,policy_name_clustering!$C$15,D424=policy_name_clustering!$A$16,policy_name_clustering!$C$16,D424="-","",D424=policy_name_clustering!$A$4,policy_name_clustering!$C$4)</f>
        <v/>
      </c>
      <c r="G424">
        <f>wind_cump_cap!C378</f>
        <v>1</v>
      </c>
      <c r="H424">
        <f>estimated_capacity!C366</f>
        <v>75.798601158391804</v>
      </c>
      <c r="I424" cm="1">
        <f t="array" ref="I424">_xlfn.IFS(D424= ""," ",D424&lt;&gt; " ",F424*(G424/H424))</f>
        <v>0</v>
      </c>
      <c r="J424" cm="1">
        <f t="array" ref="J424">_xlfn.IFS(D424= ""," ",D424&lt;&gt; " ",(H424-F424)*(G424/H424))</f>
        <v>1</v>
      </c>
      <c r="K424" cm="1">
        <f t="array" ref="K424">IF(ISNUMBER(H424),_xlfn.IFS(D424= ""," ",D424&lt;&gt; " ",F424*(G424/H424)),"")</f>
        <v>0</v>
      </c>
    </row>
    <row r="425" spans="1:11" x14ac:dyDescent="0.35">
      <c r="A425" t="s">
        <v>34</v>
      </c>
      <c r="B425">
        <v>2006</v>
      </c>
      <c r="D425" t="s">
        <v>137</v>
      </c>
      <c r="E425" t="str" cm="1">
        <f t="array" ref="E425">_xlfn.IFS(D425=policy_name_clustering!$A$2,policy_name_clustering!$C$2,D425=policy_name_clustering!$A$3,policy_name_clustering!$C$3,D425=policy_name_clustering!$A$5,policy_name_clustering!$C$5,D425=policy_name_clustering!$A$6,policy_name_clustering!$C$6,D425=policy_name_clustering!$A$7,policy_name_clustering!$C$7,D425=policy_name_clustering!$A$8,policy_name_clustering!$C$8,D425=policy_name_clustering!$A$9,policy_name_clustering!$C$9,D425=policy_name_clustering!$A$10,policy_name_clustering!$C$10,D425=policy_name_clustering!$A$11,policy_name_clustering!$C$11,D425=policy_name_clustering!$A$12,policy_name_clustering!$C$12,D425=policy_name_clustering!$A$13,policy_name_clustering!$C$13,D425=policy_name_clustering!$A$14,policy_name_clustering!$C$14,D425=policy_name_clustering!$A$15,policy_name_clustering!$C$15,D425=policy_name_clustering!$A$16,policy_name_clustering!$C$16,D425="-","",D425=policy_name_clustering!$A$4,policy_name_clustering!$C$4)</f>
        <v/>
      </c>
      <c r="G425">
        <f>wind_cump_cap!C379</f>
        <v>31</v>
      </c>
      <c r="H425">
        <f>estimated_capacity!C367</f>
        <v>101.679340561521</v>
      </c>
      <c r="I425" cm="1">
        <f t="array" ref="I425">_xlfn.IFS(D425= ""," ",D425&lt;&gt; " ",F425*(G425/H425))</f>
        <v>0</v>
      </c>
      <c r="J425" cm="1">
        <f t="array" ref="J425">_xlfn.IFS(D425= ""," ",D425&lt;&gt; " ",(H425-F425)*(G425/H425))</f>
        <v>31</v>
      </c>
      <c r="K425" cm="1">
        <f t="array" ref="K425">IF(ISNUMBER(H425),_xlfn.IFS(D425= ""," ",D425&lt;&gt; " ",F425*(G425/H425)),"")</f>
        <v>0</v>
      </c>
    </row>
    <row r="426" spans="1:11" x14ac:dyDescent="0.35">
      <c r="A426" t="s">
        <v>34</v>
      </c>
      <c r="B426">
        <v>2007</v>
      </c>
      <c r="D426" t="s">
        <v>137</v>
      </c>
      <c r="E426" t="str" cm="1">
        <f t="array" ref="E426">_xlfn.IFS(D426=policy_name_clustering!$A$2,policy_name_clustering!$C$2,D426=policy_name_clustering!$A$3,policy_name_clustering!$C$3,D426=policy_name_clustering!$A$5,policy_name_clustering!$C$5,D426=policy_name_clustering!$A$6,policy_name_clustering!$C$6,D426=policy_name_clustering!$A$7,policy_name_clustering!$C$7,D426=policy_name_clustering!$A$8,policy_name_clustering!$C$8,D426=policy_name_clustering!$A$9,policy_name_clustering!$C$9,D426=policy_name_clustering!$A$10,policy_name_clustering!$C$10,D426=policy_name_clustering!$A$11,policy_name_clustering!$C$11,D426=policy_name_clustering!$A$12,policy_name_clustering!$C$12,D426=policy_name_clustering!$A$13,policy_name_clustering!$C$13,D426=policy_name_clustering!$A$14,policy_name_clustering!$C$14,D426=policy_name_clustering!$A$15,policy_name_clustering!$C$15,D426=policy_name_clustering!$A$16,policy_name_clustering!$C$16,D426="-","",D426=policy_name_clustering!$A$4,policy_name_clustering!$C$4)</f>
        <v/>
      </c>
      <c r="G426">
        <f>wind_cump_cap!C380</f>
        <v>47</v>
      </c>
      <c r="H426">
        <f>estimated_capacity!C368</f>
        <v>125.171049171044</v>
      </c>
      <c r="I426" cm="1">
        <f t="array" ref="I426">_xlfn.IFS(D426= ""," ",D426&lt;&gt; " ",F426*(G426/H426))</f>
        <v>0</v>
      </c>
      <c r="J426" cm="1">
        <f t="array" ref="J426">_xlfn.IFS(D426= ""," ",D426&lt;&gt; " ",(H426-F426)*(G426/H426))</f>
        <v>47</v>
      </c>
      <c r="K426" cm="1">
        <f t="array" ref="K426">IF(ISNUMBER(H426),_xlfn.IFS(D426= ""," ",D426&lt;&gt; " ",F426*(G426/H426)),"")</f>
        <v>0</v>
      </c>
    </row>
    <row r="427" spans="1:11" x14ac:dyDescent="0.35">
      <c r="A427" t="s">
        <v>34</v>
      </c>
      <c r="B427">
        <v>2008</v>
      </c>
      <c r="D427" t="s">
        <v>137</v>
      </c>
      <c r="E427" t="str" cm="1">
        <f t="array" ref="E427">_xlfn.IFS(D427=policy_name_clustering!$A$2,policy_name_clustering!$C$2,D427=policy_name_clustering!$A$3,policy_name_clustering!$C$3,D427=policy_name_clustering!$A$5,policy_name_clustering!$C$5,D427=policy_name_clustering!$A$6,policy_name_clustering!$C$6,D427=policy_name_clustering!$A$7,policy_name_clustering!$C$7,D427=policy_name_clustering!$A$8,policy_name_clustering!$C$8,D427=policy_name_clustering!$A$9,policy_name_clustering!$C$9,D427=policy_name_clustering!$A$10,policy_name_clustering!$C$10,D427=policy_name_clustering!$A$11,policy_name_clustering!$C$11,D427=policy_name_clustering!$A$12,policy_name_clustering!$C$12,D427=policy_name_clustering!$A$13,policy_name_clustering!$C$13,D427=policy_name_clustering!$A$14,policy_name_clustering!$C$14,D427=policy_name_clustering!$A$15,policy_name_clustering!$C$15,D427=policy_name_clustering!$A$16,policy_name_clustering!$C$16,D427="-","",D427=policy_name_clustering!$A$4,policy_name_clustering!$C$4)</f>
        <v/>
      </c>
      <c r="G427">
        <f>wind_cump_cap!C381</f>
        <v>54</v>
      </c>
      <c r="H427">
        <f>estimated_capacity!C369</f>
        <v>137.31304033418601</v>
      </c>
      <c r="I427" cm="1">
        <f t="array" ref="I427">_xlfn.IFS(D427= ""," ",D427&lt;&gt; " ",F427*(G427/H427))</f>
        <v>0</v>
      </c>
      <c r="J427" cm="1">
        <f t="array" ref="J427">_xlfn.IFS(D427= ""," ",D427&lt;&gt; " ",(H427-F427)*(G427/H427))</f>
        <v>54</v>
      </c>
      <c r="K427" cm="1">
        <f t="array" ref="K427">IF(ISNUMBER(H427),_xlfn.IFS(D427= ""," ",D427&lt;&gt; " ",F427*(G427/H427)),"")</f>
        <v>0</v>
      </c>
    </row>
    <row r="428" spans="1:11" x14ac:dyDescent="0.35">
      <c r="A428" t="s">
        <v>34</v>
      </c>
      <c r="B428">
        <v>2009</v>
      </c>
      <c r="D428" t="s">
        <v>137</v>
      </c>
      <c r="E428" t="str" cm="1">
        <f t="array" ref="E428">_xlfn.IFS(D428=policy_name_clustering!$A$2,policy_name_clustering!$C$2,D428=policy_name_clustering!$A$3,policy_name_clustering!$C$3,D428=policy_name_clustering!$A$5,policy_name_clustering!$C$5,D428=policy_name_clustering!$A$6,policy_name_clustering!$C$6,D428=policy_name_clustering!$A$7,policy_name_clustering!$C$7,D428=policy_name_clustering!$A$8,policy_name_clustering!$C$8,D428=policy_name_clustering!$A$9,policy_name_clustering!$C$9,D428=policy_name_clustering!$A$10,policy_name_clustering!$C$10,D428=policy_name_clustering!$A$11,policy_name_clustering!$C$11,D428=policy_name_clustering!$A$12,policy_name_clustering!$C$12,D428=policy_name_clustering!$A$13,policy_name_clustering!$C$13,D428=policy_name_clustering!$A$14,policy_name_clustering!$C$14,D428=policy_name_clustering!$A$15,policy_name_clustering!$C$15,D428=policy_name_clustering!$A$16,policy_name_clustering!$C$16,D428="-","",D428=policy_name_clustering!$A$4,policy_name_clustering!$C$4)</f>
        <v/>
      </c>
      <c r="G428">
        <f>wind_cump_cap!C382</f>
        <v>98</v>
      </c>
      <c r="H428">
        <f>estimated_capacity!C370</f>
        <v>131.993235637113</v>
      </c>
      <c r="I428" cm="1">
        <f t="array" ref="I428">_xlfn.IFS(D428= ""," ",D428&lt;&gt; " ",F428*(G428/H428))</f>
        <v>0</v>
      </c>
      <c r="J428" cm="1">
        <f t="array" ref="J428">_xlfn.IFS(D428= ""," ",D428&lt;&gt; " ",(H428-F428)*(G428/H428))</f>
        <v>98</v>
      </c>
      <c r="K428" cm="1">
        <f t="array" ref="K428">IF(ISNUMBER(H428),_xlfn.IFS(D428= ""," ",D428&lt;&gt; " ",F428*(G428/H428)),"")</f>
        <v>0</v>
      </c>
    </row>
    <row r="429" spans="1:11" x14ac:dyDescent="0.35">
      <c r="A429" t="s">
        <v>34</v>
      </c>
      <c r="B429">
        <v>2010</v>
      </c>
      <c r="D429" t="s">
        <v>137</v>
      </c>
      <c r="E429" t="str" cm="1">
        <f t="array" ref="E429">_xlfn.IFS(D429=policy_name_clustering!$A$2,policy_name_clustering!$C$2,D429=policy_name_clustering!$A$3,policy_name_clustering!$C$3,D429=policy_name_clustering!$A$5,policy_name_clustering!$C$5,D429=policy_name_clustering!$A$6,policy_name_clustering!$C$6,D429=policy_name_clustering!$A$7,policy_name_clustering!$C$7,D429=policy_name_clustering!$A$8,policy_name_clustering!$C$8,D429=policy_name_clustering!$A$9,policy_name_clustering!$C$9,D429=policy_name_clustering!$A$10,policy_name_clustering!$C$10,D429=policy_name_clustering!$A$11,policy_name_clustering!$C$11,D429=policy_name_clustering!$A$12,policy_name_clustering!$C$12,D429=policy_name_clustering!$A$13,policy_name_clustering!$C$13,D429=policy_name_clustering!$A$14,policy_name_clustering!$C$14,D429=policy_name_clustering!$A$15,policy_name_clustering!$C$15,D429=policy_name_clustering!$A$16,policy_name_clustering!$C$16,D429="-","",D429=policy_name_clustering!$A$4,policy_name_clustering!$C$4)</f>
        <v/>
      </c>
      <c r="G429">
        <f>wind_cump_cap!C383</f>
        <v>133</v>
      </c>
      <c r="H429">
        <f>estimated_capacity!C371</f>
        <v>148.23696426287401</v>
      </c>
      <c r="I429" cm="1">
        <f t="array" ref="I429">_xlfn.IFS(D429= ""," ",D429&lt;&gt; " ",F429*(G429/H429))</f>
        <v>0</v>
      </c>
      <c r="J429" cm="1">
        <f t="array" ref="J429">_xlfn.IFS(D429= ""," ",D429&lt;&gt; " ",(H429-F429)*(G429/H429))</f>
        <v>133</v>
      </c>
      <c r="K429" cm="1">
        <f t="array" ref="K429">IF(ISNUMBER(H429),_xlfn.IFS(D429= ""," ",D429&lt;&gt; " ",F429*(G429/H429)),"")</f>
        <v>0</v>
      </c>
    </row>
    <row r="430" spans="1:11" x14ac:dyDescent="0.35">
      <c r="A430" t="s">
        <v>34</v>
      </c>
      <c r="B430">
        <v>2011</v>
      </c>
      <c r="D430" t="s">
        <v>137</v>
      </c>
      <c r="E430" t="str" cm="1">
        <f t="array" ref="E430">_xlfn.IFS(D430=policy_name_clustering!$A$2,policy_name_clustering!$C$2,D430=policy_name_clustering!$A$3,policy_name_clustering!$C$3,D430=policy_name_clustering!$A$5,policy_name_clustering!$C$5,D430=policy_name_clustering!$A$6,policy_name_clustering!$C$6,D430=policy_name_clustering!$A$7,policy_name_clustering!$C$7,D430=policy_name_clustering!$A$8,policy_name_clustering!$C$8,D430=policy_name_clustering!$A$9,policy_name_clustering!$C$9,D430=policy_name_clustering!$A$10,policy_name_clustering!$C$10,D430=policy_name_clustering!$A$11,policy_name_clustering!$C$11,D430=policy_name_clustering!$A$12,policy_name_clustering!$C$12,D430=policy_name_clustering!$A$13,policy_name_clustering!$C$13,D430=policy_name_clustering!$A$14,policy_name_clustering!$C$14,D430=policy_name_clustering!$A$15,policy_name_clustering!$C$15,D430=policy_name_clustering!$A$16,policy_name_clustering!$C$16,D430="-","",D430=policy_name_clustering!$A$4,policy_name_clustering!$C$4)</f>
        <v/>
      </c>
      <c r="G430">
        <f>wind_cump_cap!C384</f>
        <v>202</v>
      </c>
      <c r="H430">
        <f>estimated_capacity!C372</f>
        <v>167.308348571214</v>
      </c>
      <c r="I430" cm="1">
        <f t="array" ref="I430">_xlfn.IFS(D430= ""," ",D430&lt;&gt; " ",F430*(G430/H430))</f>
        <v>0</v>
      </c>
      <c r="J430" cm="1">
        <f t="array" ref="J430">_xlfn.IFS(D430= ""," ",D430&lt;&gt; " ",(H430-F430)*(G430/H430))</f>
        <v>202.00000000000003</v>
      </c>
      <c r="K430" cm="1">
        <f t="array" ref="K430">IF(ISNUMBER(H430),_xlfn.IFS(D430= ""," ",D430&lt;&gt; " ",F430*(G430/H430)),"")</f>
        <v>0</v>
      </c>
    </row>
    <row r="431" spans="1:11" x14ac:dyDescent="0.35">
      <c r="A431" t="s">
        <v>34</v>
      </c>
      <c r="B431">
        <v>2012</v>
      </c>
      <c r="D431" t="s">
        <v>137</v>
      </c>
      <c r="E431" t="str" cm="1">
        <f t="array" ref="E431">_xlfn.IFS(D431=policy_name_clustering!$A$2,policy_name_clustering!$C$2,D431=policy_name_clustering!$A$3,policy_name_clustering!$C$3,D431=policy_name_clustering!$A$5,policy_name_clustering!$C$5,D431=policy_name_clustering!$A$6,policy_name_clustering!$C$6,D431=policy_name_clustering!$A$7,policy_name_clustering!$C$7,D431=policy_name_clustering!$A$8,policy_name_clustering!$C$8,D431=policy_name_clustering!$A$9,policy_name_clustering!$C$9,D431=policy_name_clustering!$A$10,policy_name_clustering!$C$10,D431=policy_name_clustering!$A$11,policy_name_clustering!$C$11,D431=policy_name_clustering!$A$12,policy_name_clustering!$C$12,D431=policy_name_clustering!$A$13,policy_name_clustering!$C$13,D431=policy_name_clustering!$A$14,policy_name_clustering!$C$14,D431=policy_name_clustering!$A$15,policy_name_clustering!$C$15,D431=policy_name_clustering!$A$16,policy_name_clustering!$C$16,D431="-","",D431=policy_name_clustering!$A$4,policy_name_clustering!$C$4)</f>
        <v/>
      </c>
      <c r="G431">
        <f>wind_cump_cap!C385</f>
        <v>275</v>
      </c>
      <c r="H431">
        <f>estimated_capacity!C373</f>
        <v>197.00174305756599</v>
      </c>
      <c r="I431" cm="1">
        <f t="array" ref="I431">_xlfn.IFS(D431= ""," ",D431&lt;&gt; " ",F431*(G431/H431))</f>
        <v>0</v>
      </c>
      <c r="J431" cm="1">
        <f t="array" ref="J431">_xlfn.IFS(D431= ""," ",D431&lt;&gt; " ",(H431-F431)*(G431/H431))</f>
        <v>275</v>
      </c>
      <c r="K431" cm="1">
        <f t="array" ref="K431">IF(ISNUMBER(H431),_xlfn.IFS(D431= ""," ",D431&lt;&gt; " ",F431*(G431/H431)),"")</f>
        <v>0</v>
      </c>
    </row>
    <row r="432" spans="1:11" x14ac:dyDescent="0.35">
      <c r="A432" t="s">
        <v>34</v>
      </c>
      <c r="B432">
        <v>2013</v>
      </c>
      <c r="D432" t="s">
        <v>137</v>
      </c>
      <c r="E432" t="str" cm="1">
        <f t="array" ref="E432">_xlfn.IFS(D432=policy_name_clustering!$A$2,policy_name_clustering!$C$2,D432=policy_name_clustering!$A$3,policy_name_clustering!$C$3,D432=policy_name_clustering!$A$5,policy_name_clustering!$C$5,D432=policy_name_clustering!$A$6,policy_name_clustering!$C$6,D432=policy_name_clustering!$A$7,policy_name_clustering!$C$7,D432=policy_name_clustering!$A$8,policy_name_clustering!$C$8,D432=policy_name_clustering!$A$9,policy_name_clustering!$C$9,D432=policy_name_clustering!$A$10,policy_name_clustering!$C$10,D432=policy_name_clustering!$A$11,policy_name_clustering!$C$11,D432=policy_name_clustering!$A$12,policy_name_clustering!$C$12,D432=policy_name_clustering!$A$13,policy_name_clustering!$C$13,D432=policy_name_clustering!$A$14,policy_name_clustering!$C$14,D432=policy_name_clustering!$A$15,policy_name_clustering!$C$15,D432=policy_name_clustering!$A$16,policy_name_clustering!$C$16,D432="-","",D432=policy_name_clustering!$A$4,policy_name_clustering!$C$4)</f>
        <v/>
      </c>
      <c r="G432">
        <f>wind_cump_cap!C386</f>
        <v>279</v>
      </c>
      <c r="H432">
        <f>estimated_capacity!C374</f>
        <v>225.71048430301599</v>
      </c>
      <c r="I432" cm="1">
        <f t="array" ref="I432">_xlfn.IFS(D432= ""," ",D432&lt;&gt; " ",F432*(G432/H432))</f>
        <v>0</v>
      </c>
      <c r="J432" cm="1">
        <f t="array" ref="J432">_xlfn.IFS(D432= ""," ",D432&lt;&gt; " ",(H432-F432)*(G432/H432))</f>
        <v>279</v>
      </c>
      <c r="K432" cm="1">
        <f t="array" ref="K432">IF(ISNUMBER(H432),_xlfn.IFS(D432= ""," ",D432&lt;&gt; " ",F432*(G432/H432)),"")</f>
        <v>0</v>
      </c>
    </row>
    <row r="433" spans="1:11" x14ac:dyDescent="0.35">
      <c r="A433" t="s">
        <v>34</v>
      </c>
      <c r="B433">
        <v>2014</v>
      </c>
      <c r="D433" t="s">
        <v>137</v>
      </c>
      <c r="E433" t="str" cm="1">
        <f t="array" ref="E433">_xlfn.IFS(D433=policy_name_clustering!$A$2,policy_name_clustering!$C$2,D433=policy_name_clustering!$A$3,policy_name_clustering!$C$3,D433=policy_name_clustering!$A$5,policy_name_clustering!$C$5,D433=policy_name_clustering!$A$6,policy_name_clustering!$C$6,D433=policy_name_clustering!$A$7,policy_name_clustering!$C$7,D433=policy_name_clustering!$A$8,policy_name_clustering!$C$8,D433=policy_name_clustering!$A$9,policy_name_clustering!$C$9,D433=policy_name_clustering!$A$10,policy_name_clustering!$C$10,D433=policy_name_clustering!$A$11,policy_name_clustering!$C$11,D433=policy_name_clustering!$A$12,policy_name_clustering!$C$12,D433=policy_name_clustering!$A$13,policy_name_clustering!$C$13,D433=policy_name_clustering!$A$14,policy_name_clustering!$C$14,D433=policy_name_clustering!$A$15,policy_name_clustering!$C$15,D433=policy_name_clustering!$A$16,policy_name_clustering!$C$16,D433="-","",D433=policy_name_clustering!$A$4,policy_name_clustering!$C$4)</f>
        <v/>
      </c>
      <c r="G433">
        <f>wind_cump_cap!C387</f>
        <v>288</v>
      </c>
      <c r="H433">
        <f>estimated_capacity!C375</f>
        <v>265.53521476076401</v>
      </c>
      <c r="I433" cm="1">
        <f t="array" ref="I433">_xlfn.IFS(D433= ""," ",D433&lt;&gt; " ",F433*(G433/H433))</f>
        <v>0</v>
      </c>
      <c r="J433" cm="1">
        <f t="array" ref="J433">_xlfn.IFS(D433= ""," ",D433&lt;&gt; " ",(H433-F433)*(G433/H433))</f>
        <v>288</v>
      </c>
      <c r="K433" cm="1">
        <f t="array" ref="K433">IF(ISNUMBER(H433),_xlfn.IFS(D433= ""," ",D433&lt;&gt; " ",F433*(G433/H433)),"")</f>
        <v>0</v>
      </c>
    </row>
    <row r="434" spans="1:11" x14ac:dyDescent="0.35">
      <c r="A434" t="s">
        <v>34</v>
      </c>
      <c r="B434">
        <v>2015</v>
      </c>
      <c r="D434" t="s">
        <v>137</v>
      </c>
      <c r="E434" t="str" cm="1">
        <f t="array" ref="E434">_xlfn.IFS(D434=policy_name_clustering!$A$2,policy_name_clustering!$C$2,D434=policy_name_clustering!$A$3,policy_name_clustering!$C$3,D434=policy_name_clustering!$A$5,policy_name_clustering!$C$5,D434=policy_name_clustering!$A$6,policy_name_clustering!$C$6,D434=policy_name_clustering!$A$7,policy_name_clustering!$C$7,D434=policy_name_clustering!$A$8,policy_name_clustering!$C$8,D434=policy_name_clustering!$A$9,policy_name_clustering!$C$9,D434=policy_name_clustering!$A$10,policy_name_clustering!$C$10,D434=policy_name_clustering!$A$11,policy_name_clustering!$C$11,D434=policy_name_clustering!$A$12,policy_name_clustering!$C$12,D434=policy_name_clustering!$A$13,policy_name_clustering!$C$13,D434=policy_name_clustering!$A$14,policy_name_clustering!$C$14,D434=policy_name_clustering!$A$15,policy_name_clustering!$C$15,D434=policy_name_clustering!$A$16,policy_name_clustering!$C$16,D434="-","",D434=policy_name_clustering!$A$4,policy_name_clustering!$C$4)</f>
        <v/>
      </c>
      <c r="G434">
        <f>wind_cump_cap!C388</f>
        <v>436</v>
      </c>
      <c r="H434">
        <f>estimated_capacity!C376</f>
        <v>334.339217424776</v>
      </c>
      <c r="I434" cm="1">
        <f t="array" ref="I434">_xlfn.IFS(D434= ""," ",D434&lt;&gt; " ",F434*(G434/H434))</f>
        <v>0</v>
      </c>
      <c r="J434" cm="1">
        <f t="array" ref="J434">_xlfn.IFS(D434= ""," ",D434&lt;&gt; " ",(H434-F434)*(G434/H434))</f>
        <v>436</v>
      </c>
      <c r="K434" cm="1">
        <f t="array" ref="K434">IF(ISNUMBER(H434),_xlfn.IFS(D434= ""," ",D434&lt;&gt; " ",F434*(G434/H434)),"")</f>
        <v>0</v>
      </c>
    </row>
    <row r="435" spans="1:11" x14ac:dyDescent="0.35">
      <c r="A435" t="s">
        <v>34</v>
      </c>
      <c r="B435">
        <v>2016</v>
      </c>
      <c r="D435" t="s">
        <v>137</v>
      </c>
      <c r="E435" t="str" cm="1">
        <f t="array" ref="E435">_xlfn.IFS(D435=policy_name_clustering!$A$2,policy_name_clustering!$C$2,D435=policy_name_clustering!$A$3,policy_name_clustering!$C$3,D435=policy_name_clustering!$A$5,policy_name_clustering!$C$5,D435=policy_name_clustering!$A$6,policy_name_clustering!$C$6,D435=policy_name_clustering!$A$7,policy_name_clustering!$C$7,D435=policy_name_clustering!$A$8,policy_name_clustering!$C$8,D435=policy_name_clustering!$A$9,policy_name_clustering!$C$9,D435=policy_name_clustering!$A$10,policy_name_clustering!$C$10,D435=policy_name_clustering!$A$11,policy_name_clustering!$C$11,D435=policy_name_clustering!$A$12,policy_name_clustering!$C$12,D435=policy_name_clustering!$A$13,policy_name_clustering!$C$13,D435=policy_name_clustering!$A$14,policy_name_clustering!$C$14,D435=policy_name_clustering!$A$15,policy_name_clustering!$C$15,D435=policy_name_clustering!$A$16,policy_name_clustering!$C$16,D435="-","",D435=policy_name_clustering!$A$4,policy_name_clustering!$C$4)</f>
        <v/>
      </c>
      <c r="G435">
        <f>wind_cump_cap!C389</f>
        <v>509</v>
      </c>
      <c r="H435">
        <f>estimated_capacity!C377</f>
        <v>408.59664032198202</v>
      </c>
      <c r="I435" cm="1">
        <f t="array" ref="I435">_xlfn.IFS(D435= ""," ",D435&lt;&gt; " ",F435*(G435/H435))</f>
        <v>0</v>
      </c>
      <c r="J435" cm="1">
        <f t="array" ref="J435">_xlfn.IFS(D435= ""," ",D435&lt;&gt; " ",(H435-F435)*(G435/H435))</f>
        <v>508.99999999999994</v>
      </c>
      <c r="K435" cm="1">
        <f t="array" ref="K435">IF(ISNUMBER(H435),_xlfn.IFS(D435= ""," ",D435&lt;&gt; " ",F435*(G435/H435)),"")</f>
        <v>0</v>
      </c>
    </row>
    <row r="436" spans="1:11" x14ac:dyDescent="0.35">
      <c r="A436" t="s">
        <v>34</v>
      </c>
      <c r="B436">
        <v>2017</v>
      </c>
      <c r="D436" t="s">
        <v>137</v>
      </c>
      <c r="E436" t="str" cm="1">
        <f t="array" ref="E436">_xlfn.IFS(D436=policy_name_clustering!$A$2,policy_name_clustering!$C$2,D436=policy_name_clustering!$A$3,policy_name_clustering!$C$3,D436=policy_name_clustering!$A$5,policy_name_clustering!$C$5,D436=policy_name_clustering!$A$6,policy_name_clustering!$C$6,D436=policy_name_clustering!$A$7,policy_name_clustering!$C$7,D436=policy_name_clustering!$A$8,policy_name_clustering!$C$8,D436=policy_name_clustering!$A$9,policy_name_clustering!$C$9,D436=policy_name_clustering!$A$10,policy_name_clustering!$C$10,D436=policy_name_clustering!$A$11,policy_name_clustering!$C$11,D436=policy_name_clustering!$A$12,policy_name_clustering!$C$12,D436=policy_name_clustering!$A$13,policy_name_clustering!$C$13,D436=policy_name_clustering!$A$14,policy_name_clustering!$C$14,D436=policy_name_clustering!$A$15,policy_name_clustering!$C$15,D436=policy_name_clustering!$A$16,policy_name_clustering!$C$16,D436="-","",D436=policy_name_clustering!$A$4,policy_name_clustering!$C$4)</f>
        <v/>
      </c>
      <c r="G436">
        <f>wind_cump_cap!C390</f>
        <v>518</v>
      </c>
      <c r="H436">
        <f>estimated_capacity!C378</f>
        <v>491.95453175172298</v>
      </c>
      <c r="I436" cm="1">
        <f t="array" ref="I436">_xlfn.IFS(D436= ""," ",D436&lt;&gt; " ",F436*(G436/H436))</f>
        <v>0</v>
      </c>
      <c r="J436" cm="1">
        <f t="array" ref="J436">_xlfn.IFS(D436= ""," ",D436&lt;&gt; " ",(H436-F436)*(G436/H436))</f>
        <v>518</v>
      </c>
      <c r="K436" cm="1">
        <f t="array" ref="K436">IF(ISNUMBER(H436),_xlfn.IFS(D436= ""," ",D436&lt;&gt; " ",F436*(G436/H436)),"")</f>
        <v>0</v>
      </c>
    </row>
    <row r="437" spans="1:11" x14ac:dyDescent="0.35">
      <c r="A437" t="s">
        <v>34</v>
      </c>
      <c r="B437">
        <v>2018</v>
      </c>
      <c r="D437" t="s">
        <v>137</v>
      </c>
      <c r="E437" t="str" cm="1">
        <f t="array" ref="E437">_xlfn.IFS(D437=policy_name_clustering!$A$2,policy_name_clustering!$C$2,D437=policy_name_clustering!$A$3,policy_name_clustering!$C$3,D437=policy_name_clustering!$A$5,policy_name_clustering!$C$5,D437=policy_name_clustering!$A$6,policy_name_clustering!$C$6,D437=policy_name_clustering!$A$7,policy_name_clustering!$C$7,D437=policy_name_clustering!$A$8,policy_name_clustering!$C$8,D437=policy_name_clustering!$A$9,policy_name_clustering!$C$9,D437=policy_name_clustering!$A$10,policy_name_clustering!$C$10,D437=policy_name_clustering!$A$11,policy_name_clustering!$C$11,D437=policy_name_clustering!$A$12,policy_name_clustering!$C$12,D437=policy_name_clustering!$A$13,policy_name_clustering!$C$13,D437=policy_name_clustering!$A$14,policy_name_clustering!$C$14,D437=policy_name_clustering!$A$15,policy_name_clustering!$C$15,D437=policy_name_clustering!$A$16,policy_name_clustering!$C$16,D437="-","",D437=policy_name_clustering!$A$4,policy_name_clustering!$C$4)</f>
        <v/>
      </c>
      <c r="G437">
        <f>wind_cump_cap!C391</f>
        <v>533</v>
      </c>
      <c r="H437">
        <f>estimated_capacity!C379</f>
        <v>587.35186071898397</v>
      </c>
      <c r="I437" cm="1">
        <f t="array" ref="I437">_xlfn.IFS(D437= ""," ",D437&lt;&gt; " ",F437*(G437/H437))</f>
        <v>0</v>
      </c>
      <c r="J437" cm="1">
        <f t="array" ref="J437">_xlfn.IFS(D437= ""," ",D437&lt;&gt; " ",(H437-F437)*(G437/H437))</f>
        <v>533</v>
      </c>
      <c r="K437" cm="1">
        <f t="array" ref="K437">IF(ISNUMBER(H437),_xlfn.IFS(D437= ""," ",D437&lt;&gt; " ",F437*(G437/H437)),"")</f>
        <v>0</v>
      </c>
    </row>
    <row r="438" spans="1:11" x14ac:dyDescent="0.35">
      <c r="A438" t="s">
        <v>34</v>
      </c>
      <c r="B438">
        <v>2019</v>
      </c>
      <c r="D438" t="s">
        <v>137</v>
      </c>
      <c r="E438" t="str" cm="1">
        <f t="array" ref="E438">_xlfn.IFS(D438=policy_name_clustering!$A$2,policy_name_clustering!$C$2,D438=policy_name_clustering!$A$3,policy_name_clustering!$C$3,D438=policy_name_clustering!$A$5,policy_name_clustering!$C$5,D438=policy_name_clustering!$A$6,policy_name_clustering!$C$6,D438=policy_name_clustering!$A$7,policy_name_clustering!$C$7,D438=policy_name_clustering!$A$8,policy_name_clustering!$C$8,D438=policy_name_clustering!$A$9,policy_name_clustering!$C$9,D438=policy_name_clustering!$A$10,policy_name_clustering!$C$10,D438=policy_name_clustering!$A$11,policy_name_clustering!$C$11,D438=policy_name_clustering!$A$12,policy_name_clustering!$C$12,D438=policy_name_clustering!$A$13,policy_name_clustering!$C$13,D438=policy_name_clustering!$A$14,policy_name_clustering!$C$14,D438=policy_name_clustering!$A$15,policy_name_clustering!$C$15,D438=policy_name_clustering!$A$16,policy_name_clustering!$C$16,D438="-","",D438=policy_name_clustering!$A$4,policy_name_clustering!$C$4)</f>
        <v/>
      </c>
      <c r="G438">
        <f>wind_cump_cap!C392</f>
        <v>534</v>
      </c>
      <c r="H438">
        <f>estimated_capacity!C380</f>
        <v>695.720434281444</v>
      </c>
      <c r="I438" cm="1">
        <f t="array" ref="I438">_xlfn.IFS(D438= ""," ",D438&lt;&gt; " ",F438*(G438/H438))</f>
        <v>0</v>
      </c>
      <c r="J438" cm="1">
        <f t="array" ref="J438">_xlfn.IFS(D438= ""," ",D438&lt;&gt; " ",(H438-F438)*(G438/H438))</f>
        <v>534</v>
      </c>
      <c r="K438" cm="1">
        <f t="array" ref="K438">IF(ISNUMBER(H438),_xlfn.IFS(D438= ""," ",D438&lt;&gt; " ",F438*(G438/H438)),"")</f>
        <v>0</v>
      </c>
    </row>
    <row r="439" spans="1:11" x14ac:dyDescent="0.35">
      <c r="A439" t="s">
        <v>34</v>
      </c>
      <c r="B439">
        <v>2020</v>
      </c>
      <c r="D439" t="s">
        <v>137</v>
      </c>
      <c r="E439" t="str" cm="1">
        <f t="array" ref="E439">_xlfn.IFS(D439=policy_name_clustering!$A$2,policy_name_clustering!$C$2,D439=policy_name_clustering!$A$3,policy_name_clustering!$C$3,D439=policy_name_clustering!$A$5,policy_name_clustering!$C$5,D439=policy_name_clustering!$A$6,policy_name_clustering!$C$6,D439=policy_name_clustering!$A$7,policy_name_clustering!$C$7,D439=policy_name_clustering!$A$8,policy_name_clustering!$C$8,D439=policy_name_clustering!$A$9,policy_name_clustering!$C$9,D439=policy_name_clustering!$A$10,policy_name_clustering!$C$10,D439=policy_name_clustering!$A$11,policy_name_clustering!$C$11,D439=policy_name_clustering!$A$12,policy_name_clustering!$C$12,D439=policy_name_clustering!$A$13,policy_name_clustering!$C$13,D439=policy_name_clustering!$A$14,policy_name_clustering!$C$14,D439=policy_name_clustering!$A$15,policy_name_clustering!$C$15,D439=policy_name_clustering!$A$16,policy_name_clustering!$C$16,D439="-","",D439=policy_name_clustering!$A$4,policy_name_clustering!$C$4)</f>
        <v/>
      </c>
      <c r="G439">
        <f>wind_cump_cap!C393</f>
        <v>540</v>
      </c>
      <c r="H439">
        <f>estimated_capacity!C381</f>
        <v>834.98863891049803</v>
      </c>
      <c r="I439" cm="1">
        <f t="array" ref="I439">_xlfn.IFS(D439= ""," ",D439&lt;&gt; " ",F439*(G439/H439))</f>
        <v>0</v>
      </c>
      <c r="J439" cm="1">
        <f t="array" ref="J439">_xlfn.IFS(D439= ""," ",D439&lt;&gt; " ",(H439-F439)*(G439/H439))</f>
        <v>540</v>
      </c>
      <c r="K439" cm="1">
        <f t="array" ref="K439">IF(ISNUMBER(H439),_xlfn.IFS(D439= ""," ",D439&lt;&gt; " ",F439*(G439/H439)),"")</f>
        <v>0</v>
      </c>
    </row>
    <row r="440" spans="1:11" x14ac:dyDescent="0.35">
      <c r="A440" t="s">
        <v>34</v>
      </c>
      <c r="B440">
        <v>2021</v>
      </c>
      <c r="D440" t="s">
        <v>137</v>
      </c>
      <c r="E440" t="str" cm="1">
        <f t="array" ref="E440">_xlfn.IFS(D440=policy_name_clustering!$A$2,policy_name_clustering!$C$2,D440=policy_name_clustering!$A$3,policy_name_clustering!$C$3,D440=policy_name_clustering!$A$5,policy_name_clustering!$C$5,D440=policy_name_clustering!$A$6,policy_name_clustering!$C$6,D440=policy_name_clustering!$A$7,policy_name_clustering!$C$7,D440=policy_name_clustering!$A$8,policy_name_clustering!$C$8,D440=policy_name_clustering!$A$9,policy_name_clustering!$C$9,D440=policy_name_clustering!$A$10,policy_name_clustering!$C$10,D440=policy_name_clustering!$A$11,policy_name_clustering!$C$11,D440=policy_name_clustering!$A$12,policy_name_clustering!$C$12,D440=policy_name_clustering!$A$13,policy_name_clustering!$C$13,D440=policy_name_clustering!$A$14,policy_name_clustering!$C$14,D440=policy_name_clustering!$A$15,policy_name_clustering!$C$15,D440=policy_name_clustering!$A$16,policy_name_clustering!$C$16,D440="-","",D440=policy_name_clustering!$A$4,policy_name_clustering!$C$4)</f>
        <v/>
      </c>
      <c r="G440">
        <f>wind_cump_cap!C394</f>
        <v>671</v>
      </c>
      <c r="H440">
        <f>estimated_capacity!C382</f>
        <v>990.28577162714396</v>
      </c>
      <c r="I440" cm="1">
        <f t="array" ref="I440">_xlfn.IFS(D440= ""," ",D440&lt;&gt; " ",F440*(G440/H440))</f>
        <v>0</v>
      </c>
      <c r="J440" cm="1">
        <f t="array" ref="J440">_xlfn.IFS(D440= ""," ",D440&lt;&gt; " ",(H440-F440)*(G440/H440))</f>
        <v>671</v>
      </c>
      <c r="K440" cm="1">
        <f t="array" ref="K440">IF(ISNUMBER(H440),_xlfn.IFS(D440= ""," ",D440&lt;&gt; " ",F440*(G440/H440)),"")</f>
        <v>0</v>
      </c>
    </row>
    <row r="441" spans="1:11" x14ac:dyDescent="0.35">
      <c r="A441" t="s">
        <v>34</v>
      </c>
      <c r="B441">
        <v>2022</v>
      </c>
      <c r="D441" t="s">
        <v>137</v>
      </c>
      <c r="E441" t="str" cm="1">
        <f t="array" ref="E441">_xlfn.IFS(D441=policy_name_clustering!$A$2,policy_name_clustering!$C$2,D441=policy_name_clustering!$A$3,policy_name_clustering!$C$3,D441=policy_name_clustering!$A$5,policy_name_clustering!$C$5,D441=policy_name_clustering!$A$6,policy_name_clustering!$C$6,D441=policy_name_clustering!$A$7,policy_name_clustering!$C$7,D441=policy_name_clustering!$A$8,policy_name_clustering!$C$8,D441=policy_name_clustering!$A$9,policy_name_clustering!$C$9,D441=policy_name_clustering!$A$10,policy_name_clustering!$C$10,D441=policy_name_clustering!$A$11,policy_name_clustering!$C$11,D441=policy_name_clustering!$A$12,policy_name_clustering!$C$12,D441=policy_name_clustering!$A$13,policy_name_clustering!$C$13,D441=policy_name_clustering!$A$14,policy_name_clustering!$C$14,D441=policy_name_clustering!$A$15,policy_name_clustering!$C$15,D441=policy_name_clustering!$A$16,policy_name_clustering!$C$16,D441="-","",D441=policy_name_clustering!$A$4,policy_name_clustering!$C$4)</f>
        <v/>
      </c>
      <c r="G441">
        <f>wind_cump_cap!C395</f>
        <v>946</v>
      </c>
      <c r="H441">
        <f>estimated_capacity!C383</f>
        <v>1169.8820458525299</v>
      </c>
      <c r="I441" cm="1">
        <f t="array" ref="I441">_xlfn.IFS(D441= ""," ",D441&lt;&gt; " ",F441*(G441/H441))</f>
        <v>0</v>
      </c>
      <c r="J441" cm="1">
        <f t="array" ref="J441">_xlfn.IFS(D441= ""," ",D441&lt;&gt; " ",(H441-F441)*(G441/H441))</f>
        <v>946</v>
      </c>
      <c r="K441" cm="1">
        <f t="array" ref="K441">IF(ISNUMBER(H441),_xlfn.IFS(D441= ""," ",D441&lt;&gt; " ",F441*(G441/H441)),"")</f>
        <v>0</v>
      </c>
    </row>
    <row r="442" spans="1:11" x14ac:dyDescent="0.35">
      <c r="A442" t="s">
        <v>34</v>
      </c>
      <c r="B442">
        <v>2023</v>
      </c>
      <c r="D442" t="s">
        <v>137</v>
      </c>
      <c r="E442" t="str" cm="1">
        <f t="array" ref="E442">_xlfn.IFS(D442=policy_name_clustering!$A$2,policy_name_clustering!$C$2,D442=policy_name_clustering!$A$3,policy_name_clustering!$C$3,D442=policy_name_clustering!$A$5,policy_name_clustering!$C$5,D442=policy_name_clustering!$A$6,policy_name_clustering!$C$6,D442=policy_name_clustering!$A$7,policy_name_clustering!$C$7,D442=policy_name_clustering!$A$8,policy_name_clustering!$C$8,D442=policy_name_clustering!$A$9,policy_name_clustering!$C$9,D442=policy_name_clustering!$A$10,policy_name_clustering!$C$10,D442=policy_name_clustering!$A$11,policy_name_clustering!$C$11,D442=policy_name_clustering!$A$12,policy_name_clustering!$C$12,D442=policy_name_clustering!$A$13,policy_name_clustering!$C$13,D442=policy_name_clustering!$A$14,policy_name_clustering!$C$14,D442=policy_name_clustering!$A$15,policy_name_clustering!$C$15,D442=policy_name_clustering!$A$16,policy_name_clustering!$C$16,D442="-","",D442=policy_name_clustering!$A$4,policy_name_clustering!$C$4)</f>
        <v/>
      </c>
      <c r="G442">
        <f>wind_cump_cap!C396</f>
        <v>1284</v>
      </c>
      <c r="H442">
        <f>estimated_capacity!C384</f>
        <v>1356.3521584100299</v>
      </c>
      <c r="I442" cm="1">
        <f t="array" ref="I442">_xlfn.IFS(D442= ""," ",D442&lt;&gt; " ",F442*(G442/H442))</f>
        <v>0</v>
      </c>
      <c r="J442" cm="1">
        <f t="array" ref="J442">_xlfn.IFS(D442= ""," ",D442&lt;&gt; " ",(H442-F442)*(G442/H442))</f>
        <v>1284</v>
      </c>
      <c r="K442" cm="1">
        <f t="array" ref="K442">IF(ISNUMBER(H442),_xlfn.IFS(D442= ""," ",D442&lt;&gt; " ",F442*(G442/H442)),"")</f>
        <v>0</v>
      </c>
    </row>
    <row r="443" spans="1:11" x14ac:dyDescent="0.35">
      <c r="A443" t="s">
        <v>27</v>
      </c>
      <c r="B443">
        <v>1991</v>
      </c>
      <c r="D443" t="s">
        <v>137</v>
      </c>
      <c r="E443" t="str" cm="1">
        <f t="array" ref="E443">_xlfn.IFS(D443=policy_name_clustering!$A$2,policy_name_clustering!$C$2,D443=policy_name_clustering!$A$3,policy_name_clustering!$C$3,D443=policy_name_clustering!$A$5,policy_name_clustering!$C$5,D443=policy_name_clustering!$A$6,policy_name_clustering!$C$6,D443=policy_name_clustering!$A$7,policy_name_clustering!$C$7,D443=policy_name_clustering!$A$8,policy_name_clustering!$C$8,D443=policy_name_clustering!$A$9,policy_name_clustering!$C$9,D443=policy_name_clustering!$A$10,policy_name_clustering!$C$10,D443=policy_name_clustering!$A$11,policy_name_clustering!$C$11,D443=policy_name_clustering!$A$12,policy_name_clustering!$C$12,D443=policy_name_clustering!$A$13,policy_name_clustering!$C$13,D443=policy_name_clustering!$A$14,policy_name_clustering!$C$14,D443=policy_name_clustering!$A$15,policy_name_clustering!$C$15,D443=policy_name_clustering!$A$16,policy_name_clustering!$C$16,D443="-","",D443=policy_name_clustering!$A$4,policy_name_clustering!$C$4)</f>
        <v/>
      </c>
      <c r="G443">
        <f>wind_cump_cap!C398</f>
        <v>83</v>
      </c>
      <c r="H443">
        <f>estimated_capacity!C385</f>
        <v>22.5710356604712</v>
      </c>
      <c r="I443" cm="1">
        <f t="array" ref="I443">_xlfn.IFS(D443= ""," ",D443&lt;&gt; " ",F443*(G443/H443))</f>
        <v>0</v>
      </c>
      <c r="J443" cm="1">
        <f t="array" ref="J443">_xlfn.IFS(D443= ""," ",D443&lt;&gt; " ",(H443-F443)*(G443/H443))</f>
        <v>83</v>
      </c>
      <c r="K443" cm="1">
        <f t="array" ref="K443">IF(ISNUMBER(H443),_xlfn.IFS(D443= ""," ",D443&lt;&gt; " ",F443*(G443/H443)),"")</f>
        <v>0</v>
      </c>
    </row>
    <row r="444" spans="1:11" x14ac:dyDescent="0.35">
      <c r="A444" t="s">
        <v>27</v>
      </c>
      <c r="B444">
        <v>1992</v>
      </c>
      <c r="D444" t="s">
        <v>137</v>
      </c>
      <c r="E444" t="str" cm="1">
        <f t="array" ref="E444">_xlfn.IFS(D444=policy_name_clustering!$A$2,policy_name_clustering!$C$2,D444=policy_name_clustering!$A$3,policy_name_clustering!$C$3,D444=policy_name_clustering!$A$5,policy_name_clustering!$C$5,D444=policy_name_clustering!$A$6,policy_name_clustering!$C$6,D444=policy_name_clustering!$A$7,policy_name_clustering!$C$7,D444=policy_name_clustering!$A$8,policy_name_clustering!$C$8,D444=policy_name_clustering!$A$9,policy_name_clustering!$C$9,D444=policy_name_clustering!$A$10,policy_name_clustering!$C$10,D444=policy_name_clustering!$A$11,policy_name_clustering!$C$11,D444=policy_name_clustering!$A$12,policy_name_clustering!$C$12,D444=policy_name_clustering!$A$13,policy_name_clustering!$C$13,D444=policy_name_clustering!$A$14,policy_name_clustering!$C$14,D444=policy_name_clustering!$A$15,policy_name_clustering!$C$15,D444=policy_name_clustering!$A$16,policy_name_clustering!$C$16,D444="-","",D444=policy_name_clustering!$A$4,policy_name_clustering!$C$4)</f>
        <v/>
      </c>
      <c r="G444">
        <f>wind_cump_cap!C399</f>
        <v>101</v>
      </c>
      <c r="H444">
        <f>estimated_capacity!C386</f>
        <v>48.968613949128397</v>
      </c>
      <c r="I444" cm="1">
        <f t="array" ref="I444">_xlfn.IFS(D444= ""," ",D444&lt;&gt; " ",F444*(G444/H444))</f>
        <v>0</v>
      </c>
      <c r="J444" cm="1">
        <f t="array" ref="J444">_xlfn.IFS(D444= ""," ",D444&lt;&gt; " ",(H444-F444)*(G444/H444))</f>
        <v>100.99999999999999</v>
      </c>
      <c r="K444" cm="1">
        <f t="array" ref="K444">IF(ISNUMBER(H444),_xlfn.IFS(D444= ""," ",D444&lt;&gt; " ",F444*(G444/H444)),"")</f>
        <v>0</v>
      </c>
    </row>
    <row r="445" spans="1:11" x14ac:dyDescent="0.35">
      <c r="A445" t="s">
        <v>27</v>
      </c>
      <c r="B445">
        <v>1993</v>
      </c>
      <c r="D445" t="s">
        <v>137</v>
      </c>
      <c r="E445" t="str" cm="1">
        <f t="array" ref="E445">_xlfn.IFS(D445=policy_name_clustering!$A$2,policy_name_clustering!$C$2,D445=policy_name_clustering!$A$3,policy_name_clustering!$C$3,D445=policy_name_clustering!$A$5,policy_name_clustering!$C$5,D445=policy_name_clustering!$A$6,policy_name_clustering!$C$6,D445=policy_name_clustering!$A$7,policy_name_clustering!$C$7,D445=policy_name_clustering!$A$8,policy_name_clustering!$C$8,D445=policy_name_clustering!$A$9,policy_name_clustering!$C$9,D445=policy_name_clustering!$A$10,policy_name_clustering!$C$10,D445=policy_name_clustering!$A$11,policy_name_clustering!$C$11,D445=policy_name_clustering!$A$12,policy_name_clustering!$C$12,D445=policy_name_clustering!$A$13,policy_name_clustering!$C$13,D445=policy_name_clustering!$A$14,policy_name_clustering!$C$14,D445=policy_name_clustering!$A$15,policy_name_clustering!$C$15,D445=policy_name_clustering!$A$16,policy_name_clustering!$C$16,D445="-","",D445=policy_name_clustering!$A$4,policy_name_clustering!$C$4)</f>
        <v/>
      </c>
      <c r="G445">
        <f>wind_cump_cap!C400</f>
        <v>131</v>
      </c>
      <c r="H445">
        <f>estimated_capacity!C387</f>
        <v>86.199609005528004</v>
      </c>
      <c r="I445" cm="1">
        <f t="array" ref="I445">_xlfn.IFS(D445= ""," ",D445&lt;&gt; " ",F445*(G445/H445))</f>
        <v>0</v>
      </c>
      <c r="J445" cm="1">
        <f t="array" ref="J445">_xlfn.IFS(D445= ""," ",D445&lt;&gt; " ",(H445-F445)*(G445/H445))</f>
        <v>131</v>
      </c>
      <c r="K445" cm="1">
        <f t="array" ref="K445">IF(ISNUMBER(H445),_xlfn.IFS(D445= ""," ",D445&lt;&gt; " ",F445*(G445/H445)),"")</f>
        <v>0</v>
      </c>
    </row>
    <row r="446" spans="1:11" x14ac:dyDescent="0.35">
      <c r="A446" t="s">
        <v>27</v>
      </c>
      <c r="B446">
        <v>1994</v>
      </c>
      <c r="D446" t="s">
        <v>137</v>
      </c>
      <c r="E446" t="str" cm="1">
        <f t="array" ref="E446">_xlfn.IFS(D446=policy_name_clustering!$A$2,policy_name_clustering!$C$2,D446=policy_name_clustering!$A$3,policy_name_clustering!$C$3,D446=policy_name_clustering!$A$5,policy_name_clustering!$C$5,D446=policy_name_clustering!$A$6,policy_name_clustering!$C$6,D446=policy_name_clustering!$A$7,policy_name_clustering!$C$7,D446=policy_name_clustering!$A$8,policy_name_clustering!$C$8,D446=policy_name_clustering!$A$9,policy_name_clustering!$C$9,D446=policy_name_clustering!$A$10,policy_name_clustering!$C$10,D446=policy_name_clustering!$A$11,policy_name_clustering!$C$11,D446=policy_name_clustering!$A$12,policy_name_clustering!$C$12,D446=policy_name_clustering!$A$13,policy_name_clustering!$C$13,D446=policy_name_clustering!$A$14,policy_name_clustering!$C$14,D446=policy_name_clustering!$A$15,policy_name_clustering!$C$15,D446=policy_name_clustering!$A$16,policy_name_clustering!$C$16,D446="-","",D446=policy_name_clustering!$A$4,policy_name_clustering!$C$4)</f>
        <v/>
      </c>
      <c r="G446">
        <f>wind_cump_cap!C401</f>
        <v>152</v>
      </c>
      <c r="H446">
        <f>estimated_capacity!C388</f>
        <v>128.31999958055201</v>
      </c>
      <c r="I446" cm="1">
        <f t="array" ref="I446">_xlfn.IFS(D446= ""," ",D446&lt;&gt; " ",F446*(G446/H446))</f>
        <v>0</v>
      </c>
      <c r="J446" cm="1">
        <f t="array" ref="J446">_xlfn.IFS(D446= ""," ",D446&lt;&gt; " ",(H446-F446)*(G446/H446))</f>
        <v>152</v>
      </c>
      <c r="K446" cm="1">
        <f t="array" ref="K446">IF(ISNUMBER(H446),_xlfn.IFS(D446= ""," ",D446&lt;&gt; " ",F446*(G446/H446)),"")</f>
        <v>0</v>
      </c>
    </row>
    <row r="447" spans="1:11" x14ac:dyDescent="0.35">
      <c r="A447" t="s">
        <v>27</v>
      </c>
      <c r="B447">
        <v>1995</v>
      </c>
      <c r="D447" t="s">
        <v>137</v>
      </c>
      <c r="E447" t="str" cm="1">
        <f t="array" ref="E447">_xlfn.IFS(D447=policy_name_clustering!$A$2,policy_name_clustering!$C$2,D447=policy_name_clustering!$A$3,policy_name_clustering!$C$3,D447=policy_name_clustering!$A$5,policy_name_clustering!$C$5,D447=policy_name_clustering!$A$6,policy_name_clustering!$C$6,D447=policy_name_clustering!$A$7,policy_name_clustering!$C$7,D447=policy_name_clustering!$A$8,policy_name_clustering!$C$8,D447=policy_name_clustering!$A$9,policy_name_clustering!$C$9,D447=policy_name_clustering!$A$10,policy_name_clustering!$C$10,D447=policy_name_clustering!$A$11,policy_name_clustering!$C$11,D447=policy_name_clustering!$A$12,policy_name_clustering!$C$12,D447=policy_name_clustering!$A$13,policy_name_clustering!$C$13,D447=policy_name_clustering!$A$14,policy_name_clustering!$C$14,D447=policy_name_clustering!$A$15,policy_name_clustering!$C$15,D447=policy_name_clustering!$A$16,policy_name_clustering!$C$16,D447="-","",D447=policy_name_clustering!$A$4,policy_name_clustering!$C$4)</f>
        <v/>
      </c>
      <c r="G447">
        <f>wind_cump_cap!C402</f>
        <v>250</v>
      </c>
      <c r="H447">
        <f>estimated_capacity!C389</f>
        <v>186.86115126949201</v>
      </c>
      <c r="I447" cm="1">
        <f t="array" ref="I447">_xlfn.IFS(D447= ""," ",D447&lt;&gt; " ",F447*(G447/H447))</f>
        <v>0</v>
      </c>
      <c r="J447" cm="1">
        <f t="array" ref="J447">_xlfn.IFS(D447= ""," ",D447&lt;&gt; " ",(H447-F447)*(G447/H447))</f>
        <v>250</v>
      </c>
      <c r="K447" cm="1">
        <f t="array" ref="K447">IF(ISNUMBER(H447),_xlfn.IFS(D447= ""," ",D447&lt;&gt; " ",F447*(G447/H447)),"")</f>
        <v>0</v>
      </c>
    </row>
    <row r="448" spans="1:11" x14ac:dyDescent="0.35">
      <c r="A448" t="s">
        <v>27</v>
      </c>
      <c r="B448">
        <v>1996</v>
      </c>
      <c r="D448" t="s">
        <v>137</v>
      </c>
      <c r="E448" t="str" cm="1">
        <f t="array" ref="E448">_xlfn.IFS(D448=policy_name_clustering!$A$2,policy_name_clustering!$C$2,D448=policy_name_clustering!$A$3,policy_name_clustering!$C$3,D448=policy_name_clustering!$A$5,policy_name_clustering!$C$5,D448=policy_name_clustering!$A$6,policy_name_clustering!$C$6,D448=policy_name_clustering!$A$7,policy_name_clustering!$C$7,D448=policy_name_clustering!$A$8,policy_name_clustering!$C$8,D448=policy_name_clustering!$A$9,policy_name_clustering!$C$9,D448=policy_name_clustering!$A$10,policy_name_clustering!$C$10,D448=policy_name_clustering!$A$11,policy_name_clustering!$C$11,D448=policy_name_clustering!$A$12,policy_name_clustering!$C$12,D448=policy_name_clustering!$A$13,policy_name_clustering!$C$13,D448=policy_name_clustering!$A$14,policy_name_clustering!$C$14,D448=policy_name_clustering!$A$15,policy_name_clustering!$C$15,D448=policy_name_clustering!$A$16,policy_name_clustering!$C$16,D448="-","",D448=policy_name_clustering!$A$4,policy_name_clustering!$C$4)</f>
        <v/>
      </c>
      <c r="G448">
        <f>wind_cump_cap!C403</f>
        <v>296</v>
      </c>
      <c r="H448">
        <f>estimated_capacity!C390</f>
        <v>257.98136047175097</v>
      </c>
      <c r="I448" cm="1">
        <f t="array" ref="I448">_xlfn.IFS(D448= ""," ",D448&lt;&gt; " ",F448*(G448/H448))</f>
        <v>0</v>
      </c>
      <c r="J448" cm="1">
        <f t="array" ref="J448">_xlfn.IFS(D448= ""," ",D448&lt;&gt; " ",(H448-F448)*(G448/H448))</f>
        <v>296</v>
      </c>
      <c r="K448" cm="1">
        <f t="array" ref="K448">IF(ISNUMBER(H448),_xlfn.IFS(D448= ""," ",D448&lt;&gt; " ",F448*(G448/H448)),"")</f>
        <v>0</v>
      </c>
    </row>
    <row r="449" spans="1:11" x14ac:dyDescent="0.35">
      <c r="A449" t="s">
        <v>27</v>
      </c>
      <c r="B449">
        <v>1997</v>
      </c>
      <c r="D449" t="s">
        <v>137</v>
      </c>
      <c r="E449" t="str" cm="1">
        <f t="array" ref="E449">_xlfn.IFS(D449=policy_name_clustering!$A$2,policy_name_clustering!$C$2,D449=policy_name_clustering!$A$3,policy_name_clustering!$C$3,D449=policy_name_clustering!$A$5,policy_name_clustering!$C$5,D449=policy_name_clustering!$A$6,policy_name_clustering!$C$6,D449=policy_name_clustering!$A$7,policy_name_clustering!$C$7,D449=policy_name_clustering!$A$8,policy_name_clustering!$C$8,D449=policy_name_clustering!$A$9,policy_name_clustering!$C$9,D449=policy_name_clustering!$A$10,policy_name_clustering!$C$10,D449=policy_name_clustering!$A$11,policy_name_clustering!$C$11,D449=policy_name_clustering!$A$12,policy_name_clustering!$C$12,D449=policy_name_clustering!$A$13,policy_name_clustering!$C$13,D449=policy_name_clustering!$A$14,policy_name_clustering!$C$14,D449=policy_name_clustering!$A$15,policy_name_clustering!$C$15,D449=policy_name_clustering!$A$16,policy_name_clustering!$C$16,D449="-","",D449=policy_name_clustering!$A$4,policy_name_clustering!$C$4)</f>
        <v/>
      </c>
      <c r="G449">
        <f>wind_cump_cap!C404</f>
        <v>325</v>
      </c>
      <c r="H449">
        <f>estimated_capacity!C391</f>
        <v>346.09027062372701</v>
      </c>
      <c r="I449" cm="1">
        <f t="array" ref="I449">_xlfn.IFS(D449= ""," ",D449&lt;&gt; " ",F449*(G449/H449))</f>
        <v>0</v>
      </c>
      <c r="J449" cm="1">
        <f t="array" ref="J449">_xlfn.IFS(D449= ""," ",D449&lt;&gt; " ",(H449-F449)*(G449/H449))</f>
        <v>325</v>
      </c>
      <c r="K449" cm="1">
        <f t="array" ref="K449">IF(ISNUMBER(H449),_xlfn.IFS(D449= ""," ",D449&lt;&gt; " ",F449*(G449/H449)),"")</f>
        <v>0</v>
      </c>
    </row>
    <row r="450" spans="1:11" x14ac:dyDescent="0.35">
      <c r="A450" t="s">
        <v>27</v>
      </c>
      <c r="B450">
        <v>1998</v>
      </c>
      <c r="D450" t="s">
        <v>137</v>
      </c>
      <c r="E450" t="str" cm="1">
        <f t="array" ref="E450">_xlfn.IFS(D450=policy_name_clustering!$A$2,policy_name_clustering!$C$2,D450=policy_name_clustering!$A$3,policy_name_clustering!$C$3,D450=policy_name_clustering!$A$5,policy_name_clustering!$C$5,D450=policy_name_clustering!$A$6,policy_name_clustering!$C$6,D450=policy_name_clustering!$A$7,policy_name_clustering!$C$7,D450=policy_name_clustering!$A$8,policy_name_clustering!$C$8,D450=policy_name_clustering!$A$9,policy_name_clustering!$C$9,D450=policy_name_clustering!$A$10,policy_name_clustering!$C$10,D450=policy_name_clustering!$A$11,policy_name_clustering!$C$11,D450=policy_name_clustering!$A$12,policy_name_clustering!$C$12,D450=policy_name_clustering!$A$13,policy_name_clustering!$C$13,D450=policy_name_clustering!$A$14,policy_name_clustering!$C$14,D450=policy_name_clustering!$A$15,policy_name_clustering!$C$15,D450=policy_name_clustering!$A$16,policy_name_clustering!$C$16,D450="-","",D450=policy_name_clustering!$A$4,policy_name_clustering!$C$4)</f>
        <v/>
      </c>
      <c r="G450">
        <f>wind_cump_cap!C405</f>
        <v>364</v>
      </c>
      <c r="H450">
        <f>estimated_capacity!C392</f>
        <v>438.86647486446299</v>
      </c>
      <c r="I450" cm="1">
        <f t="array" ref="I450">_xlfn.IFS(D450= ""," ",D450&lt;&gt; " ",F450*(G450/H450))</f>
        <v>0</v>
      </c>
      <c r="J450" cm="1">
        <f t="array" ref="J450">_xlfn.IFS(D450= ""," ",D450&lt;&gt; " ",(H450-F450)*(G450/H450))</f>
        <v>364</v>
      </c>
      <c r="K450" cm="1">
        <f t="array" ref="K450">IF(ISNUMBER(H450),_xlfn.IFS(D450= ""," ",D450&lt;&gt; " ",F450*(G450/H450)),"")</f>
        <v>0</v>
      </c>
    </row>
    <row r="451" spans="1:11" x14ac:dyDescent="0.35">
      <c r="A451" t="s">
        <v>27</v>
      </c>
      <c r="B451">
        <v>1999</v>
      </c>
      <c r="D451" t="s">
        <v>137</v>
      </c>
      <c r="E451" t="str" cm="1">
        <f t="array" ref="E451">_xlfn.IFS(D451=policy_name_clustering!$A$2,policy_name_clustering!$C$2,D451=policy_name_clustering!$A$3,policy_name_clustering!$C$3,D451=policy_name_clustering!$A$5,policy_name_clustering!$C$5,D451=policy_name_clustering!$A$6,policy_name_clustering!$C$6,D451=policy_name_clustering!$A$7,policy_name_clustering!$C$7,D451=policy_name_clustering!$A$8,policy_name_clustering!$C$8,D451=policy_name_clustering!$A$9,policy_name_clustering!$C$9,D451=policy_name_clustering!$A$10,policy_name_clustering!$C$10,D451=policy_name_clustering!$A$11,policy_name_clustering!$C$11,D451=policy_name_clustering!$A$12,policy_name_clustering!$C$12,D451=policy_name_clustering!$A$13,policy_name_clustering!$C$13,D451=policy_name_clustering!$A$14,policy_name_clustering!$C$14,D451=policy_name_clustering!$A$15,policy_name_clustering!$C$15,D451=policy_name_clustering!$A$16,policy_name_clustering!$C$16,D451="-","",D451=policy_name_clustering!$A$4,policy_name_clustering!$C$4)</f>
        <v/>
      </c>
      <c r="G451">
        <f>wind_cump_cap!C406</f>
        <v>411</v>
      </c>
      <c r="H451">
        <f>estimated_capacity!C393</f>
        <v>548.03647409610403</v>
      </c>
      <c r="I451" cm="1">
        <f t="array" ref="I451">_xlfn.IFS(D451= ""," ",D451&lt;&gt; " ",F451*(G451/H451))</f>
        <v>0</v>
      </c>
      <c r="J451" cm="1">
        <f t="array" ref="J451">_xlfn.IFS(D451= ""," ",D451&lt;&gt; " ",(H451-F451)*(G451/H451))</f>
        <v>411</v>
      </c>
      <c r="K451" cm="1">
        <f t="array" ref="K451">IF(ISNUMBER(H451),_xlfn.IFS(D451= ""," ",D451&lt;&gt; " ",F451*(G451/H451)),"")</f>
        <v>0</v>
      </c>
    </row>
    <row r="452" spans="1:11" x14ac:dyDescent="0.35">
      <c r="A452" t="s">
        <v>27</v>
      </c>
      <c r="B452">
        <v>2000</v>
      </c>
      <c r="D452" t="s">
        <v>137</v>
      </c>
      <c r="E452" t="str" cm="1">
        <f t="array" ref="E452">_xlfn.IFS(D452=policy_name_clustering!$A$2,policy_name_clustering!$C$2,D452=policy_name_clustering!$A$3,policy_name_clustering!$C$3,D452=policy_name_clustering!$A$5,policy_name_clustering!$C$5,D452=policy_name_clustering!$A$6,policy_name_clustering!$C$6,D452=policy_name_clustering!$A$7,policy_name_clustering!$C$7,D452=policy_name_clustering!$A$8,policy_name_clustering!$C$8,D452=policy_name_clustering!$A$9,policy_name_clustering!$C$9,D452=policy_name_clustering!$A$10,policy_name_clustering!$C$10,D452=policy_name_clustering!$A$11,policy_name_clustering!$C$11,D452=policy_name_clustering!$A$12,policy_name_clustering!$C$12,D452=policy_name_clustering!$A$13,policy_name_clustering!$C$13,D452=policy_name_clustering!$A$14,policy_name_clustering!$C$14,D452=policy_name_clustering!$A$15,policy_name_clustering!$C$15,D452=policy_name_clustering!$A$16,policy_name_clustering!$C$16,D452="-","",D452=policy_name_clustering!$A$4,policy_name_clustering!$C$4)</f>
        <v/>
      </c>
      <c r="G452">
        <f>wind_cump_cap!C407</f>
        <v>447</v>
      </c>
      <c r="H452">
        <f>estimated_capacity!C394</f>
        <v>659.85443773617999</v>
      </c>
      <c r="I452" cm="1">
        <f t="array" ref="I452">_xlfn.IFS(D452= ""," ",D452&lt;&gt; " ",F452*(G452/H452))</f>
        <v>0</v>
      </c>
      <c r="J452" cm="1">
        <f t="array" ref="J452">_xlfn.IFS(D452= ""," ",D452&lt;&gt; " ",(H452-F452)*(G452/H452))</f>
        <v>447</v>
      </c>
      <c r="K452" cm="1">
        <f t="array" ref="K452">IF(ISNUMBER(H452),_xlfn.IFS(D452= ""," ",D452&lt;&gt; " ",F452*(G452/H452)),"")</f>
        <v>0</v>
      </c>
    </row>
    <row r="453" spans="1:11" x14ac:dyDescent="0.35">
      <c r="A453" t="s">
        <v>27</v>
      </c>
      <c r="B453">
        <v>2001</v>
      </c>
      <c r="D453" t="s">
        <v>137</v>
      </c>
      <c r="E453" t="str" cm="1">
        <f t="array" ref="E453">_xlfn.IFS(D453=policy_name_clustering!$A$2,policy_name_clustering!$C$2,D453=policy_name_clustering!$A$3,policy_name_clustering!$C$3,D453=policy_name_clustering!$A$5,policy_name_clustering!$C$5,D453=policy_name_clustering!$A$6,policy_name_clustering!$C$6,D453=policy_name_clustering!$A$7,policy_name_clustering!$C$7,D453=policy_name_clustering!$A$8,policy_name_clustering!$C$8,D453=policy_name_clustering!$A$9,policy_name_clustering!$C$9,D453=policy_name_clustering!$A$10,policy_name_clustering!$C$10,D453=policy_name_clustering!$A$11,policy_name_clustering!$C$11,D453=policy_name_clustering!$A$12,policy_name_clustering!$C$12,D453=policy_name_clustering!$A$13,policy_name_clustering!$C$13,D453=policy_name_clustering!$A$14,policy_name_clustering!$C$14,D453=policy_name_clustering!$A$15,policy_name_clustering!$C$15,D453=policy_name_clustering!$A$16,policy_name_clustering!$C$16,D453="-","",D453=policy_name_clustering!$A$4,policy_name_clustering!$C$4)</f>
        <v/>
      </c>
      <c r="G453">
        <f>wind_cump_cap!C408</f>
        <v>486</v>
      </c>
      <c r="H453">
        <f>estimated_capacity!C395</f>
        <v>790.75724988709396</v>
      </c>
      <c r="I453" cm="1">
        <f t="array" ref="I453">_xlfn.IFS(D453= ""," ",D453&lt;&gt; " ",F453*(G453/H453))</f>
        <v>0</v>
      </c>
      <c r="J453" cm="1">
        <f t="array" ref="J453">_xlfn.IFS(D453= ""," ",D453&lt;&gt; " ",(H453-F453)*(G453/H453))</f>
        <v>486.00000000000006</v>
      </c>
      <c r="K453" cm="1">
        <f t="array" ref="K453">IF(ISNUMBER(H453),_xlfn.IFS(D453= ""," ",D453&lt;&gt; " ",F453*(G453/H453)),"")</f>
        <v>0</v>
      </c>
    </row>
    <row r="454" spans="1:11" x14ac:dyDescent="0.35">
      <c r="A454" t="s">
        <v>27</v>
      </c>
      <c r="B454">
        <v>2002</v>
      </c>
      <c r="D454" t="s">
        <v>137</v>
      </c>
      <c r="E454" t="str" cm="1">
        <f t="array" ref="E454">_xlfn.IFS(D454=policy_name_clustering!$A$2,policy_name_clustering!$C$2,D454=policy_name_clustering!$A$3,policy_name_clustering!$C$3,D454=policy_name_clustering!$A$5,policy_name_clustering!$C$5,D454=policy_name_clustering!$A$6,policy_name_clustering!$C$6,D454=policy_name_clustering!$A$7,policy_name_clustering!$C$7,D454=policy_name_clustering!$A$8,policy_name_clustering!$C$8,D454=policy_name_clustering!$A$9,policy_name_clustering!$C$9,D454=policy_name_clustering!$A$10,policy_name_clustering!$C$10,D454=policy_name_clustering!$A$11,policy_name_clustering!$C$11,D454=policy_name_clustering!$A$12,policy_name_clustering!$C$12,D454=policy_name_clustering!$A$13,policy_name_clustering!$C$13,D454=policy_name_clustering!$A$14,policy_name_clustering!$C$14,D454=policy_name_clustering!$A$15,policy_name_clustering!$C$15,D454=policy_name_clustering!$A$16,policy_name_clustering!$C$16,D454="-","",D454=policy_name_clustering!$A$4,policy_name_clustering!$C$4)</f>
        <v/>
      </c>
      <c r="G454">
        <f>wind_cump_cap!C409</f>
        <v>672</v>
      </c>
      <c r="H454">
        <f>estimated_capacity!C396</f>
        <v>924.65594105806701</v>
      </c>
      <c r="I454" cm="1">
        <f t="array" ref="I454">_xlfn.IFS(D454= ""," ",D454&lt;&gt; " ",F454*(G454/H454))</f>
        <v>0</v>
      </c>
      <c r="J454" cm="1">
        <f t="array" ref="J454">_xlfn.IFS(D454= ""," ",D454&lt;&gt; " ",(H454-F454)*(G454/H454))</f>
        <v>672</v>
      </c>
      <c r="K454" cm="1">
        <f t="array" ref="K454">IF(ISNUMBER(H454),_xlfn.IFS(D454= ""," ",D454&lt;&gt; " ",F454*(G454/H454)),"")</f>
        <v>0</v>
      </c>
    </row>
    <row r="455" spans="1:11" x14ac:dyDescent="0.35">
      <c r="A455" t="s">
        <v>27</v>
      </c>
      <c r="B455">
        <v>2003</v>
      </c>
      <c r="D455" t="s">
        <v>137</v>
      </c>
      <c r="E455" t="str" cm="1">
        <f t="array" ref="E455">_xlfn.IFS(D455=policy_name_clustering!$A$2,policy_name_clustering!$C$2,D455=policy_name_clustering!$A$3,policy_name_clustering!$C$3,D455=policy_name_clustering!$A$5,policy_name_clustering!$C$5,D455=policy_name_clustering!$A$6,policy_name_clustering!$C$6,D455=policy_name_clustering!$A$7,policy_name_clustering!$C$7,D455=policy_name_clustering!$A$8,policy_name_clustering!$C$8,D455=policy_name_clustering!$A$9,policy_name_clustering!$C$9,D455=policy_name_clustering!$A$10,policy_name_clustering!$C$10,D455=policy_name_clustering!$A$11,policy_name_clustering!$C$11,D455=policy_name_clustering!$A$12,policy_name_clustering!$C$12,D455=policy_name_clustering!$A$13,policy_name_clustering!$C$13,D455=policy_name_clustering!$A$14,policy_name_clustering!$C$14,D455=policy_name_clustering!$A$15,policy_name_clustering!$C$15,D455=policy_name_clustering!$A$16,policy_name_clustering!$C$16,D455="-","",D455=policy_name_clustering!$A$4,policy_name_clustering!$C$4)</f>
        <v/>
      </c>
      <c r="G455">
        <f>wind_cump_cap!C410</f>
        <v>905</v>
      </c>
      <c r="H455">
        <f>estimated_capacity!C397</f>
        <v>1081.3237085498499</v>
      </c>
      <c r="I455" cm="1">
        <f t="array" ref="I455">_xlfn.IFS(D455= ""," ",D455&lt;&gt; " ",F455*(G455/H455))</f>
        <v>0</v>
      </c>
      <c r="J455" cm="1">
        <f t="array" ref="J455">_xlfn.IFS(D455= ""," ",D455&lt;&gt; " ",(H455-F455)*(G455/H455))</f>
        <v>905</v>
      </c>
      <c r="K455" cm="1">
        <f t="array" ref="K455">IF(ISNUMBER(H455),_xlfn.IFS(D455= ""," ",D455&lt;&gt; " ",F455*(G455/H455)),"")</f>
        <v>0</v>
      </c>
    </row>
    <row r="456" spans="1:11" x14ac:dyDescent="0.35">
      <c r="A456" t="s">
        <v>27</v>
      </c>
      <c r="B456">
        <v>2004</v>
      </c>
      <c r="D456" t="s">
        <v>137</v>
      </c>
      <c r="E456" t="str" cm="1">
        <f t="array" ref="E456">_xlfn.IFS(D456=policy_name_clustering!$A$2,policy_name_clustering!$C$2,D456=policy_name_clustering!$A$3,policy_name_clustering!$C$3,D456=policy_name_clustering!$A$5,policy_name_clustering!$C$5,D456=policy_name_clustering!$A$6,policy_name_clustering!$C$6,D456=policy_name_clustering!$A$7,policy_name_clustering!$C$7,D456=policy_name_clustering!$A$8,policy_name_clustering!$C$8,D456=policy_name_clustering!$A$9,policy_name_clustering!$C$9,D456=policy_name_clustering!$A$10,policy_name_clustering!$C$10,D456=policy_name_clustering!$A$11,policy_name_clustering!$C$11,D456=policy_name_clustering!$A$12,policy_name_clustering!$C$12,D456=policy_name_clustering!$A$13,policy_name_clustering!$C$13,D456=policy_name_clustering!$A$14,policy_name_clustering!$C$14,D456=policy_name_clustering!$A$15,policy_name_clustering!$C$15,D456=policy_name_clustering!$A$16,policy_name_clustering!$C$16,D456="-","",D456=policy_name_clustering!$A$4,policy_name_clustering!$C$4)</f>
        <v/>
      </c>
      <c r="G456">
        <f>wind_cump_cap!C411</f>
        <v>1075</v>
      </c>
      <c r="H456">
        <f>estimated_capacity!C398</f>
        <v>1234.06024289024</v>
      </c>
      <c r="I456" cm="1">
        <f t="array" ref="I456">_xlfn.IFS(D456= ""," ",D456&lt;&gt; " ",F456*(G456/H456))</f>
        <v>0</v>
      </c>
      <c r="J456" cm="1">
        <f t="array" ref="J456">_xlfn.IFS(D456= ""," ",D456&lt;&gt; " ",(H456-F456)*(G456/H456))</f>
        <v>1075</v>
      </c>
      <c r="K456" cm="1">
        <f t="array" ref="K456">IF(ISNUMBER(H456),_xlfn.IFS(D456= ""," ",D456&lt;&gt; " ",F456*(G456/H456)),"")</f>
        <v>0</v>
      </c>
    </row>
    <row r="457" spans="1:11" x14ac:dyDescent="0.35">
      <c r="A457" t="s">
        <v>27</v>
      </c>
      <c r="B457">
        <v>2005</v>
      </c>
      <c r="D457" t="s">
        <v>137</v>
      </c>
      <c r="E457" t="str" cm="1">
        <f t="array" ref="E457">_xlfn.IFS(D457=policy_name_clustering!$A$2,policy_name_clustering!$C$2,D457=policy_name_clustering!$A$3,policy_name_clustering!$C$3,D457=policy_name_clustering!$A$5,policy_name_clustering!$C$5,D457=policy_name_clustering!$A$6,policy_name_clustering!$C$6,D457=policy_name_clustering!$A$7,policy_name_clustering!$C$7,D457=policy_name_clustering!$A$8,policy_name_clustering!$C$8,D457=policy_name_clustering!$A$9,policy_name_clustering!$C$9,D457=policy_name_clustering!$A$10,policy_name_clustering!$C$10,D457=policy_name_clustering!$A$11,policy_name_clustering!$C$11,D457=policy_name_clustering!$A$12,policy_name_clustering!$C$12,D457=policy_name_clustering!$A$13,policy_name_clustering!$C$13,D457=policy_name_clustering!$A$14,policy_name_clustering!$C$14,D457=policy_name_clustering!$A$15,policy_name_clustering!$C$15,D457=policy_name_clustering!$A$16,policy_name_clustering!$C$16,D457="-","",D457=policy_name_clustering!$A$4,policy_name_clustering!$C$4)</f>
        <v/>
      </c>
      <c r="G457">
        <f>wind_cump_cap!C412</f>
        <v>1224</v>
      </c>
      <c r="H457">
        <f>estimated_capacity!C399</f>
        <v>1411.65032063783</v>
      </c>
      <c r="I457" cm="1">
        <f t="array" ref="I457">_xlfn.IFS(D457= ""," ",D457&lt;&gt; " ",F457*(G457/H457))</f>
        <v>0</v>
      </c>
      <c r="J457" cm="1">
        <f t="array" ref="J457">_xlfn.IFS(D457= ""," ",D457&lt;&gt; " ",(H457-F457)*(G457/H457))</f>
        <v>1224</v>
      </c>
      <c r="K457" cm="1">
        <f t="array" ref="K457">IF(ISNUMBER(H457),_xlfn.IFS(D457= ""," ",D457&lt;&gt; " ",F457*(G457/H457)),"")</f>
        <v>0</v>
      </c>
    </row>
    <row r="458" spans="1:11" x14ac:dyDescent="0.35">
      <c r="A458" t="s">
        <v>27</v>
      </c>
      <c r="B458">
        <v>2006</v>
      </c>
      <c r="D458" t="s">
        <v>137</v>
      </c>
      <c r="E458" t="str" cm="1">
        <f t="array" ref="E458">_xlfn.IFS(D458=policy_name_clustering!$A$2,policy_name_clustering!$C$2,D458=policy_name_clustering!$A$3,policy_name_clustering!$C$3,D458=policy_name_clustering!$A$5,policy_name_clustering!$C$5,D458=policy_name_clustering!$A$6,policy_name_clustering!$C$6,D458=policy_name_clustering!$A$7,policy_name_clustering!$C$7,D458=policy_name_clustering!$A$8,policy_name_clustering!$C$8,D458=policy_name_clustering!$A$9,policy_name_clustering!$C$9,D458=policy_name_clustering!$A$10,policy_name_clustering!$C$10,D458=policy_name_clustering!$A$11,policy_name_clustering!$C$11,D458=policy_name_clustering!$A$12,policy_name_clustering!$C$12,D458=policy_name_clustering!$A$13,policy_name_clustering!$C$13,D458=policy_name_clustering!$A$14,policy_name_clustering!$C$14,D458=policy_name_clustering!$A$15,policy_name_clustering!$C$15,D458=policy_name_clustering!$A$16,policy_name_clustering!$C$16,D458="-","",D458=policy_name_clustering!$A$4,policy_name_clustering!$C$4)</f>
        <v/>
      </c>
      <c r="G458">
        <f>wind_cump_cap!C413</f>
        <v>1561</v>
      </c>
      <c r="H458">
        <f>estimated_capacity!C400</f>
        <v>1578.44120322957</v>
      </c>
      <c r="I458" cm="1">
        <f t="array" ref="I458">_xlfn.IFS(D458= ""," ",D458&lt;&gt; " ",F458*(G458/H458))</f>
        <v>0</v>
      </c>
      <c r="J458" cm="1">
        <f t="array" ref="J458">_xlfn.IFS(D458= ""," ",D458&lt;&gt; " ",(H458-F458)*(G458/H458))</f>
        <v>1561</v>
      </c>
      <c r="K458" cm="1">
        <f t="array" ref="K458">IF(ISNUMBER(H458),_xlfn.IFS(D458= ""," ",D458&lt;&gt; " ",F458*(G458/H458)),"")</f>
        <v>0</v>
      </c>
    </row>
    <row r="459" spans="1:11" x14ac:dyDescent="0.35">
      <c r="A459" t="s">
        <v>27</v>
      </c>
      <c r="B459">
        <v>2007</v>
      </c>
      <c r="D459" t="s">
        <v>137</v>
      </c>
      <c r="E459" t="str" cm="1">
        <f t="array" ref="E459">_xlfn.IFS(D459=policy_name_clustering!$A$2,policy_name_clustering!$C$2,D459=policy_name_clustering!$A$3,policy_name_clustering!$C$3,D459=policy_name_clustering!$A$5,policy_name_clustering!$C$5,D459=policy_name_clustering!$A$6,policy_name_clustering!$C$6,D459=policy_name_clustering!$A$7,policy_name_clustering!$C$7,D459=policy_name_clustering!$A$8,policy_name_clustering!$C$8,D459=policy_name_clustering!$A$9,policy_name_clustering!$C$9,D459=policy_name_clustering!$A$10,policy_name_clustering!$C$10,D459=policy_name_clustering!$A$11,policy_name_clustering!$C$11,D459=policy_name_clustering!$A$12,policy_name_clustering!$C$12,D459=policy_name_clustering!$A$13,policy_name_clustering!$C$13,D459=policy_name_clustering!$A$14,policy_name_clustering!$C$14,D459=policy_name_clustering!$A$15,policy_name_clustering!$C$15,D459=policy_name_clustering!$A$16,policy_name_clustering!$C$16,D459="-","",D459=policy_name_clustering!$A$4,policy_name_clustering!$C$4)</f>
        <v/>
      </c>
      <c r="G459">
        <f>wind_cump_cap!C414</f>
        <v>1749</v>
      </c>
      <c r="H459">
        <f>estimated_capacity!C401</f>
        <v>1739.2001248657</v>
      </c>
      <c r="I459" cm="1">
        <f t="array" ref="I459">_xlfn.IFS(D459= ""," ",D459&lt;&gt; " ",F459*(G459/H459))</f>
        <v>0</v>
      </c>
      <c r="J459" cm="1">
        <f t="array" ref="J459">_xlfn.IFS(D459= ""," ",D459&lt;&gt; " ",(H459-F459)*(G459/H459))</f>
        <v>1749.0000000000002</v>
      </c>
      <c r="K459" cm="1">
        <f t="array" ref="K459">IF(ISNUMBER(H459),_xlfn.IFS(D459= ""," ",D459&lt;&gt; " ",F459*(G459/H459)),"")</f>
        <v>0</v>
      </c>
    </row>
    <row r="460" spans="1:11" x14ac:dyDescent="0.35">
      <c r="A460" t="s">
        <v>27</v>
      </c>
      <c r="B460">
        <v>2008</v>
      </c>
      <c r="D460" t="s">
        <v>137</v>
      </c>
      <c r="E460" t="str" cm="1">
        <f t="array" ref="E460">_xlfn.IFS(D460=policy_name_clustering!$A$2,policy_name_clustering!$C$2,D460=policy_name_clustering!$A$3,policy_name_clustering!$C$3,D460=policy_name_clustering!$A$5,policy_name_clustering!$C$5,D460=policy_name_clustering!$A$6,policy_name_clustering!$C$6,D460=policy_name_clustering!$A$7,policy_name_clustering!$C$7,D460=policy_name_clustering!$A$8,policy_name_clustering!$C$8,D460=policy_name_clustering!$A$9,policy_name_clustering!$C$9,D460=policy_name_clustering!$A$10,policy_name_clustering!$C$10,D460=policy_name_clustering!$A$11,policy_name_clustering!$C$11,D460=policy_name_clustering!$A$12,policy_name_clustering!$C$12,D460=policy_name_clustering!$A$13,policy_name_clustering!$C$13,D460=policy_name_clustering!$A$14,policy_name_clustering!$C$14,D460=policy_name_clustering!$A$15,policy_name_clustering!$C$15,D460=policy_name_clustering!$A$16,policy_name_clustering!$C$16,D460="-","",D460=policy_name_clustering!$A$4,policy_name_clustering!$C$4)</f>
        <v/>
      </c>
      <c r="G460">
        <f>wind_cump_cap!C415</f>
        <v>2149</v>
      </c>
      <c r="H460">
        <f>estimated_capacity!C402</f>
        <v>1884.24265883102</v>
      </c>
      <c r="I460" cm="1">
        <f t="array" ref="I460">_xlfn.IFS(D460= ""," ",D460&lt;&gt; " ",F460*(G460/H460))</f>
        <v>0</v>
      </c>
      <c r="J460" cm="1">
        <f t="array" ref="J460">_xlfn.IFS(D460= ""," ",D460&lt;&gt; " ",(H460-F460)*(G460/H460))</f>
        <v>2149</v>
      </c>
      <c r="K460" cm="1">
        <f t="array" ref="K460">IF(ISNUMBER(H460),_xlfn.IFS(D460= ""," ",D460&lt;&gt; " ",F460*(G460/H460)),"")</f>
        <v>0</v>
      </c>
    </row>
    <row r="461" spans="1:11" x14ac:dyDescent="0.35">
      <c r="A461" t="s">
        <v>27</v>
      </c>
      <c r="B461">
        <v>2009</v>
      </c>
      <c r="D461" t="s">
        <v>137</v>
      </c>
      <c r="E461" t="str" cm="1">
        <f t="array" ref="E461">_xlfn.IFS(D461=policy_name_clustering!$A$2,policy_name_clustering!$C$2,D461=policy_name_clustering!$A$3,policy_name_clustering!$C$3,D461=policy_name_clustering!$A$5,policy_name_clustering!$C$5,D461=policy_name_clustering!$A$6,policy_name_clustering!$C$6,D461=policy_name_clustering!$A$7,policy_name_clustering!$C$7,D461=policy_name_clustering!$A$8,policy_name_clustering!$C$8,D461=policy_name_clustering!$A$9,policy_name_clustering!$C$9,D461=policy_name_clustering!$A$10,policy_name_clustering!$C$10,D461=policy_name_clustering!$A$11,policy_name_clustering!$C$11,D461=policy_name_clustering!$A$12,policy_name_clustering!$C$12,D461=policy_name_clustering!$A$13,policy_name_clustering!$C$13,D461=policy_name_clustering!$A$14,policy_name_clustering!$C$14,D461=policy_name_clustering!$A$15,policy_name_clustering!$C$15,D461=policy_name_clustering!$A$16,policy_name_clustering!$C$16,D461="-","",D461=policy_name_clustering!$A$4,policy_name_clustering!$C$4)</f>
        <v/>
      </c>
      <c r="G461">
        <f>wind_cump_cap!C416</f>
        <v>2222</v>
      </c>
      <c r="H461">
        <f>estimated_capacity!C403</f>
        <v>2026.85246173323</v>
      </c>
      <c r="I461" cm="1">
        <f t="array" ref="I461">_xlfn.IFS(D461= ""," ",D461&lt;&gt; " ",F461*(G461/H461))</f>
        <v>0</v>
      </c>
      <c r="J461" cm="1">
        <f t="array" ref="J461">_xlfn.IFS(D461= ""," ",D461&lt;&gt; " ",(H461-F461)*(G461/H461))</f>
        <v>2222</v>
      </c>
      <c r="K461" cm="1">
        <f t="array" ref="K461">IF(ISNUMBER(H461),_xlfn.IFS(D461= ""," ",D461&lt;&gt; " ",F461*(G461/H461)),"")</f>
        <v>0</v>
      </c>
    </row>
    <row r="462" spans="1:11" x14ac:dyDescent="0.35">
      <c r="A462" t="s">
        <v>27</v>
      </c>
      <c r="B462">
        <v>2010</v>
      </c>
      <c r="D462" t="s">
        <v>137</v>
      </c>
      <c r="E462" t="str" cm="1">
        <f t="array" ref="E462">_xlfn.IFS(D462=policy_name_clustering!$A$2,policy_name_clustering!$C$2,D462=policy_name_clustering!$A$3,policy_name_clustering!$C$3,D462=policy_name_clustering!$A$5,policy_name_clustering!$C$5,D462=policy_name_clustering!$A$6,policy_name_clustering!$C$6,D462=policy_name_clustering!$A$7,policy_name_clustering!$C$7,D462=policy_name_clustering!$A$8,policy_name_clustering!$C$8,D462=policy_name_clustering!$A$9,policy_name_clustering!$C$9,D462=policy_name_clustering!$A$10,policy_name_clustering!$C$10,D462=policy_name_clustering!$A$11,policy_name_clustering!$C$11,D462=policy_name_clustering!$A$12,policy_name_clustering!$C$12,D462=policy_name_clustering!$A$13,policy_name_clustering!$C$13,D462=policy_name_clustering!$A$14,policy_name_clustering!$C$14,D462=policy_name_clustering!$A$15,policy_name_clustering!$C$15,D462=policy_name_clustering!$A$16,policy_name_clustering!$C$16,D462="-","",D462=policy_name_clustering!$A$4,policy_name_clustering!$C$4)</f>
        <v/>
      </c>
      <c r="G462">
        <f>wind_cump_cap!C417</f>
        <v>2237</v>
      </c>
      <c r="H462">
        <f>estimated_capacity!C404</f>
        <v>2191.8881665854001</v>
      </c>
      <c r="I462" cm="1">
        <f t="array" ref="I462">_xlfn.IFS(D462= ""," ",D462&lt;&gt; " ",F462*(G462/H462))</f>
        <v>0</v>
      </c>
      <c r="J462" cm="1">
        <f t="array" ref="J462">_xlfn.IFS(D462= ""," ",D462&lt;&gt; " ",(H462-F462)*(G462/H462))</f>
        <v>2237</v>
      </c>
      <c r="K462" cm="1">
        <f t="array" ref="K462">IF(ISNUMBER(H462),_xlfn.IFS(D462= ""," ",D462&lt;&gt; " ",F462*(G462/H462)),"")</f>
        <v>0</v>
      </c>
    </row>
    <row r="463" spans="1:11" x14ac:dyDescent="0.35">
      <c r="A463" t="s">
        <v>27</v>
      </c>
      <c r="B463">
        <v>2011</v>
      </c>
      <c r="D463" t="s">
        <v>137</v>
      </c>
      <c r="E463" t="str" cm="1">
        <f t="array" ref="E463">_xlfn.IFS(D463=policy_name_clustering!$A$2,policy_name_clustering!$C$2,D463=policy_name_clustering!$A$3,policy_name_clustering!$C$3,D463=policy_name_clustering!$A$5,policy_name_clustering!$C$5,D463=policy_name_clustering!$A$6,policy_name_clustering!$C$6,D463=policy_name_clustering!$A$7,policy_name_clustering!$C$7,D463=policy_name_clustering!$A$8,policy_name_clustering!$C$8,D463=policy_name_clustering!$A$9,policy_name_clustering!$C$9,D463=policy_name_clustering!$A$10,policy_name_clustering!$C$10,D463=policy_name_clustering!$A$11,policy_name_clustering!$C$11,D463=policy_name_clustering!$A$12,policy_name_clustering!$C$12,D463=policy_name_clustering!$A$13,policy_name_clustering!$C$13,D463=policy_name_clustering!$A$14,policy_name_clustering!$C$14,D463=policy_name_clustering!$A$15,policy_name_clustering!$C$15,D463=policy_name_clustering!$A$16,policy_name_clustering!$C$16,D463="-","",D463=policy_name_clustering!$A$4,policy_name_clustering!$C$4)</f>
        <v/>
      </c>
      <c r="G463">
        <f>wind_cump_cap!C418</f>
        <v>2316</v>
      </c>
      <c r="H463">
        <f>estimated_capacity!C405</f>
        <v>2360.4936006922399</v>
      </c>
      <c r="I463" cm="1">
        <f t="array" ref="I463">_xlfn.IFS(D463= ""," ",D463&lt;&gt; " ",F463*(G463/H463))</f>
        <v>0</v>
      </c>
      <c r="J463" cm="1">
        <f t="array" ref="J463">_xlfn.IFS(D463= ""," ",D463&lt;&gt; " ",(H463-F463)*(G463/H463))</f>
        <v>2316</v>
      </c>
      <c r="K463" cm="1">
        <f t="array" ref="K463">IF(ISNUMBER(H463),_xlfn.IFS(D463= ""," ",D463&lt;&gt; " ",F463*(G463/H463)),"")</f>
        <v>0</v>
      </c>
    </row>
    <row r="464" spans="1:11" x14ac:dyDescent="0.35">
      <c r="A464" t="s">
        <v>27</v>
      </c>
      <c r="B464">
        <v>2012</v>
      </c>
      <c r="D464" t="s">
        <v>137</v>
      </c>
      <c r="E464" t="str" cm="1">
        <f t="array" ref="E464">_xlfn.IFS(D464=policy_name_clustering!$A$2,policy_name_clustering!$C$2,D464=policy_name_clustering!$A$3,policy_name_clustering!$C$3,D464=policy_name_clustering!$A$5,policy_name_clustering!$C$5,D464=policy_name_clustering!$A$6,policy_name_clustering!$C$6,D464=policy_name_clustering!$A$7,policy_name_clustering!$C$7,D464=policy_name_clustering!$A$8,policy_name_clustering!$C$8,D464=policy_name_clustering!$A$9,policy_name_clustering!$C$9,D464=policy_name_clustering!$A$10,policy_name_clustering!$C$10,D464=policy_name_clustering!$A$11,policy_name_clustering!$C$11,D464=policy_name_clustering!$A$12,policy_name_clustering!$C$12,D464=policy_name_clustering!$A$13,policy_name_clustering!$C$13,D464=policy_name_clustering!$A$14,policy_name_clustering!$C$14,D464=policy_name_clustering!$A$15,policy_name_clustering!$C$15,D464=policy_name_clustering!$A$16,policy_name_clustering!$C$16,D464="-","",D464=policy_name_clustering!$A$4,policy_name_clustering!$C$4)</f>
        <v/>
      </c>
      <c r="G464">
        <f>wind_cump_cap!C419</f>
        <v>2433</v>
      </c>
      <c r="H464">
        <f>estimated_capacity!C406</f>
        <v>2564.6889523354998</v>
      </c>
      <c r="I464" cm="1">
        <f t="array" ref="I464">_xlfn.IFS(D464= ""," ",D464&lt;&gt; " ",F464*(G464/H464))</f>
        <v>0</v>
      </c>
      <c r="J464" cm="1">
        <f t="array" ref="J464">_xlfn.IFS(D464= ""," ",D464&lt;&gt; " ",(H464-F464)*(G464/H464))</f>
        <v>2433</v>
      </c>
      <c r="K464" cm="1">
        <f t="array" ref="K464">IF(ISNUMBER(H464),_xlfn.IFS(D464= ""," ",D464&lt;&gt; " ",F464*(G464/H464)),"")</f>
        <v>0</v>
      </c>
    </row>
    <row r="465" spans="1:11" x14ac:dyDescent="0.35">
      <c r="A465" t="s">
        <v>27</v>
      </c>
      <c r="B465">
        <v>2013</v>
      </c>
      <c r="D465" t="s">
        <v>137</v>
      </c>
      <c r="E465" t="str" cm="1">
        <f t="array" ref="E465">_xlfn.IFS(D465=policy_name_clustering!$A$2,policy_name_clustering!$C$2,D465=policy_name_clustering!$A$3,policy_name_clustering!$C$3,D465=policy_name_clustering!$A$5,policy_name_clustering!$C$5,D465=policy_name_clustering!$A$6,policy_name_clustering!$C$6,D465=policy_name_clustering!$A$7,policy_name_clustering!$C$7,D465=policy_name_clustering!$A$8,policy_name_clustering!$C$8,D465=policy_name_clustering!$A$9,policy_name_clustering!$C$9,D465=policy_name_clustering!$A$10,policy_name_clustering!$C$10,D465=policy_name_clustering!$A$11,policy_name_clustering!$C$11,D465=policy_name_clustering!$A$12,policy_name_clustering!$C$12,D465=policy_name_clustering!$A$13,policy_name_clustering!$C$13,D465=policy_name_clustering!$A$14,policy_name_clustering!$C$14,D465=policy_name_clustering!$A$15,policy_name_clustering!$C$15,D465=policy_name_clustering!$A$16,policy_name_clustering!$C$16,D465="-","",D465=policy_name_clustering!$A$4,policy_name_clustering!$C$4)</f>
        <v/>
      </c>
      <c r="G465">
        <f>wind_cump_cap!C420</f>
        <v>2713</v>
      </c>
      <c r="H465">
        <f>estimated_capacity!C407</f>
        <v>2755.7741608124302</v>
      </c>
      <c r="I465" cm="1">
        <f t="array" ref="I465">_xlfn.IFS(D465= ""," ",D465&lt;&gt; " ",F465*(G465/H465))</f>
        <v>0</v>
      </c>
      <c r="J465" cm="1">
        <f t="array" ref="J465">_xlfn.IFS(D465= ""," ",D465&lt;&gt; " ",(H465-F465)*(G465/H465))</f>
        <v>2713</v>
      </c>
      <c r="K465" cm="1">
        <f t="array" ref="K465">IF(ISNUMBER(H465),_xlfn.IFS(D465= ""," ",D465&lt;&gt; " ",F465*(G465/H465)),"")</f>
        <v>0</v>
      </c>
    </row>
    <row r="466" spans="1:11" x14ac:dyDescent="0.35">
      <c r="A466" t="s">
        <v>27</v>
      </c>
      <c r="B466">
        <v>2014</v>
      </c>
      <c r="D466" t="s">
        <v>137</v>
      </c>
      <c r="E466" t="str" cm="1">
        <f t="array" ref="E466">_xlfn.IFS(D466=policy_name_clustering!$A$2,policy_name_clustering!$C$2,D466=policy_name_clustering!$A$3,policy_name_clustering!$C$3,D466=policy_name_clustering!$A$5,policy_name_clustering!$C$5,D466=policy_name_clustering!$A$6,policy_name_clustering!$C$6,D466=policy_name_clustering!$A$7,policy_name_clustering!$C$7,D466=policy_name_clustering!$A$8,policy_name_clustering!$C$8,D466=policy_name_clustering!$A$9,policy_name_clustering!$C$9,D466=policy_name_clustering!$A$10,policy_name_clustering!$C$10,D466=policy_name_clustering!$A$11,policy_name_clustering!$C$11,D466=policy_name_clustering!$A$12,policy_name_clustering!$C$12,D466=policy_name_clustering!$A$13,policy_name_clustering!$C$13,D466=policy_name_clustering!$A$14,policy_name_clustering!$C$14,D466=policy_name_clustering!$A$15,policy_name_clustering!$C$15,D466=policy_name_clustering!$A$16,policy_name_clustering!$C$16,D466="-","",D466=policy_name_clustering!$A$4,policy_name_clustering!$C$4)</f>
        <v/>
      </c>
      <c r="G466">
        <f>wind_cump_cap!C421</f>
        <v>2865</v>
      </c>
      <c r="H466">
        <f>estimated_capacity!C408</f>
        <v>2970.6396342113899</v>
      </c>
      <c r="I466" cm="1">
        <f t="array" ref="I466">_xlfn.IFS(D466= ""," ",D466&lt;&gt; " ",F466*(G466/H466))</f>
        <v>0</v>
      </c>
      <c r="J466" cm="1">
        <f t="array" ref="J466">_xlfn.IFS(D466= ""," ",D466&lt;&gt; " ",(H466-F466)*(G466/H466))</f>
        <v>2865</v>
      </c>
      <c r="K466" cm="1">
        <f t="array" ref="K466">IF(ISNUMBER(H466),_xlfn.IFS(D466= ""," ",D466&lt;&gt; " ",F466*(G466/H466)),"")</f>
        <v>0</v>
      </c>
    </row>
    <row r="467" spans="1:11" x14ac:dyDescent="0.35">
      <c r="A467" t="s">
        <v>27</v>
      </c>
      <c r="B467">
        <v>2015</v>
      </c>
      <c r="D467" t="s">
        <v>137</v>
      </c>
      <c r="E467" t="str" cm="1">
        <f t="array" ref="E467">_xlfn.IFS(D467=policy_name_clustering!$A$2,policy_name_clustering!$C$2,D467=policy_name_clustering!$A$3,policy_name_clustering!$C$3,D467=policy_name_clustering!$A$5,policy_name_clustering!$C$5,D467=policy_name_clustering!$A$6,policy_name_clustering!$C$6,D467=policy_name_clustering!$A$7,policy_name_clustering!$C$7,D467=policy_name_clustering!$A$8,policy_name_clustering!$C$8,D467=policy_name_clustering!$A$9,policy_name_clustering!$C$9,D467=policy_name_clustering!$A$10,policy_name_clustering!$C$10,D467=policy_name_clustering!$A$11,policy_name_clustering!$C$11,D467=policy_name_clustering!$A$12,policy_name_clustering!$C$12,D467=policy_name_clustering!$A$13,policy_name_clustering!$C$13,D467=policy_name_clustering!$A$14,policy_name_clustering!$C$14,D467=policy_name_clustering!$A$15,policy_name_clustering!$C$15,D467=policy_name_clustering!$A$16,policy_name_clustering!$C$16,D467="-","",D467=policy_name_clustering!$A$4,policy_name_clustering!$C$4)</f>
        <v/>
      </c>
      <c r="G467">
        <f>wind_cump_cap!C422</f>
        <v>3390.84</v>
      </c>
      <c r="H467">
        <f>estimated_capacity!C409</f>
        <v>3242.3986667948202</v>
      </c>
      <c r="I467" cm="1">
        <f t="array" ref="I467">_xlfn.IFS(D467= ""," ",D467&lt;&gt; " ",F467*(G467/H467))</f>
        <v>0</v>
      </c>
      <c r="J467" cm="1">
        <f t="array" ref="J467">_xlfn.IFS(D467= ""," ",D467&lt;&gt; " ",(H467-F467)*(G467/H467))</f>
        <v>3390.8400000000006</v>
      </c>
      <c r="K467" cm="1">
        <f t="array" ref="K467">IF(ISNUMBER(H467),_xlfn.IFS(D467= ""," ",D467&lt;&gt; " ",F467*(G467/H467)),"")</f>
        <v>0</v>
      </c>
    </row>
    <row r="468" spans="1:11" x14ac:dyDescent="0.35">
      <c r="A468" t="s">
        <v>27</v>
      </c>
      <c r="B468">
        <v>2016</v>
      </c>
      <c r="D468" t="s">
        <v>137</v>
      </c>
      <c r="E468" t="str" cm="1">
        <f t="array" ref="E468">_xlfn.IFS(D468=policy_name_clustering!$A$2,policy_name_clustering!$C$2,D468=policy_name_clustering!$A$3,policy_name_clustering!$C$3,D468=policy_name_clustering!$A$5,policy_name_clustering!$C$5,D468=policy_name_clustering!$A$6,policy_name_clustering!$C$6,D468=policy_name_clustering!$A$7,policy_name_clustering!$C$7,D468=policy_name_clustering!$A$8,policy_name_clustering!$C$8,D468=policy_name_clustering!$A$9,policy_name_clustering!$C$9,D468=policy_name_clustering!$A$10,policy_name_clustering!$C$10,D468=policy_name_clustering!$A$11,policy_name_clustering!$C$11,D468=policy_name_clustering!$A$12,policy_name_clustering!$C$12,D468=policy_name_clustering!$A$13,policy_name_clustering!$C$13,D468=policy_name_clustering!$A$14,policy_name_clustering!$C$14,D468=policy_name_clustering!$A$15,policy_name_clustering!$C$15,D468=policy_name_clustering!$A$16,policy_name_clustering!$C$16,D468="-","",D468=policy_name_clustering!$A$4,policy_name_clustering!$C$4)</f>
        <v/>
      </c>
      <c r="G468">
        <f>wind_cump_cap!C423</f>
        <v>4257.12</v>
      </c>
      <c r="H468">
        <f>estimated_capacity!C410</f>
        <v>3526.9032169976099</v>
      </c>
      <c r="I468" cm="1">
        <f t="array" ref="I468">_xlfn.IFS(D468= ""," ",D468&lt;&gt; " ",F468*(G468/H468))</f>
        <v>0</v>
      </c>
      <c r="J468" cm="1">
        <f t="array" ref="J468">_xlfn.IFS(D468= ""," ",D468&lt;&gt; " ",(H468-F468)*(G468/H468))</f>
        <v>4257.12</v>
      </c>
      <c r="K468" cm="1">
        <f t="array" ref="K468">IF(ISNUMBER(H468),_xlfn.IFS(D468= ""," ",D468&lt;&gt; " ",F468*(G468/H468)),"")</f>
        <v>0</v>
      </c>
    </row>
    <row r="469" spans="1:11" x14ac:dyDescent="0.35">
      <c r="A469" t="s">
        <v>27</v>
      </c>
      <c r="B469">
        <v>2017</v>
      </c>
      <c r="D469" t="s">
        <v>137</v>
      </c>
      <c r="E469" t="str" cm="1">
        <f t="array" ref="E469">_xlfn.IFS(D469=policy_name_clustering!$A$2,policy_name_clustering!$C$2,D469=policy_name_clustering!$A$3,policy_name_clustering!$C$3,D469=policy_name_clustering!$A$5,policy_name_clustering!$C$5,D469=policy_name_clustering!$A$6,policy_name_clustering!$C$6,D469=policy_name_clustering!$A$7,policy_name_clustering!$C$7,D469=policy_name_clustering!$A$8,policy_name_clustering!$C$8,D469=policy_name_clustering!$A$9,policy_name_clustering!$C$9,D469=policy_name_clustering!$A$10,policy_name_clustering!$C$10,D469=policy_name_clustering!$A$11,policy_name_clustering!$C$11,D469=policy_name_clustering!$A$12,policy_name_clustering!$C$12,D469=policy_name_clustering!$A$13,policy_name_clustering!$C$13,D469=policy_name_clustering!$A$14,policy_name_clustering!$C$14,D469=policy_name_clustering!$A$15,policy_name_clustering!$C$15,D469=policy_name_clustering!$A$16,policy_name_clustering!$C$16,D469="-","",D469=policy_name_clustering!$A$4,policy_name_clustering!$C$4)</f>
        <v/>
      </c>
      <c r="G469">
        <f>wind_cump_cap!C424</f>
        <v>4202</v>
      </c>
      <c r="H469">
        <f>estimated_capacity!C411</f>
        <v>3475.2294544925498</v>
      </c>
      <c r="I469" cm="1">
        <f t="array" ref="I469">_xlfn.IFS(D469= ""," ",D469&lt;&gt; " ",F469*(G469/H469))</f>
        <v>0</v>
      </c>
      <c r="J469" cm="1">
        <f t="array" ref="J469">_xlfn.IFS(D469= ""," ",D469&lt;&gt; " ",(H469-F469)*(G469/H469))</f>
        <v>4202</v>
      </c>
      <c r="K469" cm="1">
        <f t="array" ref="K469">IF(ISNUMBER(H469),_xlfn.IFS(D469= ""," ",D469&lt;&gt; " ",F469*(G469/H469)),"")</f>
        <v>0</v>
      </c>
    </row>
    <row r="470" spans="1:11" x14ac:dyDescent="0.35">
      <c r="A470" t="s">
        <v>27</v>
      </c>
      <c r="B470">
        <v>2018</v>
      </c>
      <c r="D470" t="s">
        <v>137</v>
      </c>
      <c r="E470" t="str" cm="1">
        <f t="array" ref="E470">_xlfn.IFS(D470=policy_name_clustering!$A$2,policy_name_clustering!$C$2,D470=policy_name_clustering!$A$3,policy_name_clustering!$C$3,D470=policy_name_clustering!$A$5,policy_name_clustering!$C$5,D470=policy_name_clustering!$A$6,policy_name_clustering!$C$6,D470=policy_name_clustering!$A$7,policy_name_clustering!$C$7,D470=policy_name_clustering!$A$8,policy_name_clustering!$C$8,D470=policy_name_clustering!$A$9,policy_name_clustering!$C$9,D470=policy_name_clustering!$A$10,policy_name_clustering!$C$10,D470=policy_name_clustering!$A$11,policy_name_clustering!$C$11,D470=policy_name_clustering!$A$12,policy_name_clustering!$C$12,D470=policy_name_clustering!$A$13,policy_name_clustering!$C$13,D470=policy_name_clustering!$A$14,policy_name_clustering!$C$14,D470=policy_name_clustering!$A$15,policy_name_clustering!$C$15,D470=policy_name_clustering!$A$16,policy_name_clustering!$C$16,D470="-","",D470=policy_name_clustering!$A$4,policy_name_clustering!$C$4)</f>
        <v/>
      </c>
      <c r="G470">
        <f>wind_cump_cap!C425</f>
        <v>4393.1099999999997</v>
      </c>
      <c r="H470">
        <f>estimated_capacity!C412</f>
        <v>3773.13099827937</v>
      </c>
      <c r="I470" cm="1">
        <f t="array" ref="I470">_xlfn.IFS(D470= ""," ",D470&lt;&gt; " ",F470*(G470/H470))</f>
        <v>0</v>
      </c>
      <c r="J470" cm="1">
        <f t="array" ref="J470">_xlfn.IFS(D470= ""," ",D470&lt;&gt; " ",(H470-F470)*(G470/H470))</f>
        <v>4393.1099999999997</v>
      </c>
      <c r="K470" cm="1">
        <f t="array" ref="K470">IF(ISNUMBER(H470),_xlfn.IFS(D470= ""," ",D470&lt;&gt; " ",F470*(G470/H470)),"")</f>
        <v>0</v>
      </c>
    </row>
    <row r="471" spans="1:11" x14ac:dyDescent="0.35">
      <c r="A471" t="s">
        <v>27</v>
      </c>
      <c r="B471">
        <v>2019</v>
      </c>
      <c r="D471" t="s">
        <v>137</v>
      </c>
      <c r="E471" t="str" cm="1">
        <f t="array" ref="E471">_xlfn.IFS(D471=policy_name_clustering!$A$2,policy_name_clustering!$C$2,D471=policy_name_clustering!$A$3,policy_name_clustering!$C$3,D471=policy_name_clustering!$A$5,policy_name_clustering!$C$5,D471=policy_name_clustering!$A$6,policy_name_clustering!$C$6,D471=policy_name_clustering!$A$7,policy_name_clustering!$C$7,D471=policy_name_clustering!$A$8,policy_name_clustering!$C$8,D471=policy_name_clustering!$A$9,policy_name_clustering!$C$9,D471=policy_name_clustering!$A$10,policy_name_clustering!$C$10,D471=policy_name_clustering!$A$11,policy_name_clustering!$C$11,D471=policy_name_clustering!$A$12,policy_name_clustering!$C$12,D471=policy_name_clustering!$A$13,policy_name_clustering!$C$13,D471=policy_name_clustering!$A$14,policy_name_clustering!$C$14,D471=policy_name_clustering!$A$15,policy_name_clustering!$C$15,D471=policy_name_clustering!$A$16,policy_name_clustering!$C$16,D471="-","",D471=policy_name_clustering!$A$4,policy_name_clustering!$C$4)</f>
        <v/>
      </c>
      <c r="G471">
        <f>wind_cump_cap!C426</f>
        <v>4484.1580000000004</v>
      </c>
      <c r="H471">
        <f>estimated_capacity!C413</f>
        <v>4129.5499241986799</v>
      </c>
      <c r="I471" cm="1">
        <f t="array" ref="I471">_xlfn.IFS(D471= ""," ",D471&lt;&gt; " ",F471*(G471/H471))</f>
        <v>0</v>
      </c>
      <c r="J471" cm="1">
        <f t="array" ref="J471">_xlfn.IFS(D471= ""," ",D471&lt;&gt; " ",(H471-F471)*(G471/H471))</f>
        <v>4484.1580000000004</v>
      </c>
      <c r="K471" cm="1">
        <f t="array" ref="K471">IF(ISNUMBER(H471),_xlfn.IFS(D471= ""," ",D471&lt;&gt; " ",F471*(G471/H471)),"")</f>
        <v>0</v>
      </c>
    </row>
    <row r="472" spans="1:11" ht="29" x14ac:dyDescent="0.35">
      <c r="A472" t="s">
        <v>27</v>
      </c>
      <c r="B472">
        <v>2020</v>
      </c>
      <c r="C472" s="4" t="s">
        <v>116</v>
      </c>
      <c r="D472" s="3" t="s">
        <v>159</v>
      </c>
      <c r="E472" t="str" cm="1">
        <f t="array" ref="E472">_xlfn.IFS(D472=policy_name_clustering!$A$2,policy_name_clustering!$C$2,D472=policy_name_clustering!$A$3,policy_name_clustering!$C$3,D472=policy_name_clustering!$A$5,policy_name_clustering!$C$5,D472=policy_name_clustering!$A$6,policy_name_clustering!$C$6,D472=policy_name_clustering!$A$7,policy_name_clustering!$C$7,D472=policy_name_clustering!$A$8,policy_name_clustering!$C$8,D472=policy_name_clustering!$A$9,policy_name_clustering!$C$9,D472=policy_name_clustering!$A$10,policy_name_clustering!$C$10,D472=policy_name_clustering!$A$11,policy_name_clustering!$C$11,D472=policy_name_clustering!$A$12,policy_name_clustering!$C$12,D472=policy_name_clustering!$A$13,policy_name_clustering!$C$13,D472=policy_name_clustering!$A$14,policy_name_clustering!$C$14,D472=policy_name_clustering!$A$15,policy_name_clustering!$C$15,D472=policy_name_clustering!$A$16,policy_name_clustering!$C$16,D472="-","",D472=policy_name_clustering!$A$4,policy_name_clustering!$C$4)</f>
        <v>Policy mix</v>
      </c>
      <c r="F472">
        <f>policy_contributions_cum!F148</f>
        <v>1077.3138875223699</v>
      </c>
      <c r="G472">
        <f>wind_cump_cap!C427</f>
        <v>6647.875</v>
      </c>
      <c r="H472">
        <f>estimated_capacity!C414</f>
        <v>5648.3823695740202</v>
      </c>
      <c r="I472" cm="1">
        <f t="array" ref="I472">_xlfn.IFS(D472= ""," ",D472&lt;&gt; " ",F472*(G472/H472))</f>
        <v>1267.9467485401301</v>
      </c>
      <c r="J472" cm="1">
        <f t="array" ref="J472">_xlfn.IFS(D472= ""," ",D472&lt;&gt; " ",(H472-F472)*(G472/H472))</f>
        <v>5379.9282514598699</v>
      </c>
      <c r="K472" cm="1">
        <f t="array" ref="K472">IF(ISNUMBER(H472),_xlfn.IFS(D472= ""," ",D472&lt;&gt; " ",F472*(G472/H472)),"")</f>
        <v>1267.9467485401301</v>
      </c>
    </row>
    <row r="473" spans="1:11" ht="29" x14ac:dyDescent="0.35">
      <c r="A473" t="s">
        <v>27</v>
      </c>
      <c r="B473">
        <v>2021</v>
      </c>
      <c r="C473" s="4" t="s">
        <v>117</v>
      </c>
      <c r="D473" s="3" t="s">
        <v>159</v>
      </c>
      <c r="E473" t="str" cm="1">
        <f t="array" ref="E473">_xlfn.IFS(D473=policy_name_clustering!$A$2,policy_name_clustering!$C$2,D473=policy_name_clustering!$A$3,policy_name_clustering!$C$3,D473=policy_name_clustering!$A$5,policy_name_clustering!$C$5,D473=policy_name_clustering!$A$6,policy_name_clustering!$C$6,D473=policy_name_clustering!$A$7,policy_name_clustering!$C$7,D473=policy_name_clustering!$A$8,policy_name_clustering!$C$8,D473=policy_name_clustering!$A$9,policy_name_clustering!$C$9,D473=policy_name_clustering!$A$10,policy_name_clustering!$C$10,D473=policy_name_clustering!$A$11,policy_name_clustering!$C$11,D473=policy_name_clustering!$A$12,policy_name_clustering!$C$12,D473=policy_name_clustering!$A$13,policy_name_clustering!$C$13,D473=policy_name_clustering!$A$14,policy_name_clustering!$C$14,D473=policy_name_clustering!$A$15,policy_name_clustering!$C$15,D473=policy_name_clustering!$A$16,policy_name_clustering!$C$16,D473="-","",D473=policy_name_clustering!$A$4,policy_name_clustering!$C$4)</f>
        <v>Policy mix</v>
      </c>
      <c r="F473">
        <f>policy_contributions_cum!F149</f>
        <v>2208.5110855573998</v>
      </c>
      <c r="G473">
        <f>wind_cump_cap!C428</f>
        <v>7645.52</v>
      </c>
      <c r="H473">
        <f>estimated_capacity!C415</f>
        <v>7248.2572325147103</v>
      </c>
      <c r="I473" cm="1">
        <f t="array" ref="I473">_xlfn.IFS(D473= ""," ",D473&lt;&gt; " ",F473*(G473/H473))</f>
        <v>2329.555247998926</v>
      </c>
      <c r="J473" cm="1">
        <f t="array" ref="J473">_xlfn.IFS(D473= ""," ",D473&lt;&gt; " ",(H473-F473)*(G473/H473))</f>
        <v>5315.9647520010749</v>
      </c>
      <c r="K473" cm="1">
        <f t="array" ref="K473">IF(ISNUMBER(H473),_xlfn.IFS(D473= ""," ",D473&lt;&gt; " ",F473*(G473/H473)),"")</f>
        <v>2329.555247998926</v>
      </c>
    </row>
    <row r="474" spans="1:11" ht="29" x14ac:dyDescent="0.35">
      <c r="A474" t="s">
        <v>27</v>
      </c>
      <c r="B474">
        <v>2022</v>
      </c>
      <c r="C474" s="4" t="s">
        <v>118</v>
      </c>
      <c r="D474" s="3" t="s">
        <v>159</v>
      </c>
      <c r="E474" t="str" cm="1">
        <f t="array" ref="E474">_xlfn.IFS(D474=policy_name_clustering!$A$2,policy_name_clustering!$C$2,D474=policy_name_clustering!$A$3,policy_name_clustering!$C$3,D474=policy_name_clustering!$A$5,policy_name_clustering!$C$5,D474=policy_name_clustering!$A$6,policy_name_clustering!$C$6,D474=policy_name_clustering!$A$7,policy_name_clustering!$C$7,D474=policy_name_clustering!$A$8,policy_name_clustering!$C$8,D474=policy_name_clustering!$A$9,policy_name_clustering!$C$9,D474=policy_name_clustering!$A$10,policy_name_clustering!$C$10,D474=policy_name_clustering!$A$11,policy_name_clustering!$C$11,D474=policy_name_clustering!$A$12,policy_name_clustering!$C$12,D474=policy_name_clustering!$A$13,policy_name_clustering!$C$13,D474=policy_name_clustering!$A$14,policy_name_clustering!$C$14,D474=policy_name_clustering!$A$15,policy_name_clustering!$C$15,D474=policy_name_clustering!$A$16,policy_name_clustering!$C$16,D474="-","",D474=policy_name_clustering!$A$4,policy_name_clustering!$C$4)</f>
        <v>Policy mix</v>
      </c>
      <c r="F474">
        <f>policy_contributions_cum!F150</f>
        <v>3305.9655688890398</v>
      </c>
      <c r="G474">
        <f>wind_cump_cap!C429</f>
        <v>8700.1090000000004</v>
      </c>
      <c r="H474">
        <f>estimated_capacity!C416</f>
        <v>8797.3818511077006</v>
      </c>
      <c r="I474" cm="1">
        <f t="array" ref="I474">_xlfn.IFS(D474= ""," ",D474&lt;&gt; " ",F474*(G474/H474))</f>
        <v>3269.4114324434067</v>
      </c>
      <c r="J474" cm="1">
        <f t="array" ref="J474">_xlfn.IFS(D474= ""," ",D474&lt;&gt; " ",(H474-F474)*(G474/H474))</f>
        <v>5430.6975675565936</v>
      </c>
      <c r="K474" cm="1">
        <f t="array" ref="K474">IF(ISNUMBER(H474),_xlfn.IFS(D474= ""," ",D474&lt;&gt; " ",F474*(G474/H474)),"")</f>
        <v>3269.4114324434067</v>
      </c>
    </row>
    <row r="475" spans="1:11" ht="29" x14ac:dyDescent="0.35">
      <c r="A475" t="s">
        <v>27</v>
      </c>
      <c r="B475">
        <v>2023</v>
      </c>
      <c r="C475" s="4" t="s">
        <v>119</v>
      </c>
      <c r="D475" s="3" t="s">
        <v>159</v>
      </c>
      <c r="E475" t="str" cm="1">
        <f t="array" ref="E475">_xlfn.IFS(D475=policy_name_clustering!$A$2,policy_name_clustering!$C$2,D475=policy_name_clustering!$A$3,policy_name_clustering!$C$3,D475=policy_name_clustering!$A$5,policy_name_clustering!$C$5,D475=policy_name_clustering!$A$6,policy_name_clustering!$C$6,D475=policy_name_clustering!$A$7,policy_name_clustering!$C$7,D475=policy_name_clustering!$A$8,policy_name_clustering!$C$8,D475=policy_name_clustering!$A$9,policy_name_clustering!$C$9,D475=policy_name_clustering!$A$10,policy_name_clustering!$C$10,D475=policy_name_clustering!$A$11,policy_name_clustering!$C$11,D475=policy_name_clustering!$A$12,policy_name_clustering!$C$12,D475=policy_name_clustering!$A$13,policy_name_clustering!$C$13,D475=policy_name_clustering!$A$14,policy_name_clustering!$C$14,D475=policy_name_clustering!$A$15,policy_name_clustering!$C$15,D475=policy_name_clustering!$A$16,policy_name_clustering!$C$16,D475="-","",D475=policy_name_clustering!$A$4,policy_name_clustering!$C$4)</f>
        <v>Policy mix</v>
      </c>
      <c r="F475">
        <f>policy_contributions_cum!F151</f>
        <v>4502.39548510861</v>
      </c>
      <c r="G475">
        <f>wind_cump_cap!C430</f>
        <v>10734.118</v>
      </c>
      <c r="H475">
        <f>estimated_capacity!C417</f>
        <v>10495.369044856099</v>
      </c>
      <c r="I475" cm="1">
        <f t="array" ref="I475">_xlfn.IFS(D475= ""," ",D475&lt;&gt; " ",F475*(G475/H475))</f>
        <v>4604.8161063483303</v>
      </c>
      <c r="J475" cm="1">
        <f t="array" ref="J475">_xlfn.IFS(D475= ""," ",D475&lt;&gt; " ",(H475-F475)*(G475/H475))</f>
        <v>6129.3018936516692</v>
      </c>
      <c r="K475" cm="1">
        <f t="array" ref="K475">IF(ISNUMBER(H475),_xlfn.IFS(D475= ""," ",D475&lt;&gt; " ",F475*(G475/H475)),"")</f>
        <v>4604.8161063483303</v>
      </c>
    </row>
    <row r="476" spans="1:11" x14ac:dyDescent="0.35">
      <c r="A476" t="s">
        <v>18</v>
      </c>
      <c r="B476">
        <v>2000</v>
      </c>
      <c r="D476" s="4" t="s">
        <v>137</v>
      </c>
      <c r="E476" t="str" cm="1">
        <f t="array" ref="E476">_xlfn.IFS(D476=policy_name_clustering!$A$2,policy_name_clustering!$C$2,D476=policy_name_clustering!$A$3,policy_name_clustering!$C$3,D476=policy_name_clustering!$A$5,policy_name_clustering!$C$5,D476=policy_name_clustering!$A$6,policy_name_clustering!$C$6,D476=policy_name_clustering!$A$7,policy_name_clustering!$C$7,D476=policy_name_clustering!$A$8,policy_name_clustering!$C$8,D476=policy_name_clustering!$A$9,policy_name_clustering!$C$9,D476=policy_name_clustering!$A$10,policy_name_clustering!$C$10,D476=policy_name_clustering!$A$11,policy_name_clustering!$C$11,D476=policy_name_clustering!$A$12,policy_name_clustering!$C$12,D476=policy_name_clustering!$A$13,policy_name_clustering!$C$13,D476=policy_name_clustering!$A$14,policy_name_clustering!$C$14,D476=policy_name_clustering!$A$15,policy_name_clustering!$C$15,D476=policy_name_clustering!$A$16,policy_name_clustering!$C$16,D476="-","",D476=policy_name_clustering!$A$4,policy_name_clustering!$C$4)</f>
        <v/>
      </c>
      <c r="G476">
        <f>wind_cump_cap!C432</f>
        <v>4</v>
      </c>
      <c r="H476">
        <f>estimated_capacity!C418</f>
        <v>27.0004332352046</v>
      </c>
      <c r="I476" cm="1">
        <f t="array" ref="I476">_xlfn.IFS(D476= ""," ",D476&lt;&gt; " ",F476*(G476/H476))</f>
        <v>0</v>
      </c>
      <c r="J476" cm="1">
        <f t="array" ref="J476">_xlfn.IFS(D476= ""," ",D476&lt;&gt; " ",(H476-F476)*(G476/H476))</f>
        <v>3.9999999999999996</v>
      </c>
      <c r="K476" cm="1">
        <f t="array" ref="K476">IF(ISNUMBER(H476),_xlfn.IFS(D476= ""," ",D476&lt;&gt; " ",F476*(G476/H476)),"")</f>
        <v>0</v>
      </c>
    </row>
    <row r="477" spans="1:11" x14ac:dyDescent="0.35">
      <c r="A477" t="s">
        <v>18</v>
      </c>
      <c r="B477">
        <v>2001</v>
      </c>
      <c r="D477" s="4" t="s">
        <v>137</v>
      </c>
      <c r="E477" t="str" cm="1">
        <f t="array" ref="E477">_xlfn.IFS(D477=policy_name_clustering!$A$2,policy_name_clustering!$C$2,D477=policy_name_clustering!$A$3,policy_name_clustering!$C$3,D477=policy_name_clustering!$A$5,policy_name_clustering!$C$5,D477=policy_name_clustering!$A$6,policy_name_clustering!$C$6,D477=policy_name_clustering!$A$7,policy_name_clustering!$C$7,D477=policy_name_clustering!$A$8,policy_name_clustering!$C$8,D477=policy_name_clustering!$A$9,policy_name_clustering!$C$9,D477=policy_name_clustering!$A$10,policy_name_clustering!$C$10,D477=policy_name_clustering!$A$11,policy_name_clustering!$C$11,D477=policy_name_clustering!$A$12,policy_name_clustering!$C$12,D477=policy_name_clustering!$A$13,policy_name_clustering!$C$13,D477=policy_name_clustering!$A$14,policy_name_clustering!$C$14,D477=policy_name_clustering!$A$15,policy_name_clustering!$C$15,D477=policy_name_clustering!$A$16,policy_name_clustering!$C$16,D477="-","",D477=policy_name_clustering!$A$4,policy_name_clustering!$C$4)</f>
        <v/>
      </c>
      <c r="G477">
        <f>wind_cump_cap!C433</f>
        <v>19</v>
      </c>
      <c r="H477">
        <f>estimated_capacity!C419</f>
        <v>66.168407798285003</v>
      </c>
      <c r="I477" cm="1">
        <f t="array" ref="I477">_xlfn.IFS(D477= ""," ",D477&lt;&gt; " ",F477*(G477/H477))</f>
        <v>0</v>
      </c>
      <c r="J477" cm="1">
        <f t="array" ref="J477">_xlfn.IFS(D477= ""," ",D477&lt;&gt; " ",(H477-F477)*(G477/H477))</f>
        <v>19</v>
      </c>
      <c r="K477" cm="1">
        <f t="array" ref="K477">IF(ISNUMBER(H477),_xlfn.IFS(D477= ""," ",D477&lt;&gt; " ",F477*(G477/H477)),"")</f>
        <v>0</v>
      </c>
    </row>
    <row r="478" spans="1:11" x14ac:dyDescent="0.35">
      <c r="A478" t="s">
        <v>18</v>
      </c>
      <c r="B478">
        <v>2002</v>
      </c>
      <c r="D478" s="4" t="s">
        <v>137</v>
      </c>
      <c r="E478" t="str" cm="1">
        <f t="array" ref="E478">_xlfn.IFS(D478=policy_name_clustering!$A$2,policy_name_clustering!$C$2,D478=policy_name_clustering!$A$3,policy_name_clustering!$C$3,D478=policy_name_clustering!$A$5,policy_name_clustering!$C$5,D478=policy_name_clustering!$A$6,policy_name_clustering!$C$6,D478=policy_name_clustering!$A$7,policy_name_clustering!$C$7,D478=policy_name_clustering!$A$8,policy_name_clustering!$C$8,D478=policy_name_clustering!$A$9,policy_name_clustering!$C$9,D478=policy_name_clustering!$A$10,policy_name_clustering!$C$10,D478=policy_name_clustering!$A$11,policy_name_clustering!$C$11,D478=policy_name_clustering!$A$12,policy_name_clustering!$C$12,D478=policy_name_clustering!$A$13,policy_name_clustering!$C$13,D478=policy_name_clustering!$A$14,policy_name_clustering!$C$14,D478=policy_name_clustering!$A$15,policy_name_clustering!$C$15,D478=policy_name_clustering!$A$16,policy_name_clustering!$C$16,D478="-","",D478=policy_name_clustering!$A$4,policy_name_clustering!$C$4)</f>
        <v/>
      </c>
      <c r="G478">
        <f>wind_cump_cap!C434</f>
        <v>32</v>
      </c>
      <c r="H478">
        <f>estimated_capacity!C420</f>
        <v>115.04471683403401</v>
      </c>
      <c r="I478" cm="1">
        <f t="array" ref="I478">_xlfn.IFS(D478= ""," ",D478&lt;&gt; " ",F478*(G478/H478))</f>
        <v>0</v>
      </c>
      <c r="J478" cm="1">
        <f t="array" ref="J478">_xlfn.IFS(D478= ""," ",D478&lt;&gt; " ",(H478-F478)*(G478/H478))</f>
        <v>32</v>
      </c>
      <c r="K478" cm="1">
        <f t="array" ref="K478">IF(ISNUMBER(H478),_xlfn.IFS(D478= ""," ",D478&lt;&gt; " ",F478*(G478/H478)),"")</f>
        <v>0</v>
      </c>
    </row>
    <row r="479" spans="1:11" x14ac:dyDescent="0.35">
      <c r="A479" t="s">
        <v>18</v>
      </c>
      <c r="B479">
        <v>2003</v>
      </c>
      <c r="D479" s="4" t="s">
        <v>137</v>
      </c>
      <c r="E479" t="str" cm="1">
        <f t="array" ref="E479">_xlfn.IFS(D479=policy_name_clustering!$A$2,policy_name_clustering!$C$2,D479=policy_name_clustering!$A$3,policy_name_clustering!$C$3,D479=policy_name_clustering!$A$5,policy_name_clustering!$C$5,D479=policy_name_clustering!$A$6,policy_name_clustering!$C$6,D479=policy_name_clustering!$A$7,policy_name_clustering!$C$7,D479=policy_name_clustering!$A$8,policy_name_clustering!$C$8,D479=policy_name_clustering!$A$9,policy_name_clustering!$C$9,D479=policy_name_clustering!$A$10,policy_name_clustering!$C$10,D479=policy_name_clustering!$A$11,policy_name_clustering!$C$11,D479=policy_name_clustering!$A$12,policy_name_clustering!$C$12,D479=policy_name_clustering!$A$13,policy_name_clustering!$C$13,D479=policy_name_clustering!$A$14,policy_name_clustering!$C$14,D479=policy_name_clustering!$A$15,policy_name_clustering!$C$15,D479=policy_name_clustering!$A$16,policy_name_clustering!$C$16,D479="-","",D479=policy_name_clustering!$A$4,policy_name_clustering!$C$4)</f>
        <v/>
      </c>
      <c r="G479">
        <f>wind_cump_cap!C435</f>
        <v>35</v>
      </c>
      <c r="H479">
        <f>estimated_capacity!C421</f>
        <v>180.39433331738499</v>
      </c>
      <c r="I479" cm="1">
        <f t="array" ref="I479">_xlfn.IFS(D479= ""," ",D479&lt;&gt; " ",F479*(G479/H479))</f>
        <v>0</v>
      </c>
      <c r="J479" cm="1">
        <f t="array" ref="J479">_xlfn.IFS(D479= ""," ",D479&lt;&gt; " ",(H479-F479)*(G479/H479))</f>
        <v>35</v>
      </c>
      <c r="K479" cm="1">
        <f t="array" ref="K479">IF(ISNUMBER(H479),_xlfn.IFS(D479= ""," ",D479&lt;&gt; " ",F479*(G479/H479)),"")</f>
        <v>0</v>
      </c>
    </row>
    <row r="480" spans="1:11" x14ac:dyDescent="0.35">
      <c r="A480" t="s">
        <v>18</v>
      </c>
      <c r="B480">
        <v>2004</v>
      </c>
      <c r="D480" s="4" t="s">
        <v>137</v>
      </c>
      <c r="E480" t="str" cm="1">
        <f t="array" ref="E480">_xlfn.IFS(D480=policy_name_clustering!$A$2,policy_name_clustering!$C$2,D480=policy_name_clustering!$A$3,policy_name_clustering!$C$3,D480=policy_name_clustering!$A$5,policy_name_clustering!$C$5,D480=policy_name_clustering!$A$6,policy_name_clustering!$C$6,D480=policy_name_clustering!$A$7,policy_name_clustering!$C$7,D480=policy_name_clustering!$A$8,policy_name_clustering!$C$8,D480=policy_name_clustering!$A$9,policy_name_clustering!$C$9,D480=policy_name_clustering!$A$10,policy_name_clustering!$C$10,D480=policy_name_clustering!$A$11,policy_name_clustering!$C$11,D480=policy_name_clustering!$A$12,policy_name_clustering!$C$12,D480=policy_name_clustering!$A$13,policy_name_clustering!$C$13,D480=policy_name_clustering!$A$14,policy_name_clustering!$C$14,D480=policy_name_clustering!$A$15,policy_name_clustering!$C$15,D480=policy_name_clustering!$A$16,policy_name_clustering!$C$16,D480="-","",D480=policy_name_clustering!$A$4,policy_name_clustering!$C$4)</f>
        <v/>
      </c>
      <c r="G480">
        <f>wind_cump_cap!C436</f>
        <v>40</v>
      </c>
      <c r="H480">
        <f>estimated_capacity!C422</f>
        <v>239.10773376408599</v>
      </c>
      <c r="I480" cm="1">
        <f t="array" ref="I480">_xlfn.IFS(D480= ""," ",D480&lt;&gt; " ",F480*(G480/H480))</f>
        <v>0</v>
      </c>
      <c r="J480" cm="1">
        <f t="array" ref="J480">_xlfn.IFS(D480= ""," ",D480&lt;&gt; " ",(H480-F480)*(G480/H480))</f>
        <v>40</v>
      </c>
      <c r="K480" cm="1">
        <f t="array" ref="K480">IF(ISNUMBER(H480),_xlfn.IFS(D480= ""," ",D480&lt;&gt; " ",F480*(G480/H480)),"")</f>
        <v>0</v>
      </c>
    </row>
    <row r="481" spans="1:11" x14ac:dyDescent="0.35">
      <c r="A481" t="s">
        <v>18</v>
      </c>
      <c r="B481">
        <v>2005</v>
      </c>
      <c r="D481" s="4" t="s">
        <v>137</v>
      </c>
      <c r="E481" t="str" cm="1">
        <f t="array" ref="E481">_xlfn.IFS(D481=policy_name_clustering!$A$2,policy_name_clustering!$C$2,D481=policy_name_clustering!$A$3,policy_name_clustering!$C$3,D481=policy_name_clustering!$A$5,policy_name_clustering!$C$5,D481=policy_name_clustering!$A$6,policy_name_clustering!$C$6,D481=policy_name_clustering!$A$7,policy_name_clustering!$C$7,D481=policy_name_clustering!$A$8,policy_name_clustering!$C$8,D481=policy_name_clustering!$A$9,policy_name_clustering!$C$9,D481=policy_name_clustering!$A$10,policy_name_clustering!$C$10,D481=policy_name_clustering!$A$11,policy_name_clustering!$C$11,D481=policy_name_clustering!$A$12,policy_name_clustering!$C$12,D481=policy_name_clustering!$A$13,policy_name_clustering!$C$13,D481=policy_name_clustering!$A$14,policy_name_clustering!$C$14,D481=policy_name_clustering!$A$15,policy_name_clustering!$C$15,D481=policy_name_clustering!$A$16,policy_name_clustering!$C$16,D481="-","",D481=policy_name_clustering!$A$4,policy_name_clustering!$C$4)</f>
        <v/>
      </c>
      <c r="G481">
        <f>wind_cump_cap!C437</f>
        <v>121</v>
      </c>
      <c r="H481">
        <f>estimated_capacity!C423</f>
        <v>316.43592090535702</v>
      </c>
      <c r="I481" cm="1">
        <f t="array" ref="I481">_xlfn.IFS(D481= ""," ",D481&lt;&gt; " ",F481*(G481/H481))</f>
        <v>0</v>
      </c>
      <c r="J481" cm="1">
        <f t="array" ref="J481">_xlfn.IFS(D481= ""," ",D481&lt;&gt; " ",(H481-F481)*(G481/H481))</f>
        <v>121</v>
      </c>
      <c r="K481" cm="1">
        <f t="array" ref="K481">IF(ISNUMBER(H481),_xlfn.IFS(D481= ""," ",D481&lt;&gt; " ",F481*(G481/H481)),"")</f>
        <v>0</v>
      </c>
    </row>
    <row r="482" spans="1:11" x14ac:dyDescent="0.35">
      <c r="A482" t="s">
        <v>18</v>
      </c>
      <c r="B482">
        <v>2006</v>
      </c>
      <c r="D482" s="4" t="s">
        <v>137</v>
      </c>
      <c r="E482" t="str" cm="1">
        <f t="array" ref="E482">_xlfn.IFS(D482=policy_name_clustering!$A$2,policy_name_clustering!$C$2,D482=policy_name_clustering!$A$3,policy_name_clustering!$C$3,D482=policy_name_clustering!$A$5,policy_name_clustering!$C$5,D482=policy_name_clustering!$A$6,policy_name_clustering!$C$6,D482=policy_name_clustering!$A$7,policy_name_clustering!$C$7,D482=policy_name_clustering!$A$8,policy_name_clustering!$C$8,D482=policy_name_clustering!$A$9,policy_name_clustering!$C$9,D482=policy_name_clustering!$A$10,policy_name_clustering!$C$10,D482=policy_name_clustering!$A$11,policy_name_clustering!$C$11,D482=policy_name_clustering!$A$12,policy_name_clustering!$C$12,D482=policy_name_clustering!$A$13,policy_name_clustering!$C$13,D482=policy_name_clustering!$A$14,policy_name_clustering!$C$14,D482=policy_name_clustering!$A$15,policy_name_clustering!$C$15,D482=policy_name_clustering!$A$16,policy_name_clustering!$C$16,D482="-","",D482=policy_name_clustering!$A$4,policy_name_clustering!$C$4)</f>
        <v/>
      </c>
      <c r="G482">
        <f>wind_cump_cap!C438</f>
        <v>172</v>
      </c>
      <c r="H482">
        <f>estimated_capacity!C424</f>
        <v>389.28794262140298</v>
      </c>
      <c r="I482" cm="1">
        <f t="array" ref="I482">_xlfn.IFS(D482= ""," ",D482&lt;&gt; " ",F482*(G482/H482))</f>
        <v>0</v>
      </c>
      <c r="J482" cm="1">
        <f t="array" ref="J482">_xlfn.IFS(D482= ""," ",D482&lt;&gt; " ",(H482-F482)*(G482/H482))</f>
        <v>172</v>
      </c>
      <c r="K482" cm="1">
        <f t="array" ref="K482">IF(ISNUMBER(H482),_xlfn.IFS(D482= ""," ",D482&lt;&gt; " ",F482*(G482/H482)),"")</f>
        <v>0</v>
      </c>
    </row>
    <row r="483" spans="1:11" x14ac:dyDescent="0.35">
      <c r="A483" t="s">
        <v>18</v>
      </c>
      <c r="B483">
        <v>2007</v>
      </c>
      <c r="C483" t="s">
        <v>121</v>
      </c>
      <c r="D483" t="s">
        <v>43</v>
      </c>
      <c r="E483" t="str" cm="1">
        <f t="array" ref="E483">_xlfn.IFS(D483=policy_name_clustering!$A$2,policy_name_clustering!$C$2,D483=policy_name_clustering!$A$3,policy_name_clustering!$C$3,D483=policy_name_clustering!$A$5,policy_name_clustering!$C$5,D483=policy_name_clustering!$A$6,policy_name_clustering!$C$6,D483=policy_name_clustering!$A$7,policy_name_clustering!$C$7,D483=policy_name_clustering!$A$8,policy_name_clustering!$C$8,D483=policy_name_clustering!$A$9,policy_name_clustering!$C$9,D483=policy_name_clustering!$A$10,policy_name_clustering!$C$10,D483=policy_name_clustering!$A$11,policy_name_clustering!$C$11,D483=policy_name_clustering!$A$12,policy_name_clustering!$C$12,D483=policy_name_clustering!$A$13,policy_name_clustering!$C$13,D483=policy_name_clustering!$A$14,policy_name_clustering!$C$14,D483=policy_name_clustering!$A$15,policy_name_clustering!$C$15,D483=policy_name_clustering!$A$16,policy_name_clustering!$C$16,D483="-","",D483=policy_name_clustering!$A$4,policy_name_clustering!$C$4)</f>
        <v>TGC-based</v>
      </c>
      <c r="F483">
        <f>policy_contributions_cum!F156</f>
        <v>38.464195931130902</v>
      </c>
      <c r="G483">
        <f>wind_cump_cap!C439</f>
        <v>306</v>
      </c>
      <c r="H483">
        <f>estimated_capacity!C425</f>
        <v>498.11089195497999</v>
      </c>
      <c r="I483" cm="1">
        <f t="array" ref="I483">_xlfn.IFS(D483= ""," ",D483&lt;&gt; " ",F483*(G483/H483))</f>
        <v>23.629364755970546</v>
      </c>
      <c r="J483" cm="1">
        <f t="array" ref="J483">_xlfn.IFS(D483= ""," ",D483&lt;&gt; " ",(H483-F483)*(G483/H483))</f>
        <v>282.37063524402947</v>
      </c>
      <c r="K483" cm="1">
        <f t="array" ref="K483">IF(ISNUMBER(H483),_xlfn.IFS(D483= ""," ",D483&lt;&gt; " ",F483*(G483/H483)),"")</f>
        <v>23.629364755970546</v>
      </c>
    </row>
    <row r="484" spans="1:11" x14ac:dyDescent="0.35">
      <c r="A484" t="s">
        <v>18</v>
      </c>
      <c r="B484">
        <v>2008</v>
      </c>
      <c r="C484" t="s">
        <v>121</v>
      </c>
      <c r="D484" t="s">
        <v>43</v>
      </c>
      <c r="E484" t="str" cm="1">
        <f t="array" ref="E484">_xlfn.IFS(D484=policy_name_clustering!$A$2,policy_name_clustering!$C$2,D484=policy_name_clustering!$A$3,policy_name_clustering!$C$3,D484=policy_name_clustering!$A$5,policy_name_clustering!$C$5,D484=policy_name_clustering!$A$6,policy_name_clustering!$C$6,D484=policy_name_clustering!$A$7,policy_name_clustering!$C$7,D484=policy_name_clustering!$A$8,policy_name_clustering!$C$8,D484=policy_name_clustering!$A$9,policy_name_clustering!$C$9,D484=policy_name_clustering!$A$10,policy_name_clustering!$C$10,D484=policy_name_clustering!$A$11,policy_name_clustering!$C$11,D484=policy_name_clustering!$A$12,policy_name_clustering!$C$12,D484=policy_name_clustering!$A$13,policy_name_clustering!$C$13,D484=policy_name_clustering!$A$14,policy_name_clustering!$C$14,D484=policy_name_clustering!$A$15,policy_name_clustering!$C$15,D484=policy_name_clustering!$A$16,policy_name_clustering!$C$16,D484="-","",D484=policy_name_clustering!$A$4,policy_name_clustering!$C$4)</f>
        <v>TGC-based</v>
      </c>
      <c r="F484">
        <f>policy_contributions_cum!F157</f>
        <v>117.447694657288</v>
      </c>
      <c r="G484">
        <f>wind_cump_cap!C440</f>
        <v>526</v>
      </c>
      <c r="H484">
        <f>estimated_capacity!C426</f>
        <v>634.28546781189004</v>
      </c>
      <c r="I484" cm="1">
        <f t="array" ref="I484">_xlfn.IFS(D484= ""," ",D484&lt;&gt; " ",F484*(G484/H484))</f>
        <v>97.396977425399299</v>
      </c>
      <c r="J484" cm="1">
        <f t="array" ref="J484">_xlfn.IFS(D484= ""," ",D484&lt;&gt; " ",(H484-F484)*(G484/H484))</f>
        <v>428.60302257460069</v>
      </c>
      <c r="K484" cm="1">
        <f t="array" ref="K484">IF(ISNUMBER(H484),_xlfn.IFS(D484= ""," ",D484&lt;&gt; " ",F484*(G484/H484)),"")</f>
        <v>97.396977425399299</v>
      </c>
    </row>
    <row r="485" spans="1:11" x14ac:dyDescent="0.35">
      <c r="A485" t="s">
        <v>18</v>
      </c>
      <c r="B485">
        <v>2009</v>
      </c>
      <c r="C485" t="s">
        <v>120</v>
      </c>
      <c r="D485" t="s">
        <v>43</v>
      </c>
      <c r="E485" t="str" cm="1">
        <f t="array" ref="E485">_xlfn.IFS(D485=policy_name_clustering!$A$2,policy_name_clustering!$C$2,D485=policy_name_clustering!$A$3,policy_name_clustering!$C$3,D485=policy_name_clustering!$A$5,policy_name_clustering!$C$5,D485=policy_name_clustering!$A$6,policy_name_clustering!$C$6,D485=policy_name_clustering!$A$7,policy_name_clustering!$C$7,D485=policy_name_clustering!$A$8,policy_name_clustering!$C$8,D485=policy_name_clustering!$A$9,policy_name_clustering!$C$9,D485=policy_name_clustering!$A$10,policy_name_clustering!$C$10,D485=policy_name_clustering!$A$11,policy_name_clustering!$C$11,D485=policy_name_clustering!$A$12,policy_name_clustering!$C$12,D485=policy_name_clustering!$A$13,policy_name_clustering!$C$13,D485=policy_name_clustering!$A$14,policy_name_clustering!$C$14,D485=policy_name_clustering!$A$15,policy_name_clustering!$C$15,D485=policy_name_clustering!$A$16,policy_name_clustering!$C$16,D485="-","",D485=policy_name_clustering!$A$4,policy_name_clustering!$C$4)</f>
        <v>TGC-based</v>
      </c>
      <c r="F485">
        <f>policy_contributions_cum!F158</f>
        <v>246.17937892988499</v>
      </c>
      <c r="G485">
        <f>wind_cump_cap!C441</f>
        <v>709</v>
      </c>
      <c r="H485">
        <f>estimated_capacity!C427</f>
        <v>816.06945085310599</v>
      </c>
      <c r="I485" cm="1">
        <f t="array" ref="I485">_xlfn.IFS(D485= ""," ",D485&lt;&gt; " ",F485*(G485/H485))</f>
        <v>213.88030084795588</v>
      </c>
      <c r="J485" cm="1">
        <f t="array" ref="J485">_xlfn.IFS(D485= ""," ",D485&lt;&gt; " ",(H485-F485)*(G485/H485))</f>
        <v>495.11969915204418</v>
      </c>
      <c r="K485" cm="1">
        <f t="array" ref="K485">IF(ISNUMBER(H485),_xlfn.IFS(D485= ""," ",D485&lt;&gt; " ",F485*(G485/H485)),"")</f>
        <v>213.88030084795588</v>
      </c>
    </row>
    <row r="486" spans="1:11" x14ac:dyDescent="0.35">
      <c r="A486" t="s">
        <v>18</v>
      </c>
      <c r="B486">
        <v>2010</v>
      </c>
      <c r="C486" t="s">
        <v>120</v>
      </c>
      <c r="D486" t="s">
        <v>43</v>
      </c>
      <c r="E486" t="str" cm="1">
        <f t="array" ref="E486">_xlfn.IFS(D486=policy_name_clustering!$A$2,policy_name_clustering!$C$2,D486=policy_name_clustering!$A$3,policy_name_clustering!$C$3,D486=policy_name_clustering!$A$5,policy_name_clustering!$C$5,D486=policy_name_clustering!$A$6,policy_name_clustering!$C$6,D486=policy_name_clustering!$A$7,policy_name_clustering!$C$7,D486=policy_name_clustering!$A$8,policy_name_clustering!$C$8,D486=policy_name_clustering!$A$9,policy_name_clustering!$C$9,D486=policy_name_clustering!$A$10,policy_name_clustering!$C$10,D486=policy_name_clustering!$A$11,policy_name_clustering!$C$11,D486=policy_name_clustering!$A$12,policy_name_clustering!$C$12,D486=policy_name_clustering!$A$13,policy_name_clustering!$C$13,D486=policy_name_clustering!$A$14,policy_name_clustering!$C$14,D486=policy_name_clustering!$A$15,policy_name_clustering!$C$15,D486=policy_name_clustering!$A$16,policy_name_clustering!$C$16,D486="-","",D486=policy_name_clustering!$A$4,policy_name_clustering!$C$4)</f>
        <v>TGC-based</v>
      </c>
      <c r="F486">
        <f>policy_contributions_cum!F159</f>
        <v>452.06886026671498</v>
      </c>
      <c r="G486">
        <f>wind_cump_cap!C442</f>
        <v>1108</v>
      </c>
      <c r="H486">
        <f>estimated_capacity!C428</f>
        <v>1086.07312675245</v>
      </c>
      <c r="I486" cm="1">
        <f t="array" ref="I486">_xlfn.IFS(D486= ""," ",D486&lt;&gt; " ",F486*(G486/H486))</f>
        <v>461.19573796405075</v>
      </c>
      <c r="J486" cm="1">
        <f t="array" ref="J486">_xlfn.IFS(D486= ""," ",D486&lt;&gt; " ",(H486-F486)*(G486/H486))</f>
        <v>646.80426203594925</v>
      </c>
      <c r="K486" cm="1">
        <f t="array" ref="K486">IF(ISNUMBER(H486),_xlfn.IFS(D486= ""," ",D486&lt;&gt; " ",F486*(G486/H486)),"")</f>
        <v>461.19573796405075</v>
      </c>
    </row>
    <row r="487" spans="1:11" x14ac:dyDescent="0.35">
      <c r="A487" t="s">
        <v>18</v>
      </c>
      <c r="B487">
        <v>2011</v>
      </c>
      <c r="C487" t="s">
        <v>120</v>
      </c>
      <c r="D487" t="s">
        <v>43</v>
      </c>
      <c r="E487" t="str" cm="1">
        <f t="array" ref="E487">_xlfn.IFS(D487=policy_name_clustering!$A$2,policy_name_clustering!$C$2,D487=policy_name_clustering!$A$3,policy_name_clustering!$C$3,D487=policy_name_clustering!$A$5,policy_name_clustering!$C$5,D487=policy_name_clustering!$A$6,policy_name_clustering!$C$6,D487=policy_name_clustering!$A$7,policy_name_clustering!$C$7,D487=policy_name_clustering!$A$8,policy_name_clustering!$C$8,D487=policy_name_clustering!$A$9,policy_name_clustering!$C$9,D487=policy_name_clustering!$A$10,policy_name_clustering!$C$10,D487=policy_name_clustering!$A$11,policy_name_clustering!$C$11,D487=policy_name_clustering!$A$12,policy_name_clustering!$C$12,D487=policy_name_clustering!$A$13,policy_name_clustering!$C$13,D487=policy_name_clustering!$A$14,policy_name_clustering!$C$14,D487=policy_name_clustering!$A$15,policy_name_clustering!$C$15,D487=policy_name_clustering!$A$16,policy_name_clustering!$C$16,D487="-","",D487=policy_name_clustering!$A$4,policy_name_clustering!$C$4)</f>
        <v>TGC-based</v>
      </c>
      <c r="F487">
        <f>policy_contributions_cum!F160</f>
        <v>743.56013688365999</v>
      </c>
      <c r="G487">
        <f>wind_cump_cap!C443</f>
        <v>1800</v>
      </c>
      <c r="H487">
        <f>estimated_capacity!C429</f>
        <v>1443.08277239888</v>
      </c>
      <c r="I487" cm="1">
        <f t="array" ref="I487">_xlfn.IFS(D487= ""," ",D487&lt;&gt; " ",F487*(G487/H487))</f>
        <v>927.46464166134535</v>
      </c>
      <c r="J487" cm="1">
        <f t="array" ref="J487">_xlfn.IFS(D487= ""," ",D487&lt;&gt; " ",(H487-F487)*(G487/H487))</f>
        <v>872.53535833865476</v>
      </c>
      <c r="K487" cm="1">
        <f t="array" ref="K487">IF(ISNUMBER(H487),_xlfn.IFS(D487= ""," ",D487&lt;&gt; " ",F487*(G487/H487)),"")</f>
        <v>927.46464166134535</v>
      </c>
    </row>
    <row r="488" spans="1:11" x14ac:dyDescent="0.35">
      <c r="A488" t="s">
        <v>18</v>
      </c>
      <c r="B488">
        <v>2012</v>
      </c>
      <c r="C488" t="s">
        <v>120</v>
      </c>
      <c r="D488" t="s">
        <v>43</v>
      </c>
      <c r="E488" t="str" cm="1">
        <f t="array" ref="E488">_xlfn.IFS(D488=policy_name_clustering!$A$2,policy_name_clustering!$C$2,D488=policy_name_clustering!$A$3,policy_name_clustering!$C$3,D488=policy_name_clustering!$A$5,policy_name_clustering!$C$5,D488=policy_name_clustering!$A$6,policy_name_clustering!$C$6,D488=policy_name_clustering!$A$7,policy_name_clustering!$C$7,D488=policy_name_clustering!$A$8,policy_name_clustering!$C$8,D488=policy_name_clustering!$A$9,policy_name_clustering!$C$9,D488=policy_name_clustering!$A$10,policy_name_clustering!$C$10,D488=policy_name_clustering!$A$11,policy_name_clustering!$C$11,D488=policy_name_clustering!$A$12,policy_name_clustering!$C$12,D488=policy_name_clustering!$A$13,policy_name_clustering!$C$13,D488=policy_name_clustering!$A$14,policy_name_clustering!$C$14,D488=policy_name_clustering!$A$15,policy_name_clustering!$C$15,D488=policy_name_clustering!$A$16,policy_name_clustering!$C$16,D488="-","",D488=policy_name_clustering!$A$4,policy_name_clustering!$C$4)</f>
        <v>TGC-based</v>
      </c>
      <c r="F488">
        <f>policy_contributions_cum!F161</f>
        <v>1178.73741714736</v>
      </c>
      <c r="G488">
        <f>wind_cump_cap!C444</f>
        <v>2564</v>
      </c>
      <c r="H488">
        <f>estimated_capacity!C430</f>
        <v>1961.1775033389899</v>
      </c>
      <c r="I488" cm="1">
        <f t="array" ref="I488">_xlfn.IFS(D488= ""," ",D488&lt;&gt; " ",F488*(G488/H488))</f>
        <v>1541.055173445679</v>
      </c>
      <c r="J488" cm="1">
        <f t="array" ref="J488">_xlfn.IFS(D488= ""," ",D488&lt;&gt; " ",(H488-F488)*(G488/H488))</f>
        <v>1022.9448265543208</v>
      </c>
      <c r="K488" cm="1">
        <f t="array" ref="K488">IF(ISNUMBER(H488),_xlfn.IFS(D488= ""," ",D488&lt;&gt; " ",F488*(G488/H488)),"")</f>
        <v>1541.055173445679</v>
      </c>
    </row>
    <row r="489" spans="1:11" x14ac:dyDescent="0.35">
      <c r="A489" t="s">
        <v>18</v>
      </c>
      <c r="B489">
        <v>2013</v>
      </c>
      <c r="C489" t="s">
        <v>120</v>
      </c>
      <c r="D489" t="s">
        <v>43</v>
      </c>
      <c r="E489" t="str" cm="1">
        <f t="array" ref="E489">_xlfn.IFS(D489=policy_name_clustering!$A$2,policy_name_clustering!$C$2,D489=policy_name_clustering!$A$3,policy_name_clustering!$C$3,D489=policy_name_clustering!$A$5,policy_name_clustering!$C$5,D489=policy_name_clustering!$A$6,policy_name_clustering!$C$6,D489=policy_name_clustering!$A$7,policy_name_clustering!$C$7,D489=policy_name_clustering!$A$8,policy_name_clustering!$C$8,D489=policy_name_clustering!$A$9,policy_name_clustering!$C$9,D489=policy_name_clustering!$A$10,policy_name_clustering!$C$10,D489=policy_name_clustering!$A$11,policy_name_clustering!$C$11,D489=policy_name_clustering!$A$12,policy_name_clustering!$C$12,D489=policy_name_clustering!$A$13,policy_name_clustering!$C$13,D489=policy_name_clustering!$A$14,policy_name_clustering!$C$14,D489=policy_name_clustering!$A$15,policy_name_clustering!$C$15,D489=policy_name_clustering!$A$16,policy_name_clustering!$C$16,D489="-","",D489=policy_name_clustering!$A$4,policy_name_clustering!$C$4)</f>
        <v>TGC-based</v>
      </c>
      <c r="F489">
        <f>policy_contributions_cum!F162</f>
        <v>1747.6959676700701</v>
      </c>
      <c r="G489">
        <f>wind_cump_cap!C445</f>
        <v>3429</v>
      </c>
      <c r="H489">
        <f>estimated_capacity!C431</f>
        <v>2611.4788926299402</v>
      </c>
      <c r="I489" cm="1">
        <f t="array" ref="I489">_xlfn.IFS(D489= ""," ",D489&lt;&gt; " ",F489*(G489/H489))</f>
        <v>2294.8106109735604</v>
      </c>
      <c r="J489" cm="1">
        <f t="array" ref="J489">_xlfn.IFS(D489= ""," ",D489&lt;&gt; " ",(H489-F489)*(G489/H489))</f>
        <v>1134.1893890264396</v>
      </c>
      <c r="K489" cm="1">
        <f t="array" ref="K489">IF(ISNUMBER(H489),_xlfn.IFS(D489= ""," ",D489&lt;&gt; " ",F489*(G489/H489)),"")</f>
        <v>2294.8106109735604</v>
      </c>
    </row>
    <row r="490" spans="1:11" x14ac:dyDescent="0.35">
      <c r="A490" t="s">
        <v>18</v>
      </c>
      <c r="B490">
        <v>2014</v>
      </c>
      <c r="C490" t="s">
        <v>120</v>
      </c>
      <c r="D490" t="s">
        <v>43</v>
      </c>
      <c r="E490" t="str" cm="1">
        <f t="array" ref="E490">_xlfn.IFS(D490=policy_name_clustering!$A$2,policy_name_clustering!$C$2,D490=policy_name_clustering!$A$3,policy_name_clustering!$C$3,D490=policy_name_clustering!$A$5,policy_name_clustering!$C$5,D490=policy_name_clustering!$A$6,policy_name_clustering!$C$6,D490=policy_name_clustering!$A$7,policy_name_clustering!$C$7,D490=policy_name_clustering!$A$8,policy_name_clustering!$C$8,D490=policy_name_clustering!$A$9,policy_name_clustering!$C$9,D490=policy_name_clustering!$A$10,policy_name_clustering!$C$10,D490=policy_name_clustering!$A$11,policy_name_clustering!$C$11,D490=policy_name_clustering!$A$12,policy_name_clustering!$C$12,D490=policy_name_clustering!$A$13,policy_name_clustering!$C$13,D490=policy_name_clustering!$A$14,policy_name_clustering!$C$14,D490=policy_name_clustering!$A$15,policy_name_clustering!$C$15,D490=policy_name_clustering!$A$16,policy_name_clustering!$C$16,D490="-","",D490=policy_name_clustering!$A$4,policy_name_clustering!$C$4)</f>
        <v>TGC-based</v>
      </c>
      <c r="F490">
        <f>policy_contributions_cum!F163</f>
        <v>2531.6637828971802</v>
      </c>
      <c r="G490">
        <f>wind_cump_cap!C446</f>
        <v>3836</v>
      </c>
      <c r="H490">
        <f>estimated_capacity!C432</f>
        <v>3488.3797494260298</v>
      </c>
      <c r="I490" cm="1">
        <f t="array" ref="I490">_xlfn.IFS(D490= ""," ",D490&lt;&gt; " ",F490*(G490/H490))</f>
        <v>2783.9464074378616</v>
      </c>
      <c r="J490" cm="1">
        <f t="array" ref="J490">_xlfn.IFS(D490= ""," ",D490&lt;&gt; " ",(H490-F490)*(G490/H490))</f>
        <v>1052.0535925621384</v>
      </c>
      <c r="K490" cm="1">
        <f t="array" ref="K490">IF(ISNUMBER(H490),_xlfn.IFS(D490= ""," ",D490&lt;&gt; " ",F490*(G490/H490)),"")</f>
        <v>2783.9464074378616</v>
      </c>
    </row>
    <row r="491" spans="1:11" x14ac:dyDescent="0.35">
      <c r="A491" t="s">
        <v>18</v>
      </c>
      <c r="B491">
        <v>2015</v>
      </c>
      <c r="C491" t="s">
        <v>120</v>
      </c>
      <c r="D491" t="s">
        <v>43</v>
      </c>
      <c r="E491" t="str" cm="1">
        <f t="array" ref="E491">_xlfn.IFS(D491=policy_name_clustering!$A$2,policy_name_clustering!$C$2,D491=policy_name_clustering!$A$3,policy_name_clustering!$C$3,D491=policy_name_clustering!$A$5,policy_name_clustering!$C$5,D491=policy_name_clustering!$A$6,policy_name_clustering!$C$6,D491=policy_name_clustering!$A$7,policy_name_clustering!$C$7,D491=policy_name_clustering!$A$8,policy_name_clustering!$C$8,D491=policy_name_clustering!$A$9,policy_name_clustering!$C$9,D491=policy_name_clustering!$A$10,policy_name_clustering!$C$10,D491=policy_name_clustering!$A$11,policy_name_clustering!$C$11,D491=policy_name_clustering!$A$12,policy_name_clustering!$C$12,D491=policy_name_clustering!$A$13,policy_name_clustering!$C$13,D491=policy_name_clustering!$A$14,policy_name_clustering!$C$14,D491=policy_name_clustering!$A$15,policy_name_clustering!$C$15,D491=policy_name_clustering!$A$16,policy_name_clustering!$C$16,D491="-","",D491=policy_name_clustering!$A$4,policy_name_clustering!$C$4)</f>
        <v>TGC-based</v>
      </c>
      <c r="F491">
        <f>policy_contributions_cum!F164</f>
        <v>3693.51038253568</v>
      </c>
      <c r="G491">
        <f>wind_cump_cap!C447</f>
        <v>4886</v>
      </c>
      <c r="H491">
        <f>estimated_capacity!C433</f>
        <v>4773.9585359071398</v>
      </c>
      <c r="I491" cm="1">
        <f t="array" ref="I491">_xlfn.IFS(D491= ""," ",D491&lt;&gt; " ",F491*(G491/H491))</f>
        <v>3780.1944850030345</v>
      </c>
      <c r="J491" cm="1">
        <f t="array" ref="J491">_xlfn.IFS(D491= ""," ",D491&lt;&gt; " ",(H491-F491)*(G491/H491))</f>
        <v>1105.805514996965</v>
      </c>
      <c r="K491" cm="1">
        <f t="array" ref="K491">IF(ISNUMBER(H491),_xlfn.IFS(D491= ""," ",D491&lt;&gt; " ",F491*(G491/H491)),"")</f>
        <v>3780.1944850030345</v>
      </c>
    </row>
    <row r="492" spans="1:11" x14ac:dyDescent="0.35">
      <c r="A492" t="s">
        <v>18</v>
      </c>
      <c r="B492">
        <v>2016</v>
      </c>
      <c r="C492" t="s">
        <v>120</v>
      </c>
      <c r="D492" t="s">
        <v>43</v>
      </c>
      <c r="E492" t="str" cm="1">
        <f t="array" ref="E492">_xlfn.IFS(D492=policy_name_clustering!$A$2,policy_name_clustering!$C$2,D492=policy_name_clustering!$A$3,policy_name_clustering!$C$3,D492=policy_name_clustering!$A$5,policy_name_clustering!$C$5,D492=policy_name_clustering!$A$6,policy_name_clustering!$C$6,D492=policy_name_clustering!$A$7,policy_name_clustering!$C$7,D492=policy_name_clustering!$A$8,policy_name_clustering!$C$8,D492=policy_name_clustering!$A$9,policy_name_clustering!$C$9,D492=policy_name_clustering!$A$10,policy_name_clustering!$C$10,D492=policy_name_clustering!$A$11,policy_name_clustering!$C$11,D492=policy_name_clustering!$A$12,policy_name_clustering!$C$12,D492=policy_name_clustering!$A$13,policy_name_clustering!$C$13,D492=policy_name_clustering!$A$14,policy_name_clustering!$C$14,D492=policy_name_clustering!$A$15,policy_name_clustering!$C$15,D492=policy_name_clustering!$A$16,policy_name_clustering!$C$16,D492="-","",D492=policy_name_clustering!$A$4,policy_name_clustering!$C$4)</f>
        <v>TGC-based</v>
      </c>
      <c r="F492">
        <f>policy_contributions_cum!F165</f>
        <v>5144.0166517085199</v>
      </c>
      <c r="G492">
        <f>wind_cump_cap!C448</f>
        <v>5747</v>
      </c>
      <c r="H492">
        <f>estimated_capacity!C434</f>
        <v>6344.8609674060099</v>
      </c>
      <c r="I492" cm="1">
        <f t="array" ref="I492">_xlfn.IFS(D492= ""," ",D492&lt;&gt; " ",F492*(G492/H492))</f>
        <v>4659.3083519456632</v>
      </c>
      <c r="J492" cm="1">
        <f t="array" ref="J492">_xlfn.IFS(D492= ""," ",D492&lt;&gt; " ",(H492-F492)*(G492/H492))</f>
        <v>1087.6916480543364</v>
      </c>
      <c r="K492" cm="1">
        <f t="array" ref="K492">IF(ISNUMBER(H492),_xlfn.IFS(D492= ""," ",D492&lt;&gt; " ",F492*(G492/H492)),"")</f>
        <v>4659.3083519456632</v>
      </c>
    </row>
    <row r="493" spans="1:11" x14ac:dyDescent="0.35">
      <c r="A493" t="s">
        <v>18</v>
      </c>
      <c r="B493">
        <v>2017</v>
      </c>
      <c r="C493" t="s">
        <v>122</v>
      </c>
      <c r="D493" t="s">
        <v>43</v>
      </c>
      <c r="E493" t="str" cm="1">
        <f t="array" ref="E493">_xlfn.IFS(D493=policy_name_clustering!$A$2,policy_name_clustering!$C$2,D493=policy_name_clustering!$A$3,policy_name_clustering!$C$3,D493=policy_name_clustering!$A$5,policy_name_clustering!$C$5,D493=policy_name_clustering!$A$6,policy_name_clustering!$C$6,D493=policy_name_clustering!$A$7,policy_name_clustering!$C$7,D493=policy_name_clustering!$A$8,policy_name_clustering!$C$8,D493=policy_name_clustering!$A$9,policy_name_clustering!$C$9,D493=policy_name_clustering!$A$10,policy_name_clustering!$C$10,D493=policy_name_clustering!$A$11,policy_name_clustering!$C$11,D493=policy_name_clustering!$A$12,policy_name_clustering!$C$12,D493=policy_name_clustering!$A$13,policy_name_clustering!$C$13,D493=policy_name_clustering!$A$14,policy_name_clustering!$C$14,D493=policy_name_clustering!$A$15,policy_name_clustering!$C$15,D493=policy_name_clustering!$A$16,policy_name_clustering!$C$16,D493="-","",D493=policy_name_clustering!$A$4,policy_name_clustering!$C$4)</f>
        <v>TGC-based</v>
      </c>
      <c r="F493">
        <f>policy_contributions_cum!F166</f>
        <v>5237.0683186019796</v>
      </c>
      <c r="G493">
        <f>wind_cump_cap!C449</f>
        <v>5759.357</v>
      </c>
      <c r="H493">
        <f>estimated_capacity!C435</f>
        <v>6347.7407873070297</v>
      </c>
      <c r="I493" cm="1">
        <f t="array" ref="I493">_xlfn.IFS(D493= ""," ",D493&lt;&gt; " ",F493*(G493/H493))</f>
        <v>4751.6348084866513</v>
      </c>
      <c r="J493" cm="1">
        <f t="array" ref="J493">_xlfn.IFS(D493= ""," ",D493&lt;&gt; " ",(H493-F493)*(G493/H493))</f>
        <v>1007.722191513349</v>
      </c>
      <c r="K493" cm="1">
        <f t="array" ref="K493">IF(ISNUMBER(H493),_xlfn.IFS(D493= ""," ",D493&lt;&gt; " ",F493*(G493/H493)),"")</f>
        <v>4751.6348084866513</v>
      </c>
    </row>
    <row r="494" spans="1:11" x14ac:dyDescent="0.35">
      <c r="A494" t="s">
        <v>18</v>
      </c>
      <c r="B494">
        <v>2018</v>
      </c>
      <c r="C494" t="s">
        <v>120</v>
      </c>
      <c r="D494" t="s">
        <v>43</v>
      </c>
      <c r="E494" t="str" cm="1">
        <f t="array" ref="E494">_xlfn.IFS(D494=policy_name_clustering!$A$2,policy_name_clustering!$C$2,D494=policy_name_clustering!$A$3,policy_name_clustering!$C$3,D494=policy_name_clustering!$A$5,policy_name_clustering!$C$5,D494=policy_name_clustering!$A$6,policy_name_clustering!$C$6,D494=policy_name_clustering!$A$7,policy_name_clustering!$C$7,D494=policy_name_clustering!$A$8,policy_name_clustering!$C$8,D494=policy_name_clustering!$A$9,policy_name_clustering!$C$9,D494=policy_name_clustering!$A$10,policy_name_clustering!$C$10,D494=policy_name_clustering!$A$11,policy_name_clustering!$C$11,D494=policy_name_clustering!$A$12,policy_name_clustering!$C$12,D494=policy_name_clustering!$A$13,policy_name_clustering!$C$13,D494=policy_name_clustering!$A$14,policy_name_clustering!$C$14,D494=policy_name_clustering!$A$15,policy_name_clustering!$C$15,D494=policy_name_clustering!$A$16,policy_name_clustering!$C$16,D494="-","",D494=policy_name_clustering!$A$4,policy_name_clustering!$C$4)</f>
        <v>TGC-based</v>
      </c>
      <c r="F494">
        <f>policy_contributions_cum!F167</f>
        <v>5361.9954067086001</v>
      </c>
      <c r="G494">
        <f>wind_cump_cap!C450</f>
        <v>5766.0780000000004</v>
      </c>
      <c r="H494">
        <f>estimated_capacity!C436</f>
        <v>6383.3236170330401</v>
      </c>
      <c r="I494" cm="1">
        <f t="array" ref="I494">_xlfn.IFS(D494= ""," ",D494&lt;&gt; " ",F494*(G494/H494))</f>
        <v>4843.5087433486588</v>
      </c>
      <c r="J494" cm="1">
        <f t="array" ref="J494">_xlfn.IFS(D494= ""," ",D494&lt;&gt; " ",(H494-F494)*(G494/H494))</f>
        <v>922.56925665134202</v>
      </c>
      <c r="K494" cm="1">
        <f t="array" ref="K494">IF(ISNUMBER(H494),_xlfn.IFS(D494= ""," ",D494&lt;&gt; " ",F494*(G494/H494)),"")</f>
        <v>4843.5087433486588</v>
      </c>
    </row>
    <row r="495" spans="1:11" x14ac:dyDescent="0.35">
      <c r="A495" t="s">
        <v>18</v>
      </c>
      <c r="B495">
        <v>2019</v>
      </c>
      <c r="C495" t="s">
        <v>123</v>
      </c>
      <c r="D495" t="s">
        <v>43</v>
      </c>
      <c r="E495" t="str" cm="1">
        <f t="array" ref="E495">_xlfn.IFS(D495=policy_name_clustering!$A$2,policy_name_clustering!$C$2,D495=policy_name_clustering!$A$3,policy_name_clustering!$C$3,D495=policy_name_clustering!$A$5,policy_name_clustering!$C$5,D495=policy_name_clustering!$A$6,policy_name_clustering!$C$6,D495=policy_name_clustering!$A$7,policy_name_clustering!$C$7,D495=policy_name_clustering!$A$8,policy_name_clustering!$C$8,D495=policy_name_clustering!$A$9,policy_name_clustering!$C$9,D495=policy_name_clustering!$A$10,policy_name_clustering!$C$10,D495=policy_name_clustering!$A$11,policy_name_clustering!$C$11,D495=policy_name_clustering!$A$12,policy_name_clustering!$C$12,D495=policy_name_clustering!$A$13,policy_name_clustering!$C$13,D495=policy_name_clustering!$A$14,policy_name_clustering!$C$14,D495=policy_name_clustering!$A$15,policy_name_clustering!$C$15,D495=policy_name_clustering!$A$16,policy_name_clustering!$C$16,D495="-","",D495=policy_name_clustering!$A$4,policy_name_clustering!$C$4)</f>
        <v>TGC-based</v>
      </c>
      <c r="F495">
        <f>policy_contributions_cum!F168</f>
        <v>5533.5151155329304</v>
      </c>
      <c r="G495">
        <f>wind_cump_cap!C451</f>
        <v>5837.7610000000004</v>
      </c>
      <c r="H495">
        <f>estimated_capacity!C437</f>
        <v>6466.74067802628</v>
      </c>
      <c r="I495" cm="1">
        <f t="array" ref="I495">_xlfn.IFS(D495= ""," ",D495&lt;&gt; " ",F495*(G495/H495))</f>
        <v>4995.3044884162528</v>
      </c>
      <c r="J495" cm="1">
        <f t="array" ref="J495">_xlfn.IFS(D495= ""," ",D495&lt;&gt; " ",(H495-F495)*(G495/H495))</f>
        <v>842.45651158374767</v>
      </c>
      <c r="K495" cm="1">
        <f t="array" ref="K495">IF(ISNUMBER(H495),_xlfn.IFS(D495= ""," ",D495&lt;&gt; " ",F495*(G495/H495)),"")</f>
        <v>4995.3044884162528</v>
      </c>
    </row>
    <row r="496" spans="1:11" x14ac:dyDescent="0.35">
      <c r="A496" t="s">
        <v>18</v>
      </c>
      <c r="B496">
        <v>2020</v>
      </c>
      <c r="C496" s="12" t="s">
        <v>90</v>
      </c>
      <c r="D496" s="11" t="s">
        <v>43</v>
      </c>
      <c r="E496" t="str" cm="1">
        <f t="array" ref="E496">_xlfn.IFS(D496=policy_name_clustering!$A$2,policy_name_clustering!$C$2,D496=policy_name_clustering!$A$3,policy_name_clustering!$C$3,D496=policy_name_clustering!$A$5,policy_name_clustering!$C$5,D496=policy_name_clustering!$A$6,policy_name_clustering!$C$6,D496=policy_name_clustering!$A$7,policy_name_clustering!$C$7,D496=policy_name_clustering!$A$8,policy_name_clustering!$C$8,D496=policy_name_clustering!$A$9,policy_name_clustering!$C$9,D496=policy_name_clustering!$A$10,policy_name_clustering!$C$10,D496=policy_name_clustering!$A$11,policy_name_clustering!$C$11,D496=policy_name_clustering!$A$12,policy_name_clustering!$C$12,D496=policy_name_clustering!$A$13,policy_name_clustering!$C$13,D496=policy_name_clustering!$A$14,policy_name_clustering!$C$14,D496=policy_name_clustering!$A$15,policy_name_clustering!$C$15,D496=policy_name_clustering!$A$16,policy_name_clustering!$C$16,D496="-","",D496=policy_name_clustering!$A$4,policy_name_clustering!$C$4)</f>
        <v>TGC-based</v>
      </c>
      <c r="I496">
        <f>I495</f>
        <v>4995.3044884162528</v>
      </c>
      <c r="K496" t="str" cm="1">
        <f t="array" ref="K496">IF(ISNUMBER(H496),_xlfn.IFS(D496= ""," ",D496&lt;&gt; " ",F496*(G496/H496)),"")</f>
        <v/>
      </c>
    </row>
    <row r="497" spans="1:11" x14ac:dyDescent="0.35">
      <c r="A497" t="s">
        <v>18</v>
      </c>
      <c r="B497">
        <v>2021</v>
      </c>
      <c r="C497" t="s">
        <v>91</v>
      </c>
      <c r="D497" s="11" t="s">
        <v>43</v>
      </c>
      <c r="E497" t="str" cm="1">
        <f t="array" ref="E497">_xlfn.IFS(D497=policy_name_clustering!$A$2,policy_name_clustering!$C$2,D497=policy_name_clustering!$A$3,policy_name_clustering!$C$3,D497=policy_name_clustering!$A$5,policy_name_clustering!$C$5,D497=policy_name_clustering!$A$6,policy_name_clustering!$C$6,D497=policy_name_clustering!$A$7,policy_name_clustering!$C$7,D497=policy_name_clustering!$A$8,policy_name_clustering!$C$8,D497=policy_name_clustering!$A$9,policy_name_clustering!$C$9,D497=policy_name_clustering!$A$10,policy_name_clustering!$C$10,D497=policy_name_clustering!$A$11,policy_name_clustering!$C$11,D497=policy_name_clustering!$A$12,policy_name_clustering!$C$12,D497=policy_name_clustering!$A$13,policy_name_clustering!$C$13,D497=policy_name_clustering!$A$14,policy_name_clustering!$C$14,D497=policy_name_clustering!$A$15,policy_name_clustering!$C$15,D497=policy_name_clustering!$A$16,policy_name_clustering!$C$16,D497="-","",D497=policy_name_clustering!$A$4,policy_name_clustering!$C$4)</f>
        <v>TGC-based</v>
      </c>
      <c r="I497">
        <f t="shared" ref="I497:I499" si="8">I496</f>
        <v>4995.3044884162528</v>
      </c>
      <c r="K497" t="str" cm="1">
        <f t="array" ref="K497">IF(ISNUMBER(H497),_xlfn.IFS(D497= ""," ",D497&lt;&gt; " ",F497*(G497/H497)),"")</f>
        <v/>
      </c>
    </row>
    <row r="498" spans="1:11" x14ac:dyDescent="0.35">
      <c r="A498" t="s">
        <v>18</v>
      </c>
      <c r="B498">
        <v>2022</v>
      </c>
      <c r="D498" s="11" t="s">
        <v>43</v>
      </c>
      <c r="E498" t="str" cm="1">
        <f t="array" ref="E498">_xlfn.IFS(D498=policy_name_clustering!$A$2,policy_name_clustering!$C$2,D498=policy_name_clustering!$A$3,policy_name_clustering!$C$3,D498=policy_name_clustering!$A$5,policy_name_clustering!$C$5,D498=policy_name_clustering!$A$6,policy_name_clustering!$C$6,D498=policy_name_clustering!$A$7,policy_name_clustering!$C$7,D498=policy_name_clustering!$A$8,policy_name_clustering!$C$8,D498=policy_name_clustering!$A$9,policy_name_clustering!$C$9,D498=policy_name_clustering!$A$10,policy_name_clustering!$C$10,D498=policy_name_clustering!$A$11,policy_name_clustering!$C$11,D498=policy_name_clustering!$A$12,policy_name_clustering!$C$12,D498=policy_name_clustering!$A$13,policy_name_clustering!$C$13,D498=policy_name_clustering!$A$14,policy_name_clustering!$C$14,D498=policy_name_clustering!$A$15,policy_name_clustering!$C$15,D498=policy_name_clustering!$A$16,policy_name_clustering!$C$16,D498="-","",D498=policy_name_clustering!$A$4,policy_name_clustering!$C$4)</f>
        <v>TGC-based</v>
      </c>
      <c r="I498">
        <f t="shared" si="8"/>
        <v>4995.3044884162528</v>
      </c>
      <c r="K498" t="str" cm="1">
        <f t="array" ref="K498">IF(ISNUMBER(H498),_xlfn.IFS(D498= ""," ",D498&lt;&gt; " ",F498*(G498/H498)),"")</f>
        <v/>
      </c>
    </row>
    <row r="499" spans="1:11" x14ac:dyDescent="0.35">
      <c r="A499" t="s">
        <v>18</v>
      </c>
      <c r="B499">
        <v>2023</v>
      </c>
      <c r="C499" t="s">
        <v>124</v>
      </c>
      <c r="D499" s="11" t="s">
        <v>43</v>
      </c>
      <c r="E499" t="str" cm="1">
        <f t="array" ref="E499">_xlfn.IFS(D499=policy_name_clustering!$A$2,policy_name_clustering!$C$2,D499=policy_name_clustering!$A$3,policy_name_clustering!$C$3,D499=policy_name_clustering!$A$5,policy_name_clustering!$C$5,D499=policy_name_clustering!$A$6,policy_name_clustering!$C$6,D499=policy_name_clustering!$A$7,policy_name_clustering!$C$7,D499=policy_name_clustering!$A$8,policy_name_clustering!$C$8,D499=policy_name_clustering!$A$9,policy_name_clustering!$C$9,D499=policy_name_clustering!$A$10,policy_name_clustering!$C$10,D499=policy_name_clustering!$A$11,policy_name_clustering!$C$11,D499=policy_name_clustering!$A$12,policy_name_clustering!$C$12,D499=policy_name_clustering!$A$13,policy_name_clustering!$C$13,D499=policy_name_clustering!$A$14,policy_name_clustering!$C$14,D499=policy_name_clustering!$A$15,policy_name_clustering!$C$15,D499=policy_name_clustering!$A$16,policy_name_clustering!$C$16,D499="-","",D499=policy_name_clustering!$A$4,policy_name_clustering!$C$4)</f>
        <v>TGC-based</v>
      </c>
      <c r="I499">
        <f t="shared" si="8"/>
        <v>4995.3044884162528</v>
      </c>
      <c r="K499" t="str" cm="1">
        <f t="array" ref="K499">IF(ISNUMBER(H499),_xlfn.IFS(D499= ""," ",D499&lt;&gt; " ",F499*(G499/H499)),"")</f>
        <v/>
      </c>
    </row>
    <row r="500" spans="1:11" x14ac:dyDescent="0.35">
      <c r="A500" t="s">
        <v>18</v>
      </c>
      <c r="B500">
        <v>2020</v>
      </c>
      <c r="C500" t="s">
        <v>177</v>
      </c>
      <c r="D500" s="15" t="s">
        <v>157</v>
      </c>
      <c r="E500" t="str" cm="1">
        <f t="array" ref="E500">_xlfn.IFS(D500=policy_name_clustering!$A$2,policy_name_clustering!$C$2,D500=policy_name_clustering!$A$3,policy_name_clustering!$C$3,D500=policy_name_clustering!$A$5,policy_name_clustering!$C$5,D500=policy_name_clustering!$A$6,policy_name_clustering!$C$6,D500=policy_name_clustering!$A$7,policy_name_clustering!$C$7,D500=policy_name_clustering!$A$8,policy_name_clustering!$C$8,D500=policy_name_clustering!$A$9,policy_name_clustering!$C$9,D500=policy_name_clustering!$A$10,policy_name_clustering!$C$10,D500=policy_name_clustering!$A$11,policy_name_clustering!$C$11,D500=policy_name_clustering!$A$12,policy_name_clustering!$C$12,D500=policy_name_clustering!$A$13,policy_name_clustering!$C$13,D500=policy_name_clustering!$A$14,policy_name_clustering!$C$14,D500=policy_name_clustering!$A$15,policy_name_clustering!$C$15,D500=policy_name_clustering!$A$16,policy_name_clustering!$C$16,D500="-","",D500=policy_name_clustering!$A$4,policy_name_clustering!$C$4)</f>
        <v>Tender-based</v>
      </c>
      <c r="F500">
        <f>policy_contributions_cum!F152</f>
        <v>416.453993438981</v>
      </c>
      <c r="G500">
        <f>wind_cump_cap!C452</f>
        <v>6298.25</v>
      </c>
      <c r="H500">
        <f>estimated_capacity!C438</f>
        <v>7051.0790666781904</v>
      </c>
      <c r="I500" cm="1">
        <f t="array" ref="I500">_xlfn.IFS(D500= ""," ",D500&lt;&gt; " ",F500*(G500/H500))</f>
        <v>371.99006554506587</v>
      </c>
      <c r="J500" cm="1">
        <f t="array" ref="J500">_xlfn.IFS(D500= ""," ",D500&lt;&gt; " ",(H500-F500)*(G500/H500)-$I$497)</f>
        <v>930.95544603868075</v>
      </c>
      <c r="K500" cm="1">
        <f t="array" ref="K500">IF(ISNUMBER(H500),_xlfn.IFS(D500= ""," ",D500&lt;&gt; " ",F500*(G500/H500)),"")</f>
        <v>371.99006554506587</v>
      </c>
    </row>
    <row r="501" spans="1:11" x14ac:dyDescent="0.35">
      <c r="A501" t="s">
        <v>18</v>
      </c>
      <c r="B501">
        <v>2021</v>
      </c>
      <c r="C501" t="s">
        <v>178</v>
      </c>
      <c r="D501" s="15" t="s">
        <v>157</v>
      </c>
      <c r="E501" t="str" cm="1">
        <f t="array" ref="E501">_xlfn.IFS(D501=policy_name_clustering!$A$2,policy_name_clustering!$C$2,D501=policy_name_clustering!$A$3,policy_name_clustering!$C$3,D501=policy_name_clustering!$A$5,policy_name_clustering!$C$5,D501=policy_name_clustering!$A$6,policy_name_clustering!$C$6,D501=policy_name_clustering!$A$7,policy_name_clustering!$C$7,D501=policy_name_clustering!$A$8,policy_name_clustering!$C$8,D501=policy_name_clustering!$A$9,policy_name_clustering!$C$9,D501=policy_name_clustering!$A$10,policy_name_clustering!$C$10,D501=policy_name_clustering!$A$11,policy_name_clustering!$C$11,D501=policy_name_clustering!$A$12,policy_name_clustering!$C$12,D501=policy_name_clustering!$A$13,policy_name_clustering!$C$13,D501=policy_name_clustering!$A$14,policy_name_clustering!$C$14,D501=policy_name_clustering!$A$15,policy_name_clustering!$C$15,D501=policy_name_clustering!$A$16,policy_name_clustering!$C$16,D501="-","",D501=policy_name_clustering!$A$4,policy_name_clustering!$C$4)</f>
        <v>Tender-based</v>
      </c>
      <c r="F501">
        <f>policy_contributions_cum!F153</f>
        <v>945.19165807763102</v>
      </c>
      <c r="G501">
        <f>wind_cump_cap!C453</f>
        <v>6967.3389999999999</v>
      </c>
      <c r="H501">
        <f>estimated_capacity!C439</f>
        <v>7820.3283491366401</v>
      </c>
      <c r="I501" cm="1">
        <f t="array" ref="I501">_xlfn.IFS(D501= ""," ",D501&lt;&gt; " ",F501*(G501/H501))</f>
        <v>842.09644503302422</v>
      </c>
      <c r="J501" cm="1">
        <f t="array" ref="J501">_xlfn.IFS(D501= ""," ",D501&lt;&gt; " ",(H501-F501)*(G501/H501)-$I$497)</f>
        <v>1129.9380665507233</v>
      </c>
      <c r="K501" cm="1">
        <f t="array" ref="K501">IF(ISNUMBER(H501),_xlfn.IFS(D501= ""," ",D501&lt;&gt; " ",F501*(G501/H501)),"")</f>
        <v>842.09644503302422</v>
      </c>
    </row>
    <row r="502" spans="1:11" x14ac:dyDescent="0.35">
      <c r="A502" t="s">
        <v>18</v>
      </c>
      <c r="B502">
        <v>2022</v>
      </c>
      <c r="C502" t="s">
        <v>177</v>
      </c>
      <c r="D502" s="15" t="s">
        <v>157</v>
      </c>
      <c r="E502" t="str" cm="1">
        <f t="array" ref="E502">_xlfn.IFS(D502=policy_name_clustering!$A$2,policy_name_clustering!$C$2,D502=policy_name_clustering!$A$3,policy_name_clustering!$C$3,D502=policy_name_clustering!$A$5,policy_name_clustering!$C$5,D502=policy_name_clustering!$A$6,policy_name_clustering!$C$6,D502=policy_name_clustering!$A$7,policy_name_clustering!$C$7,D502=policy_name_clustering!$A$8,policy_name_clustering!$C$8,D502=policy_name_clustering!$A$9,policy_name_clustering!$C$9,D502=policy_name_clustering!$A$10,policy_name_clustering!$C$10,D502=policy_name_clustering!$A$11,policy_name_clustering!$C$11,D502=policy_name_clustering!$A$12,policy_name_clustering!$C$12,D502=policy_name_clustering!$A$13,policy_name_clustering!$C$13,D502=policy_name_clustering!$A$14,policy_name_clustering!$C$14,D502=policy_name_clustering!$A$15,policy_name_clustering!$C$15,D502=policy_name_clustering!$A$16,policy_name_clustering!$C$16,D502="-","",D502=policy_name_clustering!$A$4,policy_name_clustering!$C$4)</f>
        <v>Tender-based</v>
      </c>
      <c r="F502">
        <f>policy_contributions_cum!F154</f>
        <v>1586.70058895069</v>
      </c>
      <c r="G502">
        <f>wind_cump_cap!C454</f>
        <v>8150.2349999999997</v>
      </c>
      <c r="H502">
        <f>estimated_capacity!C440</f>
        <v>8775.2915062155498</v>
      </c>
      <c r="I502" cm="1">
        <f t="array" ref="I502">_xlfn.IFS(D502= ""," ",D502&lt;&gt; " ",F502*(G502/H502))</f>
        <v>1473.6812635143558</v>
      </c>
      <c r="J502" cm="1">
        <f t="array" ref="J502">_xlfn.IFS(D502= ""," ",D502&lt;&gt; " ",(H502-F502)*(G502/H502)-$I$497)</f>
        <v>1681.2492480693909</v>
      </c>
      <c r="K502" cm="1">
        <f t="array" ref="K502">IF(ISNUMBER(H502),_xlfn.IFS(D502= ""," ",D502&lt;&gt; " ",F502*(G502/H502)),"")</f>
        <v>1473.6812635143558</v>
      </c>
    </row>
    <row r="503" spans="1:11" x14ac:dyDescent="0.35">
      <c r="A503" t="s">
        <v>18</v>
      </c>
      <c r="B503">
        <v>2023</v>
      </c>
      <c r="C503" t="s">
        <v>179</v>
      </c>
      <c r="D503" s="15" t="s">
        <v>157</v>
      </c>
      <c r="E503" t="str" cm="1">
        <f t="array" ref="E503">_xlfn.IFS(D503=policy_name_clustering!$A$2,policy_name_clustering!$C$2,D503=policy_name_clustering!$A$3,policy_name_clustering!$C$3,D503=policy_name_clustering!$A$5,policy_name_clustering!$C$5,D503=policy_name_clustering!$A$6,policy_name_clustering!$C$6,D503=policy_name_clustering!$A$7,policy_name_clustering!$C$7,D503=policy_name_clustering!$A$8,policy_name_clustering!$C$8,D503=policy_name_clustering!$A$9,policy_name_clustering!$C$9,D503=policy_name_clustering!$A$10,policy_name_clustering!$C$10,D503=policy_name_clustering!$A$11,policy_name_clustering!$C$11,D503=policy_name_clustering!$A$12,policy_name_clustering!$C$12,D503=policy_name_clustering!$A$13,policy_name_clustering!$C$13,D503=policy_name_clustering!$A$14,policy_name_clustering!$C$14,D503=policy_name_clustering!$A$15,policy_name_clustering!$C$15,D503=policy_name_clustering!$A$16,policy_name_clustering!$C$16,D503="-","",D503=policy_name_clustering!$A$4,policy_name_clustering!$C$4)</f>
        <v>Tender-based</v>
      </c>
      <c r="F503">
        <f>policy_contributions_cum!F155</f>
        <v>2509.9189753574201</v>
      </c>
      <c r="G503">
        <f>wind_cump_cap!C455</f>
        <v>9343.3209999999999</v>
      </c>
      <c r="H503">
        <f>estimated_capacity!C441</f>
        <v>10194.179173955101</v>
      </c>
      <c r="I503" cm="1">
        <f t="array" ref="I503">_xlfn.IFS(D503= ""," ",D503&lt;&gt; " ",F503*(G503/H503))</f>
        <v>2300.4283396028482</v>
      </c>
      <c r="J503" cm="1">
        <f t="array" ref="J503">_xlfn.IFS(D503= ""," ",D503&lt;&gt; " ",(H503-F503)*(G503/H503)-$I$497)</f>
        <v>2047.5881719808995</v>
      </c>
      <c r="K503" cm="1">
        <f t="array" ref="K503">IF(ISNUMBER(H503),_xlfn.IFS(D503= ""," ",D503&lt;&gt; " ",F503*(G503/H503)),"")</f>
        <v>2300.4283396028482</v>
      </c>
    </row>
    <row r="504" spans="1:11" x14ac:dyDescent="0.35">
      <c r="A504" t="s">
        <v>14</v>
      </c>
      <c r="B504">
        <v>1991</v>
      </c>
      <c r="D504" t="s">
        <v>137</v>
      </c>
      <c r="E504" t="str" cm="1">
        <f t="array" ref="E504">_xlfn.IFS(D504=policy_name_clustering!$A$2,policy_name_clustering!$C$2,D504=policy_name_clustering!$A$3,policy_name_clustering!$C$3,D504=policy_name_clustering!$A$5,policy_name_clustering!$C$5,D504=policy_name_clustering!$A$6,policy_name_clustering!$C$6,D504=policy_name_clustering!$A$7,policy_name_clustering!$C$7,D504=policy_name_clustering!$A$8,policy_name_clustering!$C$8,D504=policy_name_clustering!$A$9,policy_name_clustering!$C$9,D504=policy_name_clustering!$A$10,policy_name_clustering!$C$10,D504=policy_name_clustering!$A$11,policy_name_clustering!$C$11,D504=policy_name_clustering!$A$12,policy_name_clustering!$C$12,D504=policy_name_clustering!$A$13,policy_name_clustering!$C$13,D504=policy_name_clustering!$A$14,policy_name_clustering!$C$14,D504=policy_name_clustering!$A$15,policy_name_clustering!$C$15,D504=policy_name_clustering!$A$16,policy_name_clustering!$C$16,D504="-","",D504=policy_name_clustering!$A$4,policy_name_clustering!$C$4)</f>
        <v/>
      </c>
      <c r="G504">
        <f>wind_cump_cap!C457</f>
        <v>1</v>
      </c>
      <c r="H504">
        <f>estimated_capacity!C442</f>
        <v>-15.277270398103701</v>
      </c>
      <c r="I504" cm="1">
        <f t="array" ref="I504">_xlfn.IFS(D504= ""," ",D504&lt;&gt; " ",F504*(G504/H504))</f>
        <v>0</v>
      </c>
      <c r="J504" cm="1">
        <f t="array" ref="J504">_xlfn.IFS(D504= ""," ",D504&lt;&gt; " ",(H504-F504)*(G504/H504))</f>
        <v>1</v>
      </c>
      <c r="K504" cm="1">
        <f t="array" ref="K504">IF(ISNUMBER(H504),_xlfn.IFS(D504= ""," ",D504&lt;&gt; " ",F504*(G504/H504)),"")</f>
        <v>0</v>
      </c>
    </row>
    <row r="505" spans="1:11" x14ac:dyDescent="0.35">
      <c r="A505" t="s">
        <v>14</v>
      </c>
      <c r="B505">
        <v>1992</v>
      </c>
      <c r="D505" t="s">
        <v>137</v>
      </c>
      <c r="E505" t="str" cm="1">
        <f t="array" ref="E505">_xlfn.IFS(D505=policy_name_clustering!$A$2,policy_name_clustering!$C$2,D505=policy_name_clustering!$A$3,policy_name_clustering!$C$3,D505=policy_name_clustering!$A$5,policy_name_clustering!$C$5,D505=policy_name_clustering!$A$6,policy_name_clustering!$C$6,D505=policy_name_clustering!$A$7,policy_name_clustering!$C$7,D505=policy_name_clustering!$A$8,policy_name_clustering!$C$8,D505=policy_name_clustering!$A$9,policy_name_clustering!$C$9,D505=policy_name_clustering!$A$10,policy_name_clustering!$C$10,D505=policy_name_clustering!$A$11,policy_name_clustering!$C$11,D505=policy_name_clustering!$A$12,policy_name_clustering!$C$12,D505=policy_name_clustering!$A$13,policy_name_clustering!$C$13,D505=policy_name_clustering!$A$14,policy_name_clustering!$C$14,D505=policy_name_clustering!$A$15,policy_name_clustering!$C$15,D505=policy_name_clustering!$A$16,policy_name_clustering!$C$16,D505="-","",D505=policy_name_clustering!$A$4,policy_name_clustering!$C$4)</f>
        <v/>
      </c>
      <c r="G505">
        <f>wind_cump_cap!C458</f>
        <v>3</v>
      </c>
      <c r="H505">
        <f>estimated_capacity!C443</f>
        <v>-28.1490256808213</v>
      </c>
      <c r="I505" cm="1">
        <f t="array" ref="I505">_xlfn.IFS(D505= ""," ",D505&lt;&gt; " ",F505*(G505/H505))</f>
        <v>0</v>
      </c>
      <c r="J505" cm="1">
        <f t="array" ref="J505">_xlfn.IFS(D505= ""," ",D505&lt;&gt; " ",(H505-F505)*(G505/H505))</f>
        <v>3</v>
      </c>
      <c r="K505" cm="1">
        <f t="array" ref="K505">IF(ISNUMBER(H505),_xlfn.IFS(D505= ""," ",D505&lt;&gt; " ",F505*(G505/H505)),"")</f>
        <v>0</v>
      </c>
    </row>
    <row r="506" spans="1:11" x14ac:dyDescent="0.35">
      <c r="A506" t="s">
        <v>14</v>
      </c>
      <c r="B506">
        <v>1993</v>
      </c>
      <c r="D506" t="s">
        <v>137</v>
      </c>
      <c r="E506" t="str" cm="1">
        <f t="array" ref="E506">_xlfn.IFS(D506=policy_name_clustering!$A$2,policy_name_clustering!$C$2,D506=policy_name_clustering!$A$3,policy_name_clustering!$C$3,D506=policy_name_clustering!$A$5,policy_name_clustering!$C$5,D506=policy_name_clustering!$A$6,policy_name_clustering!$C$6,D506=policy_name_clustering!$A$7,policy_name_clustering!$C$7,D506=policy_name_clustering!$A$8,policy_name_clustering!$C$8,D506=policy_name_clustering!$A$9,policy_name_clustering!$C$9,D506=policy_name_clustering!$A$10,policy_name_clustering!$C$10,D506=policy_name_clustering!$A$11,policy_name_clustering!$C$11,D506=policy_name_clustering!$A$12,policy_name_clustering!$C$12,D506=policy_name_clustering!$A$13,policy_name_clustering!$C$13,D506=policy_name_clustering!$A$14,policy_name_clustering!$C$14,D506=policy_name_clustering!$A$15,policy_name_clustering!$C$15,D506=policy_name_clustering!$A$16,policy_name_clustering!$C$16,D506="-","",D506=policy_name_clustering!$A$4,policy_name_clustering!$C$4)</f>
        <v/>
      </c>
      <c r="G506">
        <f>wind_cump_cap!C459</f>
        <v>8</v>
      </c>
      <c r="H506">
        <f>estimated_capacity!C444</f>
        <v>-31.469171613009099</v>
      </c>
      <c r="I506" cm="1">
        <f t="array" ref="I506">_xlfn.IFS(D506= ""," ",D506&lt;&gt; " ",F506*(G506/H506))</f>
        <v>0</v>
      </c>
      <c r="J506" cm="1">
        <f t="array" ref="J506">_xlfn.IFS(D506= ""," ",D506&lt;&gt; " ",(H506-F506)*(G506/H506))</f>
        <v>8</v>
      </c>
      <c r="K506" cm="1">
        <f t="array" ref="K506">IF(ISNUMBER(H506),_xlfn.IFS(D506= ""," ",D506&lt;&gt; " ",F506*(G506/H506)),"")</f>
        <v>0</v>
      </c>
    </row>
    <row r="507" spans="1:11" x14ac:dyDescent="0.35">
      <c r="A507" t="s">
        <v>14</v>
      </c>
      <c r="B507">
        <v>1994</v>
      </c>
      <c r="D507" t="s">
        <v>137</v>
      </c>
      <c r="E507" t="str" cm="1">
        <f t="array" ref="E507">_xlfn.IFS(D507=policy_name_clustering!$A$2,policy_name_clustering!$C$2,D507=policy_name_clustering!$A$3,policy_name_clustering!$C$3,D507=policy_name_clustering!$A$5,policy_name_clustering!$C$5,D507=policy_name_clustering!$A$6,policy_name_clustering!$C$6,D507=policy_name_clustering!$A$7,policy_name_clustering!$C$7,D507=policy_name_clustering!$A$8,policy_name_clustering!$C$8,D507=policy_name_clustering!$A$9,policy_name_clustering!$C$9,D507=policy_name_clustering!$A$10,policy_name_clustering!$C$10,D507=policy_name_clustering!$A$11,policy_name_clustering!$C$11,D507=policy_name_clustering!$A$12,policy_name_clustering!$C$12,D507=policy_name_clustering!$A$13,policy_name_clustering!$C$13,D507=policy_name_clustering!$A$14,policy_name_clustering!$C$14,D507=policy_name_clustering!$A$15,policy_name_clustering!$C$15,D507=policy_name_clustering!$A$16,policy_name_clustering!$C$16,D507="-","",D507=policy_name_clustering!$A$4,policy_name_clustering!$C$4)</f>
        <v/>
      </c>
      <c r="G507">
        <f>wind_cump_cap!C460</f>
        <v>8</v>
      </c>
      <c r="H507">
        <f>estimated_capacity!C445</f>
        <v>-31.4684949820582</v>
      </c>
      <c r="I507" cm="1">
        <f t="array" ref="I507">_xlfn.IFS(D507= ""," ",D507&lt;&gt; " ",F507*(G507/H507))</f>
        <v>0</v>
      </c>
      <c r="J507" cm="1">
        <f t="array" ref="J507">_xlfn.IFS(D507= ""," ",D507&lt;&gt; " ",(H507-F507)*(G507/H507))</f>
        <v>8</v>
      </c>
      <c r="K507" cm="1">
        <f t="array" ref="K507">IF(ISNUMBER(H507),_xlfn.IFS(D507= ""," ",D507&lt;&gt; " ",F507*(G507/H507)),"")</f>
        <v>0</v>
      </c>
    </row>
    <row r="508" spans="1:11" x14ac:dyDescent="0.35">
      <c r="A508" t="s">
        <v>14</v>
      </c>
      <c r="B508">
        <v>1995</v>
      </c>
      <c r="D508" t="s">
        <v>137</v>
      </c>
      <c r="E508" t="str" cm="1">
        <f t="array" ref="E508">_xlfn.IFS(D508=policy_name_clustering!$A$2,policy_name_clustering!$C$2,D508=policy_name_clustering!$A$3,policy_name_clustering!$C$3,D508=policy_name_clustering!$A$5,policy_name_clustering!$C$5,D508=policy_name_clustering!$A$6,policy_name_clustering!$C$6,D508=policy_name_clustering!$A$7,policy_name_clustering!$C$7,D508=policy_name_clustering!$A$8,policy_name_clustering!$C$8,D508=policy_name_clustering!$A$9,policy_name_clustering!$C$9,D508=policy_name_clustering!$A$10,policy_name_clustering!$C$10,D508=policy_name_clustering!$A$11,policy_name_clustering!$C$11,D508=policy_name_clustering!$A$12,policy_name_clustering!$C$12,D508=policy_name_clustering!$A$13,policy_name_clustering!$C$13,D508=policy_name_clustering!$A$14,policy_name_clustering!$C$14,D508=policy_name_clustering!$A$15,policy_name_clustering!$C$15,D508=policy_name_clustering!$A$16,policy_name_clustering!$C$16,D508="-","",D508=policy_name_clustering!$A$4,policy_name_clustering!$C$4)</f>
        <v/>
      </c>
      <c r="G508">
        <f>wind_cump_cap!C461</f>
        <v>8</v>
      </c>
      <c r="H508">
        <f>estimated_capacity!C446</f>
        <v>-21.479690393752399</v>
      </c>
      <c r="I508" cm="1">
        <f t="array" ref="I508">_xlfn.IFS(D508= ""," ",D508&lt;&gt; " ",F508*(G508/H508))</f>
        <v>0</v>
      </c>
      <c r="J508" cm="1">
        <f t="array" ref="J508">_xlfn.IFS(D508= ""," ",D508&lt;&gt; " ",(H508-F508)*(G508/H508))</f>
        <v>8</v>
      </c>
      <c r="K508" cm="1">
        <f t="array" ref="K508">IF(ISNUMBER(H508),_xlfn.IFS(D508= ""," ",D508&lt;&gt; " ",F508*(G508/H508)),"")</f>
        <v>0</v>
      </c>
    </row>
    <row r="509" spans="1:11" x14ac:dyDescent="0.35">
      <c r="A509" t="s">
        <v>14</v>
      </c>
      <c r="B509">
        <v>1996</v>
      </c>
      <c r="D509" t="s">
        <v>137</v>
      </c>
      <c r="E509" t="str" cm="1">
        <f t="array" ref="E509">_xlfn.IFS(D509=policy_name_clustering!$A$2,policy_name_clustering!$C$2,D509=policy_name_clustering!$A$3,policy_name_clustering!$C$3,D509=policy_name_clustering!$A$5,policy_name_clustering!$C$5,D509=policy_name_clustering!$A$6,policy_name_clustering!$C$6,D509=policy_name_clustering!$A$7,policy_name_clustering!$C$7,D509=policy_name_clustering!$A$8,policy_name_clustering!$C$8,D509=policy_name_clustering!$A$9,policy_name_clustering!$C$9,D509=policy_name_clustering!$A$10,policy_name_clustering!$C$10,D509=policy_name_clustering!$A$11,policy_name_clustering!$C$11,D509=policy_name_clustering!$A$12,policy_name_clustering!$C$12,D509=policy_name_clustering!$A$13,policy_name_clustering!$C$13,D509=policy_name_clustering!$A$14,policy_name_clustering!$C$14,D509=policy_name_clustering!$A$15,policy_name_clustering!$C$15,D509=policy_name_clustering!$A$16,policy_name_clustering!$C$16,D509="-","",D509=policy_name_clustering!$A$4,policy_name_clustering!$C$4)</f>
        <v/>
      </c>
      <c r="G509">
        <f>wind_cump_cap!C462</f>
        <v>18</v>
      </c>
      <c r="H509">
        <f>estimated_capacity!C447</f>
        <v>0.90233835402973706</v>
      </c>
      <c r="I509" cm="1">
        <f t="array" ref="I509">_xlfn.IFS(D509= ""," ",D509&lt;&gt; " ",F509*(G509/H509))</f>
        <v>0</v>
      </c>
      <c r="J509" cm="1">
        <f t="array" ref="J509">_xlfn.IFS(D509= ""," ",D509&lt;&gt; " ",(H509-F509)*(G509/H509))</f>
        <v>18</v>
      </c>
      <c r="K509" cm="1">
        <f t="array" ref="K509">IF(ISNUMBER(H509),_xlfn.IFS(D509= ""," ",D509&lt;&gt; " ",F509*(G509/H509)),"")</f>
        <v>0</v>
      </c>
    </row>
    <row r="510" spans="1:11" x14ac:dyDescent="0.35">
      <c r="A510" t="s">
        <v>14</v>
      </c>
      <c r="B510">
        <v>1997</v>
      </c>
      <c r="D510" t="s">
        <v>137</v>
      </c>
      <c r="E510" t="str" cm="1">
        <f t="array" ref="E510">_xlfn.IFS(D510=policy_name_clustering!$A$2,policy_name_clustering!$C$2,D510=policy_name_clustering!$A$3,policy_name_clustering!$C$3,D510=policy_name_clustering!$A$5,policy_name_clustering!$C$5,D510=policy_name_clustering!$A$6,policy_name_clustering!$C$6,D510=policy_name_clustering!$A$7,policy_name_clustering!$C$7,D510=policy_name_clustering!$A$8,policy_name_clustering!$C$8,D510=policy_name_clustering!$A$9,policy_name_clustering!$C$9,D510=policy_name_clustering!$A$10,policy_name_clustering!$C$10,D510=policy_name_clustering!$A$11,policy_name_clustering!$C$11,D510=policy_name_clustering!$A$12,policy_name_clustering!$C$12,D510=policy_name_clustering!$A$13,policy_name_clustering!$C$13,D510=policy_name_clustering!$A$14,policy_name_clustering!$C$14,D510=policy_name_clustering!$A$15,policy_name_clustering!$C$15,D510=policy_name_clustering!$A$16,policy_name_clustering!$C$16,D510="-","",D510=policy_name_clustering!$A$4,policy_name_clustering!$C$4)</f>
        <v/>
      </c>
      <c r="G510">
        <f>wind_cump_cap!C463</f>
        <v>29</v>
      </c>
      <c r="H510">
        <f>estimated_capacity!C448</f>
        <v>39.562895674252204</v>
      </c>
      <c r="I510" cm="1">
        <f t="array" ref="I510">_xlfn.IFS(D510= ""," ",D510&lt;&gt; " ",F510*(G510/H510))</f>
        <v>0</v>
      </c>
      <c r="J510" cm="1">
        <f t="array" ref="J510">_xlfn.IFS(D510= ""," ",D510&lt;&gt; " ",(H510-F510)*(G510/H510))</f>
        <v>29</v>
      </c>
      <c r="K510" cm="1">
        <f t="array" ref="K510">IF(ISNUMBER(H510),_xlfn.IFS(D510= ""," ",D510&lt;&gt; " ",F510*(G510/H510)),"")</f>
        <v>0</v>
      </c>
    </row>
    <row r="511" spans="1:11" x14ac:dyDescent="0.35">
      <c r="A511" t="s">
        <v>14</v>
      </c>
      <c r="B511">
        <v>1998</v>
      </c>
      <c r="D511" t="s">
        <v>137</v>
      </c>
      <c r="E511" t="str" cm="1">
        <f t="array" ref="E511">_xlfn.IFS(D511=policy_name_clustering!$A$2,policy_name_clustering!$C$2,D511=policy_name_clustering!$A$3,policy_name_clustering!$C$3,D511=policy_name_clustering!$A$5,policy_name_clustering!$C$5,D511=policy_name_clustering!$A$6,policy_name_clustering!$C$6,D511=policy_name_clustering!$A$7,policy_name_clustering!$C$7,D511=policy_name_clustering!$A$8,policy_name_clustering!$C$8,D511=policy_name_clustering!$A$9,policy_name_clustering!$C$9,D511=policy_name_clustering!$A$10,policy_name_clustering!$C$10,D511=policy_name_clustering!$A$11,policy_name_clustering!$C$11,D511=policy_name_clustering!$A$12,policy_name_clustering!$C$12,D511=policy_name_clustering!$A$13,policy_name_clustering!$C$13,D511=policy_name_clustering!$A$14,policy_name_clustering!$C$14,D511=policy_name_clustering!$A$15,policy_name_clustering!$C$15,D511=policy_name_clustering!$A$16,policy_name_clustering!$C$16,D511="-","",D511=policy_name_clustering!$A$4,policy_name_clustering!$C$4)</f>
        <v/>
      </c>
      <c r="G511">
        <f>wind_cump_cap!C464</f>
        <v>48</v>
      </c>
      <c r="H511">
        <f>estimated_capacity!C449</f>
        <v>83.199071128882906</v>
      </c>
      <c r="I511" cm="1">
        <f t="array" ref="I511">_xlfn.IFS(D511= ""," ",D511&lt;&gt; " ",F511*(G511/H511))</f>
        <v>0</v>
      </c>
      <c r="J511" cm="1">
        <f t="array" ref="J511">_xlfn.IFS(D511= ""," ",D511&lt;&gt; " ",(H511-F511)*(G511/H511))</f>
        <v>48</v>
      </c>
      <c r="K511" cm="1">
        <f t="array" ref="K511">IF(ISNUMBER(H511),_xlfn.IFS(D511= ""," ",D511&lt;&gt; " ",F511*(G511/H511)),"")</f>
        <v>0</v>
      </c>
    </row>
    <row r="512" spans="1:11" x14ac:dyDescent="0.35">
      <c r="A512" t="s">
        <v>14</v>
      </c>
      <c r="B512">
        <v>1999</v>
      </c>
      <c r="D512" t="s">
        <v>137</v>
      </c>
      <c r="E512" t="str" cm="1">
        <f t="array" ref="E512">_xlfn.IFS(D512=policy_name_clustering!$A$2,policy_name_clustering!$C$2,D512=policy_name_clustering!$A$3,policy_name_clustering!$C$3,D512=policy_name_clustering!$A$5,policy_name_clustering!$C$5,D512=policy_name_clustering!$A$6,policy_name_clustering!$C$6,D512=policy_name_clustering!$A$7,policy_name_clustering!$C$7,D512=policy_name_clustering!$A$8,policy_name_clustering!$C$8,D512=policy_name_clustering!$A$9,policy_name_clustering!$C$9,D512=policy_name_clustering!$A$10,policy_name_clustering!$C$10,D512=policy_name_clustering!$A$11,policy_name_clustering!$C$11,D512=policy_name_clustering!$A$12,policy_name_clustering!$C$12,D512=policy_name_clustering!$A$13,policy_name_clustering!$C$13,D512=policy_name_clustering!$A$14,policy_name_clustering!$C$14,D512=policy_name_clustering!$A$15,policy_name_clustering!$C$15,D512=policy_name_clustering!$A$16,policy_name_clustering!$C$16,D512="-","",D512=policy_name_clustering!$A$4,policy_name_clustering!$C$4)</f>
        <v/>
      </c>
      <c r="G512">
        <f>wind_cump_cap!C465</f>
        <v>57</v>
      </c>
      <c r="H512">
        <f>estimated_capacity!C450</f>
        <v>139.52848562624399</v>
      </c>
      <c r="I512" cm="1">
        <f t="array" ref="I512">_xlfn.IFS(D512= ""," ",D512&lt;&gt; " ",F512*(G512/H512))</f>
        <v>0</v>
      </c>
      <c r="J512" cm="1">
        <f t="array" ref="J512">_xlfn.IFS(D512= ""," ",D512&lt;&gt; " ",(H512-F512)*(G512/H512))</f>
        <v>57</v>
      </c>
      <c r="K512" cm="1">
        <f t="array" ref="K512">IF(ISNUMBER(H512),_xlfn.IFS(D512= ""," ",D512&lt;&gt; " ",F512*(G512/H512)),"")</f>
        <v>0</v>
      </c>
    </row>
    <row r="513" spans="1:11" x14ac:dyDescent="0.35">
      <c r="A513" t="s">
        <v>14</v>
      </c>
      <c r="B513">
        <v>2000</v>
      </c>
      <c r="D513" t="s">
        <v>137</v>
      </c>
      <c r="E513" t="str" cm="1">
        <f t="array" ref="E513">_xlfn.IFS(D513=policy_name_clustering!$A$2,policy_name_clustering!$C$2,D513=policy_name_clustering!$A$3,policy_name_clustering!$C$3,D513=policy_name_clustering!$A$5,policy_name_clustering!$C$5,D513=policy_name_clustering!$A$6,policy_name_clustering!$C$6,D513=policy_name_clustering!$A$7,policy_name_clustering!$C$7,D513=policy_name_clustering!$A$8,policy_name_clustering!$C$8,D513=policy_name_clustering!$A$9,policy_name_clustering!$C$9,D513=policy_name_clustering!$A$10,policy_name_clustering!$C$10,D513=policy_name_clustering!$A$11,policy_name_clustering!$C$11,D513=policy_name_clustering!$A$12,policy_name_clustering!$C$12,D513=policy_name_clustering!$A$13,policy_name_clustering!$C$13,D513=policy_name_clustering!$A$14,policy_name_clustering!$C$14,D513=policy_name_clustering!$A$15,policy_name_clustering!$C$15,D513=policy_name_clustering!$A$16,policy_name_clustering!$C$16,D513="-","",D513=policy_name_clustering!$A$4,policy_name_clustering!$C$4)</f>
        <v/>
      </c>
      <c r="G513">
        <f>wind_cump_cap!C466</f>
        <v>83</v>
      </c>
      <c r="H513">
        <f>estimated_capacity!C451</f>
        <v>197.947671233054</v>
      </c>
      <c r="I513" cm="1">
        <f t="array" ref="I513">_xlfn.IFS(D513= ""," ",D513&lt;&gt; " ",F513*(G513/H513))</f>
        <v>0</v>
      </c>
      <c r="J513" cm="1">
        <f t="array" ref="J513">_xlfn.IFS(D513= ""," ",D513&lt;&gt; " ",(H513-F513)*(G513/H513))</f>
        <v>83</v>
      </c>
      <c r="K513" cm="1">
        <f t="array" ref="K513">IF(ISNUMBER(H513),_xlfn.IFS(D513= ""," ",D513&lt;&gt; " ",F513*(G513/H513)),"")</f>
        <v>0</v>
      </c>
    </row>
    <row r="514" spans="1:11" x14ac:dyDescent="0.35">
      <c r="A514" t="s">
        <v>14</v>
      </c>
      <c r="B514">
        <v>2001</v>
      </c>
      <c r="D514" t="s">
        <v>137</v>
      </c>
      <c r="E514" t="str" cm="1">
        <f t="array" ref="E514">_xlfn.IFS(D514=policy_name_clustering!$A$2,policy_name_clustering!$C$2,D514=policy_name_clustering!$A$3,policy_name_clustering!$C$3,D514=policy_name_clustering!$A$5,policy_name_clustering!$C$5,D514=policy_name_clustering!$A$6,policy_name_clustering!$C$6,D514=policy_name_clustering!$A$7,policy_name_clustering!$C$7,D514=policy_name_clustering!$A$8,policy_name_clustering!$C$8,D514=policy_name_clustering!$A$9,policy_name_clustering!$C$9,D514=policy_name_clustering!$A$10,policy_name_clustering!$C$10,D514=policy_name_clustering!$A$11,policy_name_clustering!$C$11,D514=policy_name_clustering!$A$12,policy_name_clustering!$C$12,D514=policy_name_clustering!$A$13,policy_name_clustering!$C$13,D514=policy_name_clustering!$A$14,policy_name_clustering!$C$14,D514=policy_name_clustering!$A$15,policy_name_clustering!$C$15,D514=policy_name_clustering!$A$16,policy_name_clustering!$C$16,D514="-","",D514=policy_name_clustering!$A$4,policy_name_clustering!$C$4)</f>
        <v/>
      </c>
      <c r="G514">
        <f>wind_cump_cap!C467</f>
        <v>125</v>
      </c>
      <c r="H514">
        <f>estimated_capacity!C452</f>
        <v>270.61972056146402</v>
      </c>
      <c r="I514" cm="1">
        <f t="array" ref="I514">_xlfn.IFS(D514= ""," ",D514&lt;&gt; " ",F514*(G514/H514))</f>
        <v>0</v>
      </c>
      <c r="J514" cm="1">
        <f t="array" ref="J514">_xlfn.IFS(D514= ""," ",D514&lt;&gt; " ",(H514-F514)*(G514/H514))</f>
        <v>125.00000000000001</v>
      </c>
      <c r="K514" cm="1">
        <f t="array" ref="K514">IF(ISNUMBER(H514),_xlfn.IFS(D514= ""," ",D514&lt;&gt; " ",F514*(G514/H514)),"")</f>
        <v>0</v>
      </c>
    </row>
    <row r="515" spans="1:11" x14ac:dyDescent="0.35">
      <c r="A515" t="s">
        <v>14</v>
      </c>
      <c r="B515">
        <v>2002</v>
      </c>
      <c r="D515" t="s">
        <v>137</v>
      </c>
      <c r="E515" t="str" cm="1">
        <f t="array" ref="E515">_xlfn.IFS(D515=policy_name_clustering!$A$2,policy_name_clustering!$C$2,D515=policy_name_clustering!$A$3,policy_name_clustering!$C$3,D515=policy_name_clustering!$A$5,policy_name_clustering!$C$5,D515=policy_name_clustering!$A$6,policy_name_clustering!$C$6,D515=policy_name_clustering!$A$7,policy_name_clustering!$C$7,D515=policy_name_clustering!$A$8,policy_name_clustering!$C$8,D515=policy_name_clustering!$A$9,policy_name_clustering!$C$9,D515=policy_name_clustering!$A$10,policy_name_clustering!$C$10,D515=policy_name_clustering!$A$11,policy_name_clustering!$C$11,D515=policy_name_clustering!$A$12,policy_name_clustering!$C$12,D515=policy_name_clustering!$A$13,policy_name_clustering!$C$13,D515=policy_name_clustering!$A$14,policy_name_clustering!$C$14,D515=policy_name_clustering!$A$15,policy_name_clustering!$C$15,D515=policy_name_clustering!$A$16,policy_name_clustering!$C$16,D515="-","",D515=policy_name_clustering!$A$4,policy_name_clustering!$C$4)</f>
        <v/>
      </c>
      <c r="G515">
        <f>wind_cump_cap!C468</f>
        <v>190</v>
      </c>
      <c r="H515">
        <f>estimated_capacity!C453</f>
        <v>346.00718562660899</v>
      </c>
      <c r="I515" cm="1">
        <f t="array" ref="I515">_xlfn.IFS(D515= ""," ",D515&lt;&gt; " ",F515*(G515/H515))</f>
        <v>0</v>
      </c>
      <c r="J515" cm="1">
        <f t="array" ref="J515">_xlfn.IFS(D515= ""," ",D515&lt;&gt; " ",(H515-F515)*(G515/H515))</f>
        <v>190</v>
      </c>
      <c r="K515" cm="1">
        <f t="array" ref="K515">IF(ISNUMBER(H515),_xlfn.IFS(D515= ""," ",D515&lt;&gt; " ",F515*(G515/H515)),"")</f>
        <v>0</v>
      </c>
    </row>
    <row r="516" spans="1:11" x14ac:dyDescent="0.35">
      <c r="A516" t="s">
        <v>14</v>
      </c>
      <c r="B516">
        <v>2003</v>
      </c>
      <c r="D516" t="s">
        <v>137</v>
      </c>
      <c r="E516" t="str" cm="1">
        <f t="array" ref="E516">_xlfn.IFS(D516=policy_name_clustering!$A$2,policy_name_clustering!$C$2,D516=policy_name_clustering!$A$3,policy_name_clustering!$C$3,D516=policy_name_clustering!$A$5,policy_name_clustering!$C$5,D516=policy_name_clustering!$A$6,policy_name_clustering!$C$6,D516=policy_name_clustering!$A$7,policy_name_clustering!$C$7,D516=policy_name_clustering!$A$8,policy_name_clustering!$C$8,D516=policy_name_clustering!$A$9,policy_name_clustering!$C$9,D516=policy_name_clustering!$A$10,policy_name_clustering!$C$10,D516=policy_name_clustering!$A$11,policy_name_clustering!$C$11,D516=policy_name_clustering!$A$12,policy_name_clustering!$C$12,D516=policy_name_clustering!$A$13,policy_name_clustering!$C$13,D516=policy_name_clustering!$A$14,policy_name_clustering!$C$14,D516=policy_name_clustering!$A$15,policy_name_clustering!$C$15,D516=policy_name_clustering!$A$16,policy_name_clustering!$C$16,D516="-","",D516=policy_name_clustering!$A$4,policy_name_clustering!$C$4)</f>
        <v/>
      </c>
      <c r="G516">
        <f>wind_cump_cap!C469</f>
        <v>268</v>
      </c>
      <c r="H516">
        <f>estimated_capacity!C454</f>
        <v>438.427277458471</v>
      </c>
      <c r="I516" cm="1">
        <f t="array" ref="I516">_xlfn.IFS(D516= ""," ",D516&lt;&gt; " ",F516*(G516/H516))</f>
        <v>0</v>
      </c>
      <c r="J516" cm="1">
        <f t="array" ref="J516">_xlfn.IFS(D516= ""," ",D516&lt;&gt; " ",(H516-F516)*(G516/H516))</f>
        <v>268</v>
      </c>
      <c r="K516" cm="1">
        <f t="array" ref="K516">IF(ISNUMBER(H516),_xlfn.IFS(D516= ""," ",D516&lt;&gt; " ",F516*(G516/H516)),"")</f>
        <v>0</v>
      </c>
    </row>
    <row r="517" spans="1:11" x14ac:dyDescent="0.35">
      <c r="A517" t="s">
        <v>14</v>
      </c>
      <c r="B517">
        <v>2004</v>
      </c>
      <c r="C517" t="s">
        <v>125</v>
      </c>
      <c r="D517" t="s">
        <v>40</v>
      </c>
      <c r="E517" t="str" cm="1">
        <f t="array" ref="E517">_xlfn.IFS(D517=policy_name_clustering!$A$2,policy_name_clustering!$C$2,D517=policy_name_clustering!$A$3,policy_name_clustering!$C$3,D517=policy_name_clustering!$A$5,policy_name_clustering!$C$5,D517=policy_name_clustering!$A$6,policy_name_clustering!$C$6,D517=policy_name_clustering!$A$7,policy_name_clustering!$C$7,D517=policy_name_clustering!$A$8,policy_name_clustering!$C$8,D517=policy_name_clustering!$A$9,policy_name_clustering!$C$9,D517=policy_name_clustering!$A$10,policy_name_clustering!$C$10,D517=policy_name_clustering!$A$11,policy_name_clustering!$C$11,D517=policy_name_clustering!$A$12,policy_name_clustering!$C$12,D517=policy_name_clustering!$A$13,policy_name_clustering!$C$13,D517=policy_name_clustering!$A$14,policy_name_clustering!$C$14,D517=policy_name_clustering!$A$15,policy_name_clustering!$C$15,D517=policy_name_clustering!$A$16,policy_name_clustering!$C$16,D517="-","",D517=policy_name_clustering!$A$4,policy_name_clustering!$C$4)</f>
        <v>FiT/FiP-based</v>
      </c>
      <c r="F517">
        <f>policy_contributions_cum!F173</f>
        <v>134.18881506071199</v>
      </c>
      <c r="G517">
        <f>wind_cump_cap!C470</f>
        <v>553</v>
      </c>
      <c r="H517">
        <f>estimated_capacity!C455</f>
        <v>662.69218052687597</v>
      </c>
      <c r="I517" cm="1">
        <f t="array" ref="I517">_xlfn.IFS(D517= ""," ",D517&lt;&gt; " ",F517*(G517/H517))</f>
        <v>111.97719983594138</v>
      </c>
      <c r="J517" cm="1">
        <f t="array" ref="J517">_xlfn.IFS(D517= ""," ",D517&lt;&gt; " ",(H517-F517)*(G517/H517))</f>
        <v>441.02280016405865</v>
      </c>
      <c r="K517" cm="1">
        <f t="array" ref="K517">IF(ISNUMBER(H517),_xlfn.IFS(D517= ""," ",D517&lt;&gt; " ",F517*(G517/H517)),"")</f>
        <v>111.97719983594138</v>
      </c>
    </row>
    <row r="518" spans="1:11" x14ac:dyDescent="0.35">
      <c r="A518" t="s">
        <v>14</v>
      </c>
      <c r="B518">
        <v>2005</v>
      </c>
      <c r="C518" t="s">
        <v>125</v>
      </c>
      <c r="D518" t="s">
        <v>40</v>
      </c>
      <c r="E518" t="str" cm="1">
        <f t="array" ref="E518">_xlfn.IFS(D518=policy_name_clustering!$A$2,policy_name_clustering!$C$2,D518=policy_name_clustering!$A$3,policy_name_clustering!$C$3,D518=policy_name_clustering!$A$5,policy_name_clustering!$C$5,D518=policy_name_clustering!$A$6,policy_name_clustering!$C$6,D518=policy_name_clustering!$A$7,policy_name_clustering!$C$7,D518=policy_name_clustering!$A$8,policy_name_clustering!$C$8,D518=policy_name_clustering!$A$9,policy_name_clustering!$C$9,D518=policy_name_clustering!$A$10,policy_name_clustering!$C$10,D518=policy_name_clustering!$A$11,policy_name_clustering!$C$11,D518=policy_name_clustering!$A$12,policy_name_clustering!$C$12,D518=policy_name_clustering!$A$13,policy_name_clustering!$C$13,D518=policy_name_clustering!$A$14,policy_name_clustering!$C$14,D518=policy_name_clustering!$A$15,policy_name_clustering!$C$15,D518=policy_name_clustering!$A$16,policy_name_clustering!$C$16,D518="-","",D518=policy_name_clustering!$A$4,policy_name_clustering!$C$4)</f>
        <v>FiT/FiP-based</v>
      </c>
      <c r="F518">
        <f>policy_contributions_cum!F174</f>
        <v>531.99241345156702</v>
      </c>
      <c r="G518">
        <f>wind_cump_cap!C471</f>
        <v>1064</v>
      </c>
      <c r="H518">
        <f>estimated_capacity!C456</f>
        <v>1169.29954062211</v>
      </c>
      <c r="I518" cm="1">
        <f t="array" ref="I518">_xlfn.IFS(D518= ""," ",D518&lt;&gt; " ",F518*(G518/H518))</f>
        <v>484.08462352710188</v>
      </c>
      <c r="J518" cm="1">
        <f t="array" ref="J518">_xlfn.IFS(D518= ""," ",D518&lt;&gt; " ",(H518-F518)*(G518/H518))</f>
        <v>579.91537647289817</v>
      </c>
      <c r="K518" cm="1">
        <f t="array" ref="K518">IF(ISNUMBER(H518),_xlfn.IFS(D518= ""," ",D518&lt;&gt; " ",F518*(G518/H518)),"")</f>
        <v>484.08462352710188</v>
      </c>
    </row>
    <row r="519" spans="1:11" x14ac:dyDescent="0.35">
      <c r="A519" t="s">
        <v>14</v>
      </c>
      <c r="B519">
        <v>2006</v>
      </c>
      <c r="C519" t="s">
        <v>128</v>
      </c>
      <c r="D519" t="s">
        <v>40</v>
      </c>
      <c r="E519" t="str" cm="1">
        <f t="array" ref="E519">_xlfn.IFS(D519=policy_name_clustering!$A$2,policy_name_clustering!$C$2,D519=policy_name_clustering!$A$3,policy_name_clustering!$C$3,D519=policy_name_clustering!$A$5,policy_name_clustering!$C$5,D519=policy_name_clustering!$A$6,policy_name_clustering!$C$6,D519=policy_name_clustering!$A$7,policy_name_clustering!$C$7,D519=policy_name_clustering!$A$8,policy_name_clustering!$C$8,D519=policy_name_clustering!$A$9,policy_name_clustering!$C$9,D519=policy_name_clustering!$A$10,policy_name_clustering!$C$10,D519=policy_name_clustering!$A$11,policy_name_clustering!$C$11,D519=policy_name_clustering!$A$12,policy_name_clustering!$C$12,D519=policy_name_clustering!$A$13,policy_name_clustering!$C$13,D519=policy_name_clustering!$A$14,policy_name_clustering!$C$14,D519=policy_name_clustering!$A$15,policy_name_clustering!$C$15,D519=policy_name_clustering!$A$16,policy_name_clustering!$C$16,D519="-","",D519=policy_name_clustering!$A$4,policy_name_clustering!$C$4)</f>
        <v>FiT/FiP-based</v>
      </c>
      <c r="F519">
        <f>policy_contributions_cum!F175</f>
        <v>1321.2293728342199</v>
      </c>
      <c r="G519">
        <f>wind_cump_cap!C472</f>
        <v>1681</v>
      </c>
      <c r="H519">
        <f>estimated_capacity!C457</f>
        <v>2058.5243601106499</v>
      </c>
      <c r="I519" cm="1">
        <f t="array" ref="I519">_xlfn.IFS(D519= ""," ",D519&lt;&gt; " ",F519*(G519/H519))</f>
        <v>1078.9216871909844</v>
      </c>
      <c r="J519" cm="1">
        <f t="array" ref="J519">_xlfn.IFS(D519= ""," ",D519&lt;&gt; " ",(H519-F519)*(G519/H519))</f>
        <v>602.07831280901576</v>
      </c>
      <c r="K519" cm="1">
        <f t="array" ref="K519">IF(ISNUMBER(H519),_xlfn.IFS(D519= ""," ",D519&lt;&gt; " ",F519*(G519/H519)),"")</f>
        <v>1078.9216871909844</v>
      </c>
    </row>
    <row r="520" spans="1:11" x14ac:dyDescent="0.35">
      <c r="A520" t="s">
        <v>14</v>
      </c>
      <c r="B520">
        <v>2007</v>
      </c>
      <c r="C520" t="s">
        <v>127</v>
      </c>
      <c r="D520" t="s">
        <v>40</v>
      </c>
      <c r="E520" t="str" cm="1">
        <f t="array" ref="E520">_xlfn.IFS(D520=policy_name_clustering!$A$2,policy_name_clustering!$C$2,D520=policy_name_clustering!$A$3,policy_name_clustering!$C$3,D520=policy_name_clustering!$A$5,policy_name_clustering!$C$5,D520=policy_name_clustering!$A$6,policy_name_clustering!$C$6,D520=policy_name_clustering!$A$7,policy_name_clustering!$C$7,D520=policy_name_clustering!$A$8,policy_name_clustering!$C$8,D520=policy_name_clustering!$A$9,policy_name_clustering!$C$9,D520=policy_name_clustering!$A$10,policy_name_clustering!$C$10,D520=policy_name_clustering!$A$11,policy_name_clustering!$C$11,D520=policy_name_clustering!$A$12,policy_name_clustering!$C$12,D520=policy_name_clustering!$A$13,policy_name_clustering!$C$13,D520=policy_name_clustering!$A$14,policy_name_clustering!$C$14,D520=policy_name_clustering!$A$15,policy_name_clustering!$C$15,D520=policy_name_clustering!$A$16,policy_name_clustering!$C$16,D520="-","",D520=policy_name_clustering!$A$4,policy_name_clustering!$C$4)</f>
        <v>FiT/FiP-based</v>
      </c>
      <c r="F520">
        <f>policy_contributions_cum!F176</f>
        <v>2051.0604863466701</v>
      </c>
      <c r="G520">
        <f>wind_cump_cap!C473</f>
        <v>2201</v>
      </c>
      <c r="H520">
        <f>estimated_capacity!C458</f>
        <v>2786.0059001741602</v>
      </c>
      <c r="I520" cm="1">
        <f t="array" ref="I520">_xlfn.IFS(D520= ""," ",D520&lt;&gt; " ",F520*(G520/H520))</f>
        <v>1620.3785247428284</v>
      </c>
      <c r="J520" cm="1">
        <f t="array" ref="J520">_xlfn.IFS(D520= ""," ",D520&lt;&gt; " ",(H520-F520)*(G520/H520))</f>
        <v>580.62147525717171</v>
      </c>
      <c r="K520" cm="1">
        <f t="array" ref="K520">IF(ISNUMBER(H520),_xlfn.IFS(D520= ""," ",D520&lt;&gt; " ",F520*(G520/H520)),"")</f>
        <v>1620.3785247428284</v>
      </c>
    </row>
    <row r="521" spans="1:11" x14ac:dyDescent="0.35">
      <c r="A521" t="s">
        <v>14</v>
      </c>
      <c r="B521">
        <v>2008</v>
      </c>
      <c r="C521" t="s">
        <v>126</v>
      </c>
      <c r="D521" t="s">
        <v>40</v>
      </c>
      <c r="E521" t="str" cm="1">
        <f t="array" ref="E521">_xlfn.IFS(D521=policy_name_clustering!$A$2,policy_name_clustering!$C$2,D521=policy_name_clustering!$A$3,policy_name_clustering!$C$3,D521=policy_name_clustering!$A$5,policy_name_clustering!$C$5,D521=policy_name_clustering!$A$6,policy_name_clustering!$C$6,D521=policy_name_clustering!$A$7,policy_name_clustering!$C$7,D521=policy_name_clustering!$A$8,policy_name_clustering!$C$8,D521=policy_name_clustering!$A$9,policy_name_clustering!$C$9,D521=policy_name_clustering!$A$10,policy_name_clustering!$C$10,D521=policy_name_clustering!$A$11,policy_name_clustering!$C$11,D521=policy_name_clustering!$A$12,policy_name_clustering!$C$12,D521=policy_name_clustering!$A$13,policy_name_clustering!$C$13,D521=policy_name_clustering!$A$14,policy_name_clustering!$C$14,D521=policy_name_clustering!$A$15,policy_name_clustering!$C$15,D521=policy_name_clustering!$A$16,policy_name_clustering!$C$16,D521="-","",D521=policy_name_clustering!$A$4,policy_name_clustering!$C$4)</f>
        <v>FiT/FiP-based</v>
      </c>
      <c r="F521">
        <f>policy_contributions_cum!F177</f>
        <v>2667.2278756323699</v>
      </c>
      <c r="G521">
        <f>wind_cump_cap!C474</f>
        <v>2857</v>
      </c>
      <c r="H521">
        <f>estimated_capacity!C459</f>
        <v>3347.2982418726301</v>
      </c>
      <c r="I521" cm="1">
        <f t="array" ref="I521">_xlfn.IFS(D521= ""," ",D521&lt;&gt; " ",F521*(G521/H521))</f>
        <v>2276.5434956935765</v>
      </c>
      <c r="J521" cm="1">
        <f t="array" ref="J521">_xlfn.IFS(D521= ""," ",D521&lt;&gt; " ",(H521-F521)*(G521/H521))</f>
        <v>580.45650430642331</v>
      </c>
      <c r="K521" cm="1">
        <f t="array" ref="K521">IF(ISNUMBER(H521),_xlfn.IFS(D521= ""," ",D521&lt;&gt; " ",F521*(G521/H521)),"")</f>
        <v>2276.5434956935765</v>
      </c>
    </row>
    <row r="522" spans="1:11" x14ac:dyDescent="0.35">
      <c r="A522" t="s">
        <v>14</v>
      </c>
      <c r="B522">
        <v>2009</v>
      </c>
      <c r="D522" t="s">
        <v>40</v>
      </c>
      <c r="E522" t="str" cm="1">
        <f t="array" ref="E522">_xlfn.IFS(D522=policy_name_clustering!$A$2,policy_name_clustering!$C$2,D522=policy_name_clustering!$A$3,policy_name_clustering!$C$3,D522=policy_name_clustering!$A$5,policy_name_clustering!$C$5,D522=policy_name_clustering!$A$6,policy_name_clustering!$C$6,D522=policy_name_clustering!$A$7,policy_name_clustering!$C$7,D522=policy_name_clustering!$A$8,policy_name_clustering!$C$8,D522=policy_name_clustering!$A$9,policy_name_clustering!$C$9,D522=policy_name_clustering!$A$10,policy_name_clustering!$C$10,D522=policy_name_clustering!$A$11,policy_name_clustering!$C$11,D522=policy_name_clustering!$A$12,policy_name_clustering!$C$12,D522=policy_name_clustering!$A$13,policy_name_clustering!$C$13,D522=policy_name_clustering!$A$14,policy_name_clustering!$C$14,D522=policy_name_clustering!$A$15,policy_name_clustering!$C$15,D522=policy_name_clustering!$A$16,policy_name_clustering!$C$16,D522="-","",D522=policy_name_clustering!$A$4,policy_name_clustering!$C$4)</f>
        <v>FiT/FiP-based</v>
      </c>
      <c r="F522">
        <f>policy_contributions_cum!F178</f>
        <v>3201.6641663311402</v>
      </c>
      <c r="G522">
        <f>wind_cump_cap!C475</f>
        <v>3326</v>
      </c>
      <c r="H522">
        <f>estimated_capacity!C460</f>
        <v>3803.3044498034101</v>
      </c>
      <c r="I522" cm="1">
        <f t="array" ref="I522">_xlfn.IFS(D522= ""," ",D522&lt;&gt; " ",F522*(G522/H522))</f>
        <v>2799.8639493001401</v>
      </c>
      <c r="J522" cm="1">
        <f t="array" ref="J522">_xlfn.IFS(D522= ""," ",D522&lt;&gt; " ",(H522-F522)*(G522/H522))</f>
        <v>526.13605069985988</v>
      </c>
      <c r="K522" cm="1">
        <f t="array" ref="K522">IF(ISNUMBER(H522),_xlfn.IFS(D522= ""," ",D522&lt;&gt; " ",F522*(G522/H522)),"")</f>
        <v>2799.8639493001401</v>
      </c>
    </row>
    <row r="523" spans="1:11" x14ac:dyDescent="0.35">
      <c r="A523" t="s">
        <v>14</v>
      </c>
      <c r="B523">
        <v>2010</v>
      </c>
      <c r="D523" t="s">
        <v>40</v>
      </c>
      <c r="E523" t="str" cm="1">
        <f t="array" ref="E523">_xlfn.IFS(D523=policy_name_clustering!$A$2,policy_name_clustering!$C$2,D523=policy_name_clustering!$A$3,policy_name_clustering!$C$3,D523=policy_name_clustering!$A$5,policy_name_clustering!$C$5,D523=policy_name_clustering!$A$6,policy_name_clustering!$C$6,D523=policy_name_clustering!$A$7,policy_name_clustering!$C$7,D523=policy_name_clustering!$A$8,policy_name_clustering!$C$8,D523=policy_name_clustering!$A$9,policy_name_clustering!$C$9,D523=policy_name_clustering!$A$10,policy_name_clustering!$C$10,D523=policy_name_clustering!$A$11,policy_name_clustering!$C$11,D523=policy_name_clustering!$A$12,policy_name_clustering!$C$12,D523=policy_name_clustering!$A$13,policy_name_clustering!$C$13,D523=policy_name_clustering!$A$14,policy_name_clustering!$C$14,D523=policy_name_clustering!$A$15,policy_name_clustering!$C$15,D523=policy_name_clustering!$A$16,policy_name_clustering!$C$16,D523="-","",D523=policy_name_clustering!$A$4,policy_name_clustering!$C$4)</f>
        <v>FiT/FiP-based</v>
      </c>
      <c r="F523">
        <f>policy_contributions_cum!F179</f>
        <v>3680.1217528481802</v>
      </c>
      <c r="G523">
        <f>wind_cump_cap!C476</f>
        <v>3796</v>
      </c>
      <c r="H523">
        <f>estimated_capacity!C461</f>
        <v>4192.2022799802598</v>
      </c>
      <c r="I523" cm="1">
        <f t="array" ref="I523">_xlfn.IFS(D523= ""," ",D523&lt;&gt; " ",F523*(G523/H523))</f>
        <v>3332.31586665648</v>
      </c>
      <c r="J523" cm="1">
        <f t="array" ref="J523">_xlfn.IFS(D523= ""," ",D523&lt;&gt; " ",(H523-F523)*(G523/H523))</f>
        <v>463.6841333435197</v>
      </c>
      <c r="K523" cm="1">
        <f t="array" ref="K523">IF(ISNUMBER(H523),_xlfn.IFS(D523= ""," ",D523&lt;&gt; " ",F523*(G523/H523)),"")</f>
        <v>3332.31586665648</v>
      </c>
    </row>
    <row r="524" spans="1:11" x14ac:dyDescent="0.35">
      <c r="A524" t="s">
        <v>14</v>
      </c>
      <c r="B524">
        <v>2011</v>
      </c>
      <c r="D524" t="s">
        <v>40</v>
      </c>
      <c r="E524" t="str" cm="1">
        <f t="array" ref="E524">_xlfn.IFS(D524=policy_name_clustering!$A$2,policy_name_clustering!$C$2,D524=policy_name_clustering!$A$3,policy_name_clustering!$C$3,D524=policy_name_clustering!$A$5,policy_name_clustering!$C$5,D524=policy_name_clustering!$A$6,policy_name_clustering!$C$6,D524=policy_name_clustering!$A$7,policy_name_clustering!$C$7,D524=policy_name_clustering!$A$8,policy_name_clustering!$C$8,D524=policy_name_clustering!$A$9,policy_name_clustering!$C$9,D524=policy_name_clustering!$A$10,policy_name_clustering!$C$10,D524=policy_name_clustering!$A$11,policy_name_clustering!$C$11,D524=policy_name_clustering!$A$12,policy_name_clustering!$C$12,D524=policy_name_clustering!$A$13,policy_name_clustering!$C$13,D524=policy_name_clustering!$A$14,policy_name_clustering!$C$14,D524=policy_name_clustering!$A$15,policy_name_clustering!$C$15,D524=policy_name_clustering!$A$16,policy_name_clustering!$C$16,D524="-","",D524=policy_name_clustering!$A$4,policy_name_clustering!$C$4)</f>
        <v>FiT/FiP-based</v>
      </c>
      <c r="F524">
        <f>policy_contributions_cum!F180</f>
        <v>4061.3213267793399</v>
      </c>
      <c r="G524">
        <f>wind_cump_cap!C477</f>
        <v>4256.2150000000001</v>
      </c>
      <c r="H524">
        <f>estimated_capacity!C462</f>
        <v>4477.4468063587401</v>
      </c>
      <c r="I524" cm="1">
        <f t="array" ref="I524">_xlfn.IFS(D524= ""," ",D524&lt;&gt; " ",F524*(G524/H524))</f>
        <v>3860.6503881429157</v>
      </c>
      <c r="J524" cm="1">
        <f t="array" ref="J524">_xlfn.IFS(D524= ""," ",D524&lt;&gt; " ",(H524-F524)*(G524/H524))</f>
        <v>395.56461185708434</v>
      </c>
      <c r="K524" cm="1">
        <f t="array" ref="K524">IF(ISNUMBER(H524),_xlfn.IFS(D524= ""," ",D524&lt;&gt; " ",F524*(G524/H524)),"")</f>
        <v>3860.6503881429157</v>
      </c>
    </row>
    <row r="525" spans="1:11" x14ac:dyDescent="0.35">
      <c r="A525" t="s">
        <v>14</v>
      </c>
      <c r="B525">
        <v>2012</v>
      </c>
      <c r="C525" s="9" t="s">
        <v>96</v>
      </c>
      <c r="D525" t="s">
        <v>40</v>
      </c>
      <c r="E525" t="str" cm="1">
        <f t="array" ref="E525">_xlfn.IFS(D525=policy_name_clustering!$A$2,policy_name_clustering!$C$2,D525=policy_name_clustering!$A$3,policy_name_clustering!$C$3,D525=policy_name_clustering!$A$5,policy_name_clustering!$C$5,D525=policy_name_clustering!$A$6,policy_name_clustering!$C$6,D525=policy_name_clustering!$A$7,policy_name_clustering!$C$7,D525=policy_name_clustering!$A$8,policy_name_clustering!$C$8,D525=policy_name_clustering!$A$9,policy_name_clustering!$C$9,D525=policy_name_clustering!$A$10,policy_name_clustering!$C$10,D525=policy_name_clustering!$A$11,policy_name_clustering!$C$11,D525=policy_name_clustering!$A$12,policy_name_clustering!$C$12,D525=policy_name_clustering!$A$13,policy_name_clustering!$C$13,D525=policy_name_clustering!$A$14,policy_name_clustering!$C$14,D525=policy_name_clustering!$A$15,policy_name_clustering!$C$15,D525=policy_name_clustering!$A$16,policy_name_clustering!$C$16,D525="-","",D525=policy_name_clustering!$A$4,policy_name_clustering!$C$4)</f>
        <v>FiT/FiP-based</v>
      </c>
      <c r="F525">
        <f>policy_contributions_cum!F181</f>
        <v>4412.3317705623404</v>
      </c>
      <c r="G525">
        <f>wind_cump_cap!C478</f>
        <v>4411.5519999999997</v>
      </c>
      <c r="H525">
        <f>estimated_capacity!C463</f>
        <v>4729.9484190091198</v>
      </c>
      <c r="I525" cm="1">
        <f t="array" ref="I525">_xlfn.IFS(D525= ""," ",D525&lt;&gt; " ",F525*(G525/H525))</f>
        <v>4115.315712293881</v>
      </c>
      <c r="J525" cm="1">
        <f t="array" ref="J525">_xlfn.IFS(D525= ""," ",D525&lt;&gt; " ",(H525-F525)*(G525/H525))</f>
        <v>296.23628770611862</v>
      </c>
      <c r="K525" cm="1">
        <f t="array" ref="K525">IF(ISNUMBER(H525),_xlfn.IFS(D525= ""," ",D525&lt;&gt; " ",F525*(G525/H525)),"")</f>
        <v>4115.315712293881</v>
      </c>
    </row>
    <row r="526" spans="1:11" x14ac:dyDescent="0.35">
      <c r="A526" t="s">
        <v>14</v>
      </c>
      <c r="B526">
        <v>2013</v>
      </c>
      <c r="D526" t="s">
        <v>40</v>
      </c>
      <c r="E526" t="str" cm="1">
        <f t="array" ref="E526">_xlfn.IFS(D526=policy_name_clustering!$A$2,policy_name_clustering!$C$2,D526=policy_name_clustering!$A$3,policy_name_clustering!$C$3,D526=policy_name_clustering!$A$5,policy_name_clustering!$C$5,D526=policy_name_clustering!$A$6,policy_name_clustering!$C$6,D526=policy_name_clustering!$A$7,policy_name_clustering!$C$7,D526=policy_name_clustering!$A$8,policy_name_clustering!$C$8,D526=policy_name_clustering!$A$9,policy_name_clustering!$C$9,D526=policy_name_clustering!$A$10,policy_name_clustering!$C$10,D526=policy_name_clustering!$A$11,policy_name_clustering!$C$11,D526=policy_name_clustering!$A$12,policy_name_clustering!$C$12,D526=policy_name_clustering!$A$13,policy_name_clustering!$C$13,D526=policy_name_clustering!$A$14,policy_name_clustering!$C$14,D526=policy_name_clustering!$A$15,policy_name_clustering!$C$15,D526=policy_name_clustering!$A$16,policy_name_clustering!$C$16,D526="-","",D526=policy_name_clustering!$A$4,policy_name_clustering!$C$4)</f>
        <v>FiT/FiP-based</v>
      </c>
      <c r="F526">
        <f>policy_contributions_cum!F182</f>
        <v>4726.1663504849503</v>
      </c>
      <c r="G526">
        <f>wind_cump_cap!C479</f>
        <v>4609.9489999999996</v>
      </c>
      <c r="H526">
        <f>estimated_capacity!C464</f>
        <v>4943.85688690395</v>
      </c>
      <c r="I526" cm="1">
        <f t="array" ref="I526">_xlfn.IFS(D526= ""," ",D526&lt;&gt; " ",F526*(G526/H526))</f>
        <v>4406.9612732855448</v>
      </c>
      <c r="J526" cm="1">
        <f t="array" ref="J526">_xlfn.IFS(D526= ""," ",D526&lt;&gt; " ",(H526-F526)*(G526/H526))</f>
        <v>202.9877267144542</v>
      </c>
      <c r="K526" cm="1">
        <f t="array" ref="K526">IF(ISNUMBER(H526),_xlfn.IFS(D526= ""," ",D526&lt;&gt; " ",F526*(G526/H526)),"")</f>
        <v>4406.9612732855448</v>
      </c>
    </row>
    <row r="527" spans="1:11" x14ac:dyDescent="0.35">
      <c r="A527" t="s">
        <v>14</v>
      </c>
      <c r="B527">
        <v>2014</v>
      </c>
      <c r="D527" t="s">
        <v>40</v>
      </c>
      <c r="E527" t="str" cm="1">
        <f t="array" ref="E527">_xlfn.IFS(D527=policy_name_clustering!$A$2,policy_name_clustering!$C$2,D527=policy_name_clustering!$A$3,policy_name_clustering!$C$3,D527=policy_name_clustering!$A$5,policy_name_clustering!$C$5,D527=policy_name_clustering!$A$6,policy_name_clustering!$C$6,D527=policy_name_clustering!$A$7,policy_name_clustering!$C$7,D527=policy_name_clustering!$A$8,policy_name_clustering!$C$8,D527=policy_name_clustering!$A$9,policy_name_clustering!$C$9,D527=policy_name_clustering!$A$10,policy_name_clustering!$C$10,D527=policy_name_clustering!$A$11,policy_name_clustering!$C$11,D527=policy_name_clustering!$A$12,policy_name_clustering!$C$12,D527=policy_name_clustering!$A$13,policy_name_clustering!$C$13,D527=policy_name_clustering!$A$14,policy_name_clustering!$C$14,D527=policy_name_clustering!$A$15,policy_name_clustering!$C$15,D527=policy_name_clustering!$A$16,policy_name_clustering!$C$16,D527="-","",D527=policy_name_clustering!$A$4,policy_name_clustering!$C$4)</f>
        <v>FiT/FiP-based</v>
      </c>
      <c r="F527">
        <f>policy_contributions_cum!F183</f>
        <v>5027.7194781004901</v>
      </c>
      <c r="G527">
        <f>wind_cump_cap!C480</f>
        <v>4856.5559999999996</v>
      </c>
      <c r="H527">
        <f>estimated_capacity!C465</f>
        <v>5144.80362840818</v>
      </c>
      <c r="I527" cm="1">
        <f t="array" ref="I527">_xlfn.IFS(D527= ""," ",D527&lt;&gt; " ",F527*(G527/H527))</f>
        <v>4746.0317169074597</v>
      </c>
      <c r="J527" cm="1">
        <f t="array" ref="J527">_xlfn.IFS(D527= ""," ",D527&lt;&gt; " ",(H527-F527)*(G527/H527))</f>
        <v>110.52428309254012</v>
      </c>
      <c r="K527" cm="1">
        <f t="array" ref="K527">IF(ISNUMBER(H527),_xlfn.IFS(D527= ""," ",D527&lt;&gt; " ",F527*(G527/H527)),"")</f>
        <v>4746.0317169074597</v>
      </c>
    </row>
    <row r="528" spans="1:11" x14ac:dyDescent="0.35">
      <c r="A528" t="s">
        <v>14</v>
      </c>
      <c r="B528">
        <v>2015</v>
      </c>
      <c r="D528" t="s">
        <v>40</v>
      </c>
      <c r="E528" t="str" cm="1">
        <f t="array" ref="E528">_xlfn.IFS(D528=policy_name_clustering!$A$2,policy_name_clustering!$C$2,D528=policy_name_clustering!$A$3,policy_name_clustering!$C$3,D528=policy_name_clustering!$A$5,policy_name_clustering!$C$5,D528=policy_name_clustering!$A$6,policy_name_clustering!$C$6,D528=policy_name_clustering!$A$7,policy_name_clustering!$C$7,D528=policy_name_clustering!$A$8,policy_name_clustering!$C$8,D528=policy_name_clustering!$A$9,policy_name_clustering!$C$9,D528=policy_name_clustering!$A$10,policy_name_clustering!$C$10,D528=policy_name_clustering!$A$11,policy_name_clustering!$C$11,D528=policy_name_clustering!$A$12,policy_name_clustering!$C$12,D528=policy_name_clustering!$A$13,policy_name_clustering!$C$13,D528=policy_name_clustering!$A$14,policy_name_clustering!$C$14,D528=policy_name_clustering!$A$15,policy_name_clustering!$C$15,D528=policy_name_clustering!$A$16,policy_name_clustering!$C$16,D528="-","",D528=policy_name_clustering!$A$4,policy_name_clustering!$C$4)</f>
        <v>FiT/FiP-based</v>
      </c>
      <c r="F528">
        <f>policy_contributions_cum!F184</f>
        <v>5334.2206317235396</v>
      </c>
      <c r="G528">
        <f>wind_cump_cap!C481</f>
        <v>4936.8379999999997</v>
      </c>
      <c r="H528">
        <f>estimated_capacity!C466</f>
        <v>5350.34390710352</v>
      </c>
      <c r="I528" cm="1">
        <f t="array" ref="I528">_xlfn.IFS(D528= ""," ",D528&lt;&gt; " ",F528*(G528/H528))</f>
        <v>4921.9608257543086</v>
      </c>
      <c r="J528" cm="1">
        <f t="array" ref="J528">_xlfn.IFS(D528= ""," ",D528&lt;&gt; " ",(H528-F528)*(G528/H528))</f>
        <v>14.877174245691304</v>
      </c>
      <c r="K528" cm="1">
        <f t="array" ref="K528">IF(ISNUMBER(H528),_xlfn.IFS(D528= ""," ",D528&lt;&gt; " ",F528*(G528/H528)),"")</f>
        <v>4921.9608257543086</v>
      </c>
    </row>
    <row r="529" spans="1:11" x14ac:dyDescent="0.35">
      <c r="A529" t="s">
        <v>14</v>
      </c>
      <c r="B529">
        <v>2016</v>
      </c>
      <c r="D529" t="s">
        <v>40</v>
      </c>
      <c r="E529" t="str" cm="1">
        <f t="array" ref="E529">_xlfn.IFS(D529=policy_name_clustering!$A$2,policy_name_clustering!$C$2,D529=policy_name_clustering!$A$3,policy_name_clustering!$C$3,D529=policy_name_clustering!$A$5,policy_name_clustering!$C$5,D529=policy_name_clustering!$A$6,policy_name_clustering!$C$6,D529=policy_name_clustering!$A$7,policy_name_clustering!$C$7,D529=policy_name_clustering!$A$8,policy_name_clustering!$C$8,D529=policy_name_clustering!$A$9,policy_name_clustering!$C$9,D529=policy_name_clustering!$A$10,policy_name_clustering!$C$10,D529=policy_name_clustering!$A$11,policy_name_clustering!$C$11,D529=policy_name_clustering!$A$12,policy_name_clustering!$C$12,D529=policy_name_clustering!$A$13,policy_name_clustering!$C$13,D529=policy_name_clustering!$A$14,policy_name_clustering!$C$14,D529=policy_name_clustering!$A$15,policy_name_clustering!$C$15,D529=policy_name_clustering!$A$16,policy_name_clustering!$C$16,D529="-","",D529=policy_name_clustering!$A$4,policy_name_clustering!$C$4)</f>
        <v>FiT/FiP-based</v>
      </c>
      <c r="F529">
        <f>policy_contributions_cum!F185</f>
        <v>5587.3917233918401</v>
      </c>
      <c r="G529">
        <f>wind_cump_cap!C482</f>
        <v>5124.1030000000001</v>
      </c>
      <c r="H529">
        <f>estimated_capacity!C467</f>
        <v>5502.2838943410698</v>
      </c>
      <c r="I529" cm="1">
        <f t="array" ref="I529">_xlfn.IFS(D529= ""," ",D529&lt;&gt; " ",F529*(G529/H529))</f>
        <v>5203.3612299526667</v>
      </c>
      <c r="J529" cm="1">
        <f t="array" ref="J529">_xlfn.IFS(D529= ""," ",D529&lt;&gt; " ",(H529-F529)*(G529/H529))</f>
        <v>-79.258229952666753</v>
      </c>
      <c r="K529" cm="1">
        <f t="array" ref="K529">IF(ISNUMBER(H529),_xlfn.IFS(D529= ""," ",D529&lt;&gt; " ",F529*(G529/H529)),"")</f>
        <v>5203.3612299526667</v>
      </c>
    </row>
    <row r="530" spans="1:11" x14ac:dyDescent="0.35">
      <c r="A530" t="s">
        <v>14</v>
      </c>
      <c r="B530">
        <v>2017</v>
      </c>
      <c r="D530" t="s">
        <v>40</v>
      </c>
      <c r="E530" t="str" cm="1">
        <f t="array" ref="E530">_xlfn.IFS(D530=policy_name_clustering!$A$2,policy_name_clustering!$C$2,D530=policy_name_clustering!$A$3,policy_name_clustering!$C$3,D530=policy_name_clustering!$A$5,policy_name_clustering!$C$5,D530=policy_name_clustering!$A$6,policy_name_clustering!$C$6,D530=policy_name_clustering!$A$7,policy_name_clustering!$C$7,D530=policy_name_clustering!$A$8,policy_name_clustering!$C$8,D530=policy_name_clustering!$A$9,policy_name_clustering!$C$9,D530=policy_name_clustering!$A$10,policy_name_clustering!$C$10,D530=policy_name_clustering!$A$11,policy_name_clustering!$C$11,D530=policy_name_clustering!$A$12,policy_name_clustering!$C$12,D530=policy_name_clustering!$A$13,policy_name_clustering!$C$13,D530=policy_name_clustering!$A$14,policy_name_clustering!$C$14,D530=policy_name_clustering!$A$15,policy_name_clustering!$C$15,D530=policy_name_clustering!$A$16,policy_name_clustering!$C$16,D530="-","",D530=policy_name_clustering!$A$4,policy_name_clustering!$C$4)</f>
        <v>FiT/FiP-based</v>
      </c>
      <c r="F530">
        <f>policy_contributions_cum!F186</f>
        <v>5805.5580526162603</v>
      </c>
      <c r="G530">
        <f>wind_cump_cap!C483</f>
        <v>5124.1049999999996</v>
      </c>
      <c r="H530">
        <f>estimated_capacity!C468</f>
        <v>5619.0933394715303</v>
      </c>
      <c r="I530" cm="1">
        <f t="array" ref="I530">_xlfn.IFS(D530= ""," ",D530&lt;&gt; " ",F530*(G530/H530))</f>
        <v>5294.1439566830613</v>
      </c>
      <c r="J530" cm="1">
        <f t="array" ref="J530">_xlfn.IFS(D530= ""," ",D530&lt;&gt; " ",(H530-F530)*(G530/H530))</f>
        <v>-170.03895668306112</v>
      </c>
      <c r="K530" cm="1">
        <f t="array" ref="K530">IF(ISNUMBER(H530),_xlfn.IFS(D530= ""," ",D530&lt;&gt; " ",F530*(G530/H530)),"")</f>
        <v>5294.1439566830613</v>
      </c>
    </row>
    <row r="531" spans="1:11" x14ac:dyDescent="0.35">
      <c r="A531" t="s">
        <v>14</v>
      </c>
      <c r="B531">
        <v>2018</v>
      </c>
      <c r="C531" t="s">
        <v>91</v>
      </c>
      <c r="D531" t="s">
        <v>40</v>
      </c>
      <c r="E531" t="str" cm="1">
        <f t="array" ref="E531">_xlfn.IFS(D531=policy_name_clustering!$A$2,policy_name_clustering!$C$2,D531=policy_name_clustering!$A$3,policy_name_clustering!$C$3,D531=policy_name_clustering!$A$5,policy_name_clustering!$C$5,D531=policy_name_clustering!$A$6,policy_name_clustering!$C$6,D531=policy_name_clustering!$A$7,policy_name_clustering!$C$7,D531=policy_name_clustering!$A$8,policy_name_clustering!$C$8,D531=policy_name_clustering!$A$9,policy_name_clustering!$C$9,D531=policy_name_clustering!$A$10,policy_name_clustering!$C$10,D531=policy_name_clustering!$A$11,policy_name_clustering!$C$11,D531=policy_name_clustering!$A$12,policy_name_clustering!$C$12,D531=policy_name_clustering!$A$13,policy_name_clustering!$C$13,D531=policy_name_clustering!$A$14,policy_name_clustering!$C$14,D531=policy_name_clustering!$A$15,policy_name_clustering!$C$15,D531=policy_name_clustering!$A$16,policy_name_clustering!$C$16,D531="-","",D531=policy_name_clustering!$A$4,policy_name_clustering!$C$4)</f>
        <v>FiT/FiP-based</v>
      </c>
      <c r="F531">
        <f>policy_contributions_cum!F187</f>
        <v>6015.87096779074</v>
      </c>
      <c r="G531">
        <f>wind_cump_cap!C484</f>
        <v>5172.3590000000004</v>
      </c>
      <c r="H531">
        <f>estimated_capacity!C469</f>
        <v>5727.9934318875203</v>
      </c>
      <c r="I531" cm="1">
        <f t="array" ref="I531">_xlfn.IFS(D531= ""," ",D531&lt;&gt; " ",F531*(G531/H531))</f>
        <v>5432.3114565509459</v>
      </c>
      <c r="J531" cm="1">
        <f t="array" ref="J531">_xlfn.IFS(D531= ""," ",D531&lt;&gt; " ",(H531-F531)*(G531/H531))</f>
        <v>-259.9524565509455</v>
      </c>
      <c r="K531" cm="1">
        <f t="array" ref="K531">IF(ISNUMBER(H531),_xlfn.IFS(D531= ""," ",D531&lt;&gt; " ",F531*(G531/H531)),"")</f>
        <v>5432.3114565509459</v>
      </c>
    </row>
    <row r="532" spans="1:11" x14ac:dyDescent="0.35">
      <c r="A532" t="s">
        <v>14</v>
      </c>
      <c r="B532">
        <v>2019</v>
      </c>
      <c r="D532" t="s">
        <v>40</v>
      </c>
      <c r="E532" t="str" cm="1">
        <f t="array" ref="E532">_xlfn.IFS(D532=policy_name_clustering!$A$2,policy_name_clustering!$C$2,D532=policy_name_clustering!$A$3,policy_name_clustering!$C$3,D532=policy_name_clustering!$A$5,policy_name_clustering!$C$5,D532=policy_name_clustering!$A$6,policy_name_clustering!$C$6,D532=policy_name_clustering!$A$7,policy_name_clustering!$C$7,D532=policy_name_clustering!$A$8,policy_name_clustering!$C$8,D532=policy_name_clustering!$A$9,policy_name_clustering!$C$9,D532=policy_name_clustering!$A$10,policy_name_clustering!$C$10,D532=policy_name_clustering!$A$11,policy_name_clustering!$C$11,D532=policy_name_clustering!$A$12,policy_name_clustering!$C$12,D532=policy_name_clustering!$A$13,policy_name_clustering!$C$13,D532=policy_name_clustering!$A$14,policy_name_clustering!$C$14,D532=policy_name_clustering!$A$15,policy_name_clustering!$C$15,D532=policy_name_clustering!$A$16,policy_name_clustering!$C$16,D532="-","",D532=policy_name_clustering!$A$4,policy_name_clustering!$C$4)</f>
        <v>FiT/FiP-based</v>
      </c>
      <c r="F532">
        <f>policy_contributions_cum!F188</f>
        <v>6220.59970050628</v>
      </c>
      <c r="G532">
        <f>wind_cump_cap!C485</f>
        <v>5222.7449999999999</v>
      </c>
      <c r="H532">
        <f>estimated_capacity!C470</f>
        <v>5831.27804883728</v>
      </c>
      <c r="I532" cm="1">
        <f t="array" ref="I532">_xlfn.IFS(D532= ""," ",D532&lt;&gt; " ",F532*(G532/H532))</f>
        <v>5571.4383211925033</v>
      </c>
      <c r="J532" cm="1">
        <f t="array" ref="J532">_xlfn.IFS(D532= ""," ",D532&lt;&gt; " ",(H532-F532)*(G532/H532))</f>
        <v>-348.69332119250322</v>
      </c>
      <c r="K532" cm="1">
        <f t="array" ref="K532">IF(ISNUMBER(H532),_xlfn.IFS(D532= ""," ",D532&lt;&gt; " ",F532*(G532/H532)),"")</f>
        <v>5571.4383211925033</v>
      </c>
    </row>
    <row r="533" spans="1:11" x14ac:dyDescent="0.35">
      <c r="A533" t="s">
        <v>14</v>
      </c>
      <c r="B533">
        <v>2020</v>
      </c>
      <c r="D533" t="s">
        <v>40</v>
      </c>
      <c r="E533" t="str" cm="1">
        <f t="array" ref="E533">_xlfn.IFS(D533=policy_name_clustering!$A$2,policy_name_clustering!$C$2,D533=policy_name_clustering!$A$3,policy_name_clustering!$C$3,D533=policy_name_clustering!$A$5,policy_name_clustering!$C$5,D533=policy_name_clustering!$A$6,policy_name_clustering!$C$6,D533=policy_name_clustering!$A$7,policy_name_clustering!$C$7,D533=policy_name_clustering!$A$8,policy_name_clustering!$C$8,D533=policy_name_clustering!$A$9,policy_name_clustering!$C$9,D533=policy_name_clustering!$A$10,policy_name_clustering!$C$10,D533=policy_name_clustering!$A$11,policy_name_clustering!$C$11,D533=policy_name_clustering!$A$12,policy_name_clustering!$C$12,D533=policy_name_clustering!$A$13,policy_name_clustering!$C$13,D533=policy_name_clustering!$A$14,policy_name_clustering!$C$14,D533=policy_name_clustering!$A$15,policy_name_clustering!$C$15,D533=policy_name_clustering!$A$16,policy_name_clustering!$C$16,D533="-","",D533=policy_name_clustering!$A$4,policy_name_clustering!$C$4)</f>
        <v>FiT/FiP-based</v>
      </c>
      <c r="F533">
        <f>policy_contributions_cum!F189</f>
        <v>6221.6738981056697</v>
      </c>
      <c r="G533">
        <f>wind_cump_cap!C486</f>
        <v>5122.259</v>
      </c>
      <c r="H533">
        <f>estimated_capacity!C471</f>
        <v>5730.8663756607002</v>
      </c>
      <c r="I533" cm="1">
        <f t="array" ref="I533">_xlfn.IFS(D533= ""," ",D533&lt;&gt; " ",F533*(G533/H533))</f>
        <v>5560.9436742385633</v>
      </c>
      <c r="J533" cm="1">
        <f t="array" ref="J533">_xlfn.IFS(D533= ""," ",D533&lt;&gt; " ",(H533-F533)*(G533/H533))</f>
        <v>-438.68467423856271</v>
      </c>
      <c r="K533" cm="1">
        <f t="array" ref="K533">IF(ISNUMBER(H533),_xlfn.IFS(D533= ""," ",D533&lt;&gt; " ",F533*(G533/H533)),"")</f>
        <v>5560.9436742385633</v>
      </c>
    </row>
    <row r="534" spans="1:11" x14ac:dyDescent="0.35">
      <c r="A534" t="s">
        <v>14</v>
      </c>
      <c r="B534">
        <v>2021</v>
      </c>
      <c r="D534" t="s">
        <v>40</v>
      </c>
      <c r="E534" t="str" cm="1">
        <f t="array" ref="E534">_xlfn.IFS(D534=policy_name_clustering!$A$2,policy_name_clustering!$C$2,D534=policy_name_clustering!$A$3,policy_name_clustering!$C$3,D534=policy_name_clustering!$A$5,policy_name_clustering!$C$5,D534=policy_name_clustering!$A$6,policy_name_clustering!$C$6,D534=policy_name_clustering!$A$7,policy_name_clustering!$C$7,D534=policy_name_clustering!$A$8,policy_name_clustering!$C$8,D534=policy_name_clustering!$A$9,policy_name_clustering!$C$9,D534=policy_name_clustering!$A$10,policy_name_clustering!$C$10,D534=policy_name_clustering!$A$11,policy_name_clustering!$C$11,D534=policy_name_clustering!$A$12,policy_name_clustering!$C$12,D534=policy_name_clustering!$A$13,policy_name_clustering!$C$13,D534=policy_name_clustering!$A$14,policy_name_clustering!$C$14,D534=policy_name_clustering!$A$15,policy_name_clustering!$C$15,D534=policy_name_clustering!$A$16,policy_name_clustering!$C$16,D534="-","",D534=policy_name_clustering!$A$4,policy_name_clustering!$C$4)</f>
        <v>FiT/FiP-based</v>
      </c>
      <c r="F534">
        <f>policy_contributions_cum!F190</f>
        <v>6411.4541471225602</v>
      </c>
      <c r="G534">
        <f>wind_cump_cap!C487</f>
        <v>5427.326</v>
      </c>
      <c r="H534">
        <f>estimated_capacity!C472</f>
        <v>5819.1740496233897</v>
      </c>
      <c r="I534" cm="1">
        <f t="array" ref="I534">_xlfn.IFS(D534= ""," ",D534&lt;&gt; " ",F534*(G534/H534))</f>
        <v>5979.7234957662286</v>
      </c>
      <c r="J534" cm="1">
        <f t="array" ref="J534">_xlfn.IFS(D534= ""," ",D534&lt;&gt; " ",(H534-F534)*(G534/H534))</f>
        <v>-552.39749576622853</v>
      </c>
      <c r="K534" cm="1">
        <f t="array" ref="K534">IF(ISNUMBER(H534),_xlfn.IFS(D534= ""," ",D534&lt;&gt; " ",F534*(G534/H534)),"")</f>
        <v>5979.7234957662286</v>
      </c>
    </row>
    <row r="535" spans="1:11" x14ac:dyDescent="0.35">
      <c r="A535" t="s">
        <v>14</v>
      </c>
      <c r="B535">
        <v>2022</v>
      </c>
      <c r="C535" t="s">
        <v>129</v>
      </c>
      <c r="D535" t="s">
        <v>40</v>
      </c>
      <c r="E535" t="str" cm="1">
        <f t="array" ref="E535">_xlfn.IFS(D535=policy_name_clustering!$A$2,policy_name_clustering!$C$2,D535=policy_name_clustering!$A$3,policy_name_clustering!$C$3,D535=policy_name_clustering!$A$5,policy_name_clustering!$C$5,D535=policy_name_clustering!$A$6,policy_name_clustering!$C$6,D535=policy_name_clustering!$A$7,policy_name_clustering!$C$7,D535=policy_name_clustering!$A$8,policy_name_clustering!$C$8,D535=policy_name_clustering!$A$9,policy_name_clustering!$C$9,D535=policy_name_clustering!$A$10,policy_name_clustering!$C$10,D535=policy_name_clustering!$A$11,policy_name_clustering!$C$11,D535=policy_name_clustering!$A$12,policy_name_clustering!$C$12,D535=policy_name_clustering!$A$13,policy_name_clustering!$C$13,D535=policy_name_clustering!$A$14,policy_name_clustering!$C$14,D535=policy_name_clustering!$A$15,policy_name_clustering!$C$15,D535=policy_name_clustering!$A$16,policy_name_clustering!$C$16,D535="-","",D535=policy_name_clustering!$A$4,policy_name_clustering!$C$4)</f>
        <v>FiT/FiP-based</v>
      </c>
      <c r="F535">
        <f>policy_contributions_cum!F191</f>
        <v>6573.6708529231501</v>
      </c>
      <c r="G535">
        <f>wind_cump_cap!C488</f>
        <v>5538.1390000000001</v>
      </c>
      <c r="H535">
        <f>estimated_capacity!C473</f>
        <v>5879.9115033200596</v>
      </c>
      <c r="I535" cm="1">
        <f t="array" ref="I535">_xlfn.IFS(D535= ""," ",D535&lt;&gt; " ",F535*(G535/H535))</f>
        <v>6191.5732750706484</v>
      </c>
      <c r="J535" cm="1">
        <f t="array" ref="J535">_xlfn.IFS(D535= ""," ",D535&lt;&gt; " ",(H535-F535)*(G535/H535))</f>
        <v>-653.43427507064837</v>
      </c>
      <c r="K535" cm="1">
        <f t="array" ref="K535">IF(ISNUMBER(H535),_xlfn.IFS(D535= ""," ",D535&lt;&gt; " ",F535*(G535/H535)),"")</f>
        <v>6191.5732750706484</v>
      </c>
    </row>
    <row r="536" spans="1:11" x14ac:dyDescent="0.35">
      <c r="A536" t="s">
        <v>14</v>
      </c>
      <c r="B536">
        <v>2023</v>
      </c>
      <c r="C536" t="s">
        <v>130</v>
      </c>
      <c r="D536" t="s">
        <v>40</v>
      </c>
      <c r="E536" t="str" cm="1">
        <f t="array" ref="E536">_xlfn.IFS(D536=policy_name_clustering!$A$2,policy_name_clustering!$C$2,D536=policy_name_clustering!$A$3,policy_name_clustering!$C$3,D536=policy_name_clustering!$A$5,policy_name_clustering!$C$5,D536=policy_name_clustering!$A$6,policy_name_clustering!$C$6,D536=policy_name_clustering!$A$7,policy_name_clustering!$C$7,D536=policy_name_clustering!$A$8,policy_name_clustering!$C$8,D536=policy_name_clustering!$A$9,policy_name_clustering!$C$9,D536=policy_name_clustering!$A$10,policy_name_clustering!$C$10,D536=policy_name_clustering!$A$11,policy_name_clustering!$C$11,D536=policy_name_clustering!$A$12,policy_name_clustering!$C$12,D536=policy_name_clustering!$A$13,policy_name_clustering!$C$13,D536=policy_name_clustering!$A$14,policy_name_clustering!$C$14,D536=policy_name_clustering!$A$15,policy_name_clustering!$C$15,D536=policy_name_clustering!$A$16,policy_name_clustering!$C$16,D536="-","",D536=policy_name_clustering!$A$4,policy_name_clustering!$C$4)</f>
        <v>FiT/FiP-based</v>
      </c>
      <c r="F536">
        <f>policy_contributions_cum!F192</f>
        <v>6729.2772857985101</v>
      </c>
      <c r="G536">
        <f>wind_cump_cap!C489</f>
        <v>5538.14</v>
      </c>
      <c r="H536">
        <f>estimated_capacity!C474</f>
        <v>5934.0357426166502</v>
      </c>
      <c r="I536" cm="1">
        <f t="array" ref="I536">_xlfn.IFS(D536= ""," ",D536&lt;&gt; " ",F536*(G536/H536))</f>
        <v>6280.3261261009438</v>
      </c>
      <c r="J536" cm="1">
        <f t="array" ref="J536">_xlfn.IFS(D536= ""," ",D536&lt;&gt; " ",(H536-F536)*(G536/H536))</f>
        <v>-742.18612610094328</v>
      </c>
      <c r="K536" cm="1">
        <f t="array" ref="K536">IF(ISNUMBER(H536),_xlfn.IFS(D536= ""," ",D536&lt;&gt; " ",F536*(G536/H536)),"")</f>
        <v>6280.3261261009438</v>
      </c>
    </row>
    <row r="537" spans="1:11" x14ac:dyDescent="0.35">
      <c r="A537" t="s">
        <v>22</v>
      </c>
      <c r="B537">
        <v>1991</v>
      </c>
      <c r="D537" t="s">
        <v>137</v>
      </c>
      <c r="E537" t="str" cm="1">
        <f t="array" ref="E537">_xlfn.IFS(D537=policy_name_clustering!$A$2,policy_name_clustering!$C$2,D537=policy_name_clustering!$A$3,policy_name_clustering!$C$3,D537=policy_name_clustering!$A$5,policy_name_clustering!$C$5,D537=policy_name_clustering!$A$6,policy_name_clustering!$C$6,D537=policy_name_clustering!$A$7,policy_name_clustering!$C$7,D537=policy_name_clustering!$A$8,policy_name_clustering!$C$8,D537=policy_name_clustering!$A$9,policy_name_clustering!$C$9,D537=policy_name_clustering!$A$10,policy_name_clustering!$C$10,D537=policy_name_clustering!$A$11,policy_name_clustering!$C$11,D537=policy_name_clustering!$A$12,policy_name_clustering!$C$12,D537=policy_name_clustering!$A$13,policy_name_clustering!$C$13,D537=policy_name_clustering!$A$14,policy_name_clustering!$C$14,D537=policy_name_clustering!$A$15,policy_name_clustering!$C$15,D537=policy_name_clustering!$A$16,policy_name_clustering!$C$16,D537="-","",D537=policy_name_clustering!$A$4,policy_name_clustering!$C$4)</f>
        <v/>
      </c>
      <c r="G537">
        <f>wind_cump_cap!C491</f>
        <v>12</v>
      </c>
      <c r="H537">
        <f>estimated_capacity!C475</f>
        <v>-6.0054547112407297</v>
      </c>
      <c r="I537" cm="1">
        <f t="array" ref="I537">_xlfn.IFS(D537= ""," ",D537&lt;&gt; " ",F537*(G537/H537))</f>
        <v>0</v>
      </c>
      <c r="J537" cm="1">
        <f t="array" ref="J537">_xlfn.IFS(D537= ""," ",D537&lt;&gt; " ",(H537-F537)*(G537/H537))</f>
        <v>12</v>
      </c>
      <c r="K537" cm="1">
        <f t="array" ref="K537">IF(ISNUMBER(H537),_xlfn.IFS(D537= ""," ",D537&lt;&gt; " ",F537*(G537/H537)),"")</f>
        <v>0</v>
      </c>
    </row>
    <row r="538" spans="1:11" x14ac:dyDescent="0.35">
      <c r="A538" t="s">
        <v>22</v>
      </c>
      <c r="B538">
        <v>1992</v>
      </c>
      <c r="D538" t="s">
        <v>137</v>
      </c>
      <c r="E538" t="str" cm="1">
        <f t="array" ref="E538">_xlfn.IFS(D538=policy_name_clustering!$A$2,policy_name_clustering!$C$2,D538=policy_name_clustering!$A$3,policy_name_clustering!$C$3,D538=policy_name_clustering!$A$5,policy_name_clustering!$C$5,D538=policy_name_clustering!$A$6,policy_name_clustering!$C$6,D538=policy_name_clustering!$A$7,policy_name_clustering!$C$7,D538=policy_name_clustering!$A$8,policy_name_clustering!$C$8,D538=policy_name_clustering!$A$9,policy_name_clustering!$C$9,D538=policy_name_clustering!$A$10,policy_name_clustering!$C$10,D538=policy_name_clustering!$A$11,policy_name_clustering!$C$11,D538=policy_name_clustering!$A$12,policy_name_clustering!$C$12,D538=policy_name_clustering!$A$13,policy_name_clustering!$C$13,D538=policy_name_clustering!$A$14,policy_name_clustering!$C$14,D538=policy_name_clustering!$A$15,policy_name_clustering!$C$15,D538=policy_name_clustering!$A$16,policy_name_clustering!$C$16,D538="-","",D538=policy_name_clustering!$A$4,policy_name_clustering!$C$4)</f>
        <v/>
      </c>
      <c r="G538">
        <f>wind_cump_cap!C492</f>
        <v>20</v>
      </c>
      <c r="H538">
        <f>estimated_capacity!C476</f>
        <v>-9.0929916004125193</v>
      </c>
      <c r="I538" cm="1">
        <f t="array" ref="I538">_xlfn.IFS(D538= ""," ",D538&lt;&gt; " ",F538*(G538/H538))</f>
        <v>0</v>
      </c>
      <c r="J538" cm="1">
        <f t="array" ref="J538">_xlfn.IFS(D538= ""," ",D538&lt;&gt; " ",(H538-F538)*(G538/H538))</f>
        <v>20</v>
      </c>
      <c r="K538" cm="1">
        <f t="array" ref="K538">IF(ISNUMBER(H538),_xlfn.IFS(D538= ""," ",D538&lt;&gt; " ",F538*(G538/H538)),"")</f>
        <v>0</v>
      </c>
    </row>
    <row r="539" spans="1:11" x14ac:dyDescent="0.35">
      <c r="A539" t="s">
        <v>22</v>
      </c>
      <c r="B539">
        <v>1993</v>
      </c>
      <c r="D539" t="s">
        <v>137</v>
      </c>
      <c r="E539" t="str" cm="1">
        <f t="array" ref="E539">_xlfn.IFS(D539=policy_name_clustering!$A$2,policy_name_clustering!$C$2,D539=policy_name_clustering!$A$3,policy_name_clustering!$C$3,D539=policy_name_clustering!$A$5,policy_name_clustering!$C$5,D539=policy_name_clustering!$A$6,policy_name_clustering!$C$6,D539=policy_name_clustering!$A$7,policy_name_clustering!$C$7,D539=policy_name_clustering!$A$8,policy_name_clustering!$C$8,D539=policy_name_clustering!$A$9,policy_name_clustering!$C$9,D539=policy_name_clustering!$A$10,policy_name_clustering!$C$10,D539=policy_name_clustering!$A$11,policy_name_clustering!$C$11,D539=policy_name_clustering!$A$12,policy_name_clustering!$C$12,D539=policy_name_clustering!$A$13,policy_name_clustering!$C$13,D539=policy_name_clustering!$A$14,policy_name_clustering!$C$14,D539=policy_name_clustering!$A$15,policy_name_clustering!$C$15,D539=policy_name_clustering!$A$16,policy_name_clustering!$C$16,D539="-","",D539=policy_name_clustering!$A$4,policy_name_clustering!$C$4)</f>
        <v/>
      </c>
      <c r="G539">
        <f>wind_cump_cap!C493</f>
        <v>29</v>
      </c>
      <c r="H539">
        <f>estimated_capacity!C477</f>
        <v>-5.0871050319291298</v>
      </c>
      <c r="I539" cm="1">
        <f t="array" ref="I539">_xlfn.IFS(D539= ""," ",D539&lt;&gt; " ",F539*(G539/H539))</f>
        <v>0</v>
      </c>
      <c r="J539" cm="1">
        <f t="array" ref="J539">_xlfn.IFS(D539= ""," ",D539&lt;&gt; " ",(H539-F539)*(G539/H539))</f>
        <v>29</v>
      </c>
      <c r="K539" cm="1">
        <f t="array" ref="K539">IF(ISNUMBER(H539),_xlfn.IFS(D539= ""," ",D539&lt;&gt; " ",F539*(G539/H539)),"")</f>
        <v>0</v>
      </c>
    </row>
    <row r="540" spans="1:11" x14ac:dyDescent="0.35">
      <c r="A540" t="s">
        <v>22</v>
      </c>
      <c r="B540">
        <v>1994</v>
      </c>
      <c r="D540" t="s">
        <v>137</v>
      </c>
      <c r="E540" t="str" cm="1">
        <f t="array" ref="E540">_xlfn.IFS(D540=policy_name_clustering!$A$2,policy_name_clustering!$C$2,D540=policy_name_clustering!$A$3,policy_name_clustering!$C$3,D540=policy_name_clustering!$A$5,policy_name_clustering!$C$5,D540=policy_name_clustering!$A$6,policy_name_clustering!$C$6,D540=policy_name_clustering!$A$7,policy_name_clustering!$C$7,D540=policy_name_clustering!$A$8,policy_name_clustering!$C$8,D540=policy_name_clustering!$A$9,policy_name_clustering!$C$9,D540=policy_name_clustering!$A$10,policy_name_clustering!$C$10,D540=policy_name_clustering!$A$11,policy_name_clustering!$C$11,D540=policy_name_clustering!$A$12,policy_name_clustering!$C$12,D540=policy_name_clustering!$A$13,policy_name_clustering!$C$13,D540=policy_name_clustering!$A$14,policy_name_clustering!$C$14,D540=policy_name_clustering!$A$15,policy_name_clustering!$C$15,D540=policy_name_clustering!$A$16,policy_name_clustering!$C$16,D540="-","",D540=policy_name_clustering!$A$4,policy_name_clustering!$C$4)</f>
        <v/>
      </c>
      <c r="G540">
        <f>wind_cump_cap!C494</f>
        <v>40</v>
      </c>
      <c r="H540">
        <f>estimated_capacity!C478</f>
        <v>1.8150326997334401</v>
      </c>
      <c r="I540" cm="1">
        <f t="array" ref="I540">_xlfn.IFS(D540= ""," ",D540&lt;&gt; " ",F540*(G540/H540))</f>
        <v>0</v>
      </c>
      <c r="J540" cm="1">
        <f t="array" ref="J540">_xlfn.IFS(D540= ""," ",D540&lt;&gt; " ",(H540-F540)*(G540/H540))</f>
        <v>40</v>
      </c>
      <c r="K540" cm="1">
        <f t="array" ref="K540">IF(ISNUMBER(H540),_xlfn.IFS(D540= ""," ",D540&lt;&gt; " ",F540*(G540/H540)),"")</f>
        <v>0</v>
      </c>
    </row>
    <row r="541" spans="1:11" x14ac:dyDescent="0.35">
      <c r="A541" t="s">
        <v>22</v>
      </c>
      <c r="B541">
        <v>1995</v>
      </c>
      <c r="D541" t="s">
        <v>137</v>
      </c>
      <c r="E541" t="str" cm="1">
        <f t="array" ref="E541">_xlfn.IFS(D541=policy_name_clustering!$A$2,policy_name_clustering!$C$2,D541=policy_name_clustering!$A$3,policy_name_clustering!$C$3,D541=policy_name_clustering!$A$5,policy_name_clustering!$C$5,D541=policy_name_clustering!$A$6,policy_name_clustering!$C$6,D541=policy_name_clustering!$A$7,policy_name_clustering!$C$7,D541=policy_name_clustering!$A$8,policy_name_clustering!$C$8,D541=policy_name_clustering!$A$9,policy_name_clustering!$C$9,D541=policy_name_clustering!$A$10,policy_name_clustering!$C$10,D541=policy_name_clustering!$A$11,policy_name_clustering!$C$11,D541=policy_name_clustering!$A$12,policy_name_clustering!$C$12,D541=policy_name_clustering!$A$13,policy_name_clustering!$C$13,D541=policy_name_clustering!$A$14,policy_name_clustering!$C$14,D541=policy_name_clustering!$A$15,policy_name_clustering!$C$15,D541=policy_name_clustering!$A$16,policy_name_clustering!$C$16,D541="-","",D541=policy_name_clustering!$A$4,policy_name_clustering!$C$4)</f>
        <v/>
      </c>
      <c r="G541">
        <f>wind_cump_cap!C495</f>
        <v>67</v>
      </c>
      <c r="H541">
        <f>estimated_capacity!C479</f>
        <v>20.165820164024499</v>
      </c>
      <c r="I541" cm="1">
        <f t="array" ref="I541">_xlfn.IFS(D541= ""," ",D541&lt;&gt; " ",F541*(G541/H541))</f>
        <v>0</v>
      </c>
      <c r="J541" cm="1">
        <f t="array" ref="J541">_xlfn.IFS(D541= ""," ",D541&lt;&gt; " ",(H541-F541)*(G541/H541))</f>
        <v>67</v>
      </c>
      <c r="K541" cm="1">
        <f t="array" ref="K541">IF(ISNUMBER(H541),_xlfn.IFS(D541= ""," ",D541&lt;&gt; " ",F541*(G541/H541)),"")</f>
        <v>0</v>
      </c>
    </row>
    <row r="542" spans="1:11" x14ac:dyDescent="0.35">
      <c r="A542" t="s">
        <v>22</v>
      </c>
      <c r="B542">
        <v>1996</v>
      </c>
      <c r="D542" t="s">
        <v>137</v>
      </c>
      <c r="E542" t="str" cm="1">
        <f t="array" ref="E542">_xlfn.IFS(D542=policy_name_clustering!$A$2,policy_name_clustering!$C$2,D542=policy_name_clustering!$A$3,policy_name_clustering!$C$3,D542=policy_name_clustering!$A$5,policy_name_clustering!$C$5,D542=policy_name_clustering!$A$6,policy_name_clustering!$C$6,D542=policy_name_clustering!$A$7,policy_name_clustering!$C$7,D542=policy_name_clustering!$A$8,policy_name_clustering!$C$8,D542=policy_name_clustering!$A$9,policy_name_clustering!$C$9,D542=policy_name_clustering!$A$10,policy_name_clustering!$C$10,D542=policy_name_clustering!$A$11,policy_name_clustering!$C$11,D542=policy_name_clustering!$A$12,policy_name_clustering!$C$12,D542=policy_name_clustering!$A$13,policy_name_clustering!$C$13,D542=policy_name_clustering!$A$14,policy_name_clustering!$C$14,D542=policy_name_clustering!$A$15,policy_name_clustering!$C$15,D542=policy_name_clustering!$A$16,policy_name_clustering!$C$16,D542="-","",D542=policy_name_clustering!$A$4,policy_name_clustering!$C$4)</f>
        <v/>
      </c>
      <c r="G542">
        <f>wind_cump_cap!C496</f>
        <v>105</v>
      </c>
      <c r="H542">
        <f>estimated_capacity!C480</f>
        <v>50.787068899855001</v>
      </c>
      <c r="I542" cm="1">
        <f t="array" ref="I542">_xlfn.IFS(D542= ""," ",D542&lt;&gt; " ",F542*(G542/H542))</f>
        <v>0</v>
      </c>
      <c r="J542" cm="1">
        <f t="array" ref="J542">_xlfn.IFS(D542= ""," ",D542&lt;&gt; " ",(H542-F542)*(G542/H542))</f>
        <v>105</v>
      </c>
      <c r="K542" cm="1">
        <f t="array" ref="K542">IF(ISNUMBER(H542),_xlfn.IFS(D542= ""," ",D542&lt;&gt; " ",F542*(G542/H542)),"")</f>
        <v>0</v>
      </c>
    </row>
    <row r="543" spans="1:11" x14ac:dyDescent="0.35">
      <c r="A543" t="s">
        <v>22</v>
      </c>
      <c r="B543">
        <v>1997</v>
      </c>
      <c r="D543" t="s">
        <v>137</v>
      </c>
      <c r="E543" t="str" cm="1">
        <f t="array" ref="E543">_xlfn.IFS(D543=policy_name_clustering!$A$2,policy_name_clustering!$C$2,D543=policy_name_clustering!$A$3,policy_name_clustering!$C$3,D543=policy_name_clustering!$A$5,policy_name_clustering!$C$5,D543=policy_name_clustering!$A$6,policy_name_clustering!$C$6,D543=policy_name_clustering!$A$7,policy_name_clustering!$C$7,D543=policy_name_clustering!$A$8,policy_name_clustering!$C$8,D543=policy_name_clustering!$A$9,policy_name_clustering!$C$9,D543=policy_name_clustering!$A$10,policy_name_clustering!$C$10,D543=policy_name_clustering!$A$11,policy_name_clustering!$C$11,D543=policy_name_clustering!$A$12,policy_name_clustering!$C$12,D543=policy_name_clustering!$A$13,policy_name_clustering!$C$13,D543=policy_name_clustering!$A$14,policy_name_clustering!$C$14,D543=policy_name_clustering!$A$15,policy_name_clustering!$C$15,D543=policy_name_clustering!$A$16,policy_name_clustering!$C$16,D543="-","",D543=policy_name_clustering!$A$4,policy_name_clustering!$C$4)</f>
        <v/>
      </c>
      <c r="G543">
        <f>wind_cump_cap!C497</f>
        <v>123</v>
      </c>
      <c r="H543">
        <f>estimated_capacity!C481</f>
        <v>96.468996385790902</v>
      </c>
      <c r="I543" cm="1">
        <f t="array" ref="I543">_xlfn.IFS(D543= ""," ",D543&lt;&gt; " ",F543*(G543/H543))</f>
        <v>0</v>
      </c>
      <c r="J543" cm="1">
        <f t="array" ref="J543">_xlfn.IFS(D543= ""," ",D543&lt;&gt; " ",(H543-F543)*(G543/H543))</f>
        <v>122.99999999999999</v>
      </c>
      <c r="K543" cm="1">
        <f t="array" ref="K543">IF(ISNUMBER(H543),_xlfn.IFS(D543= ""," ",D543&lt;&gt; " ",F543*(G543/H543)),"")</f>
        <v>0</v>
      </c>
    </row>
    <row r="544" spans="1:11" x14ac:dyDescent="0.35">
      <c r="A544" t="s">
        <v>22</v>
      </c>
      <c r="B544">
        <v>1998</v>
      </c>
      <c r="D544" t="s">
        <v>137</v>
      </c>
      <c r="E544" t="str" cm="1">
        <f t="array" ref="E544">_xlfn.IFS(D544=policy_name_clustering!$A$2,policy_name_clustering!$C$2,D544=policy_name_clustering!$A$3,policy_name_clustering!$C$3,D544=policy_name_clustering!$A$5,policy_name_clustering!$C$5,D544=policy_name_clustering!$A$6,policy_name_clustering!$C$6,D544=policy_name_clustering!$A$7,policy_name_clustering!$C$7,D544=policy_name_clustering!$A$8,policy_name_clustering!$C$8,D544=policy_name_clustering!$A$9,policy_name_clustering!$C$9,D544=policy_name_clustering!$A$10,policy_name_clustering!$C$10,D544=policy_name_clustering!$A$11,policy_name_clustering!$C$11,D544=policy_name_clustering!$A$12,policy_name_clustering!$C$12,D544=policy_name_clustering!$A$13,policy_name_clustering!$C$13,D544=policy_name_clustering!$A$14,policy_name_clustering!$C$14,D544=policy_name_clustering!$A$15,policy_name_clustering!$C$15,D544=policy_name_clustering!$A$16,policy_name_clustering!$C$16,D544="-","",D544=policy_name_clustering!$A$4,policy_name_clustering!$C$4)</f>
        <v/>
      </c>
      <c r="G544">
        <f>wind_cump_cap!C498</f>
        <v>174</v>
      </c>
      <c r="H544">
        <f>estimated_capacity!C482</f>
        <v>147.63635003728999</v>
      </c>
      <c r="I544" cm="1">
        <f t="array" ref="I544">_xlfn.IFS(D544= ""," ",D544&lt;&gt; " ",F544*(G544/H544))</f>
        <v>0</v>
      </c>
      <c r="J544" cm="1">
        <f t="array" ref="J544">_xlfn.IFS(D544= ""," ",D544&lt;&gt; " ",(H544-F544)*(G544/H544))</f>
        <v>173.99999999999997</v>
      </c>
      <c r="K544" cm="1">
        <f t="array" ref="K544">IF(ISNUMBER(H544),_xlfn.IFS(D544= ""," ",D544&lt;&gt; " ",F544*(G544/H544)),"")</f>
        <v>0</v>
      </c>
    </row>
    <row r="545" spans="1:11" x14ac:dyDescent="0.35">
      <c r="A545" t="s">
        <v>22</v>
      </c>
      <c r="B545">
        <v>1999</v>
      </c>
      <c r="D545" t="s">
        <v>137</v>
      </c>
      <c r="E545" t="str" cm="1">
        <f t="array" ref="E545">_xlfn.IFS(D545=policy_name_clustering!$A$2,policy_name_clustering!$C$2,D545=policy_name_clustering!$A$3,policy_name_clustering!$C$3,D545=policy_name_clustering!$A$5,policy_name_clustering!$C$5,D545=policy_name_clustering!$A$6,policy_name_clustering!$C$6,D545=policy_name_clustering!$A$7,policy_name_clustering!$C$7,D545=policy_name_clustering!$A$8,policy_name_clustering!$C$8,D545=policy_name_clustering!$A$9,policy_name_clustering!$C$9,D545=policy_name_clustering!$A$10,policy_name_clustering!$C$10,D545=policy_name_clustering!$A$11,policy_name_clustering!$C$11,D545=policy_name_clustering!$A$12,policy_name_clustering!$C$12,D545=policy_name_clustering!$A$13,policy_name_clustering!$C$13,D545=policy_name_clustering!$A$14,policy_name_clustering!$C$14,D545=policy_name_clustering!$A$15,policy_name_clustering!$C$15,D545=policy_name_clustering!$A$16,policy_name_clustering!$C$16,D545="-","",D545=policy_name_clustering!$A$4,policy_name_clustering!$C$4)</f>
        <v/>
      </c>
      <c r="G545">
        <f>wind_cump_cap!C499</f>
        <v>196</v>
      </c>
      <c r="H545">
        <f>estimated_capacity!C483</f>
        <v>211.686126155979</v>
      </c>
      <c r="I545" cm="1">
        <f t="array" ref="I545">_xlfn.IFS(D545= ""," ",D545&lt;&gt; " ",F545*(G545/H545))</f>
        <v>0</v>
      </c>
      <c r="J545" cm="1">
        <f t="array" ref="J545">_xlfn.IFS(D545= ""," ",D545&lt;&gt; " ",(H545-F545)*(G545/H545))</f>
        <v>196</v>
      </c>
      <c r="K545" cm="1">
        <f t="array" ref="K545">IF(ISNUMBER(H545),_xlfn.IFS(D545= ""," ",D545&lt;&gt; " ",F545*(G545/H545)),"")</f>
        <v>0</v>
      </c>
    </row>
    <row r="546" spans="1:11" x14ac:dyDescent="0.35">
      <c r="A546" t="s">
        <v>22</v>
      </c>
      <c r="B546">
        <v>2000</v>
      </c>
      <c r="D546" t="s">
        <v>137</v>
      </c>
      <c r="E546" t="str" cm="1">
        <f t="array" ref="E546">_xlfn.IFS(D546=policy_name_clustering!$A$2,policy_name_clustering!$C$2,D546=policy_name_clustering!$A$3,policy_name_clustering!$C$3,D546=policy_name_clustering!$A$5,policy_name_clustering!$C$5,D546=policy_name_clustering!$A$6,policy_name_clustering!$C$6,D546=policy_name_clustering!$A$7,policy_name_clustering!$C$7,D546=policy_name_clustering!$A$8,policy_name_clustering!$C$8,D546=policy_name_clustering!$A$9,policy_name_clustering!$C$9,D546=policy_name_clustering!$A$10,policy_name_clustering!$C$10,D546=policy_name_clustering!$A$11,policy_name_clustering!$C$11,D546=policy_name_clustering!$A$12,policy_name_clustering!$C$12,D546=policy_name_clustering!$A$13,policy_name_clustering!$C$13,D546=policy_name_clustering!$A$14,policy_name_clustering!$C$14,D546=policy_name_clustering!$A$15,policy_name_clustering!$C$15,D546=policy_name_clustering!$A$16,policy_name_clustering!$C$16,D546="-","",D546=policy_name_clustering!$A$4,policy_name_clustering!$C$4)</f>
        <v/>
      </c>
      <c r="G546">
        <f>wind_cump_cap!C500</f>
        <v>209</v>
      </c>
      <c r="H546">
        <f>estimated_capacity!C484</f>
        <v>279.742422816773</v>
      </c>
      <c r="I546" cm="1">
        <f t="array" ref="I546">_xlfn.IFS(D546= ""," ",D546&lt;&gt; " ",F546*(G546/H546))</f>
        <v>0</v>
      </c>
      <c r="J546" cm="1">
        <f t="array" ref="J546">_xlfn.IFS(D546= ""," ",D546&lt;&gt; " ",(H546-F546)*(G546/H546))</f>
        <v>209</v>
      </c>
      <c r="K546" cm="1">
        <f t="array" ref="K546">IF(ISNUMBER(H546),_xlfn.IFS(D546= ""," ",D546&lt;&gt; " ",F546*(G546/H546)),"")</f>
        <v>0</v>
      </c>
    </row>
    <row r="547" spans="1:11" x14ac:dyDescent="0.35">
      <c r="A547" t="s">
        <v>22</v>
      </c>
      <c r="B547">
        <v>2001</v>
      </c>
      <c r="D547" t="s">
        <v>137</v>
      </c>
      <c r="E547" t="str" cm="1">
        <f t="array" ref="E547">_xlfn.IFS(D547=policy_name_clustering!$A$2,policy_name_clustering!$C$2,D547=policy_name_clustering!$A$3,policy_name_clustering!$C$3,D547=policy_name_clustering!$A$5,policy_name_clustering!$C$5,D547=policy_name_clustering!$A$6,policy_name_clustering!$C$6,D547=policy_name_clustering!$A$7,policy_name_clustering!$C$7,D547=policy_name_clustering!$A$8,policy_name_clustering!$C$8,D547=policy_name_clustering!$A$9,policy_name_clustering!$C$9,D547=policy_name_clustering!$A$10,policy_name_clustering!$C$10,D547=policy_name_clustering!$A$11,policy_name_clustering!$C$11,D547=policy_name_clustering!$A$12,policy_name_clustering!$C$12,D547=policy_name_clustering!$A$13,policy_name_clustering!$C$13,D547=policy_name_clustering!$A$14,policy_name_clustering!$C$14,D547=policy_name_clustering!$A$15,policy_name_clustering!$C$15,D547=policy_name_clustering!$A$16,policy_name_clustering!$C$16,D547="-","",D547=policy_name_clustering!$A$4,policy_name_clustering!$C$4)</f>
        <v/>
      </c>
      <c r="G547">
        <f>wind_cump_cap!C501</f>
        <v>295</v>
      </c>
      <c r="H547">
        <f>estimated_capacity!C485</f>
        <v>362.46158387310999</v>
      </c>
      <c r="I547" cm="1">
        <f t="array" ref="I547">_xlfn.IFS(D547= ""," ",D547&lt;&gt; " ",F547*(G547/H547))</f>
        <v>0</v>
      </c>
      <c r="J547" cm="1">
        <f t="array" ref="J547">_xlfn.IFS(D547= ""," ",D547&lt;&gt; " ",(H547-F547)*(G547/H547))</f>
        <v>295</v>
      </c>
      <c r="K547" cm="1">
        <f t="array" ref="K547">IF(ISNUMBER(H547),_xlfn.IFS(D547= ""," ",D547&lt;&gt; " ",F547*(G547/H547)),"")</f>
        <v>0</v>
      </c>
    </row>
    <row r="548" spans="1:11" x14ac:dyDescent="0.35">
      <c r="A548" t="s">
        <v>22</v>
      </c>
      <c r="B548">
        <v>2002</v>
      </c>
      <c r="D548" t="s">
        <v>137</v>
      </c>
      <c r="E548" t="str" cm="1">
        <f t="array" ref="E548">_xlfn.IFS(D548=policy_name_clustering!$A$2,policy_name_clustering!$C$2,D548=policy_name_clustering!$A$3,policy_name_clustering!$C$3,D548=policy_name_clustering!$A$5,policy_name_clustering!$C$5,D548=policy_name_clustering!$A$6,policy_name_clustering!$C$6,D548=policy_name_clustering!$A$7,policy_name_clustering!$C$7,D548=policy_name_clustering!$A$8,policy_name_clustering!$C$8,D548=policy_name_clustering!$A$9,policy_name_clustering!$C$9,D548=policy_name_clustering!$A$10,policy_name_clustering!$C$10,D548=policy_name_clustering!$A$11,policy_name_clustering!$C$11,D548=policy_name_clustering!$A$12,policy_name_clustering!$C$12,D548=policy_name_clustering!$A$13,policy_name_clustering!$C$13,D548=policy_name_clustering!$A$14,policy_name_clustering!$C$14,D548=policy_name_clustering!$A$15,policy_name_clustering!$C$15,D548=policy_name_clustering!$A$16,policy_name_clustering!$C$16,D548="-","",D548=policy_name_clustering!$A$4,policy_name_clustering!$C$4)</f>
        <v/>
      </c>
      <c r="G548">
        <f>wind_cump_cap!C502</f>
        <v>357</v>
      </c>
      <c r="H548">
        <f>estimated_capacity!C486</f>
        <v>446.03956369266001</v>
      </c>
      <c r="I548" cm="1">
        <f t="array" ref="I548">_xlfn.IFS(D548= ""," ",D548&lt;&gt; " ",F548*(G548/H548))</f>
        <v>0</v>
      </c>
      <c r="J548" cm="1">
        <f t="array" ref="J548">_xlfn.IFS(D548= ""," ",D548&lt;&gt; " ",(H548-F548)*(G548/H548))</f>
        <v>357</v>
      </c>
      <c r="K548" cm="1">
        <f t="array" ref="K548">IF(ISNUMBER(H548),_xlfn.IFS(D548= ""," ",D548&lt;&gt; " ",F548*(G548/H548)),"")</f>
        <v>0</v>
      </c>
    </row>
    <row r="549" spans="1:11" x14ac:dyDescent="0.35">
      <c r="A549" t="s">
        <v>22</v>
      </c>
      <c r="B549">
        <v>2003</v>
      </c>
      <c r="D549" t="s">
        <v>137</v>
      </c>
      <c r="E549" t="str" cm="1">
        <f t="array" ref="E549">_xlfn.IFS(D549=policy_name_clustering!$A$2,policy_name_clustering!$C$2,D549=policy_name_clustering!$A$3,policy_name_clustering!$C$3,D549=policy_name_clustering!$A$5,policy_name_clustering!$C$5,D549=policy_name_clustering!$A$6,policy_name_clustering!$C$6,D549=policy_name_clustering!$A$7,policy_name_clustering!$C$7,D549=policy_name_clustering!$A$8,policy_name_clustering!$C$8,D549=policy_name_clustering!$A$9,policy_name_clustering!$C$9,D549=policy_name_clustering!$A$10,policy_name_clustering!$C$10,D549=policy_name_clustering!$A$11,policy_name_clustering!$C$11,D549=policy_name_clustering!$A$12,policy_name_clustering!$C$12,D549=policy_name_clustering!$A$13,policy_name_clustering!$C$13,D549=policy_name_clustering!$A$14,policy_name_clustering!$C$14,D549=policy_name_clustering!$A$15,policy_name_clustering!$C$15,D549=policy_name_clustering!$A$16,policy_name_clustering!$C$16,D549="-","",D549=policy_name_clustering!$A$4,policy_name_clustering!$C$4)</f>
        <v/>
      </c>
      <c r="G549">
        <f>wind_cump_cap!C503</f>
        <v>417</v>
      </c>
      <c r="H549">
        <f>estimated_capacity!C487</f>
        <v>546.61218115864301</v>
      </c>
      <c r="I549" cm="1">
        <f t="array" ref="I549">_xlfn.IFS(D549= ""," ",D549&lt;&gt; " ",F549*(G549/H549))</f>
        <v>0</v>
      </c>
      <c r="J549" cm="1">
        <f t="array" ref="J549">_xlfn.IFS(D549= ""," ",D549&lt;&gt; " ",(H549-F549)*(G549/H549))</f>
        <v>417</v>
      </c>
      <c r="K549" cm="1">
        <f t="array" ref="K549">IF(ISNUMBER(H549),_xlfn.IFS(D549= ""," ",D549&lt;&gt; " ",F549*(G549/H549)),"")</f>
        <v>0</v>
      </c>
    </row>
    <row r="550" spans="1:11" x14ac:dyDescent="0.35">
      <c r="A550" t="s">
        <v>22</v>
      </c>
      <c r="B550">
        <v>2004</v>
      </c>
      <c r="D550" t="s">
        <v>137</v>
      </c>
      <c r="E550" t="str" cm="1">
        <f t="array" ref="E550">_xlfn.IFS(D550=policy_name_clustering!$A$2,policy_name_clustering!$C$2,D550=policy_name_clustering!$A$3,policy_name_clustering!$C$3,D550=policy_name_clustering!$A$5,policy_name_clustering!$C$5,D550=policy_name_clustering!$A$6,policy_name_clustering!$C$6,D550=policy_name_clustering!$A$7,policy_name_clustering!$C$7,D550=policy_name_clustering!$A$8,policy_name_clustering!$C$8,D550=policy_name_clustering!$A$9,policy_name_clustering!$C$9,D550=policy_name_clustering!$A$10,policy_name_clustering!$C$10,D550=policy_name_clustering!$A$11,policy_name_clustering!$C$11,D550=policy_name_clustering!$A$12,policy_name_clustering!$C$12,D550=policy_name_clustering!$A$13,policy_name_clustering!$C$13,D550=policy_name_clustering!$A$14,policy_name_clustering!$C$14,D550=policy_name_clustering!$A$15,policy_name_clustering!$C$15,D550=policy_name_clustering!$A$16,policy_name_clustering!$C$16,D550="-","",D550=policy_name_clustering!$A$4,policy_name_clustering!$C$4)</f>
        <v/>
      </c>
      <c r="G550">
        <f>wind_cump_cap!C504</f>
        <v>475</v>
      </c>
      <c r="H550">
        <f>estimated_capacity!C488</f>
        <v>645.30443484639602</v>
      </c>
      <c r="I550" cm="1">
        <f t="array" ref="I550">_xlfn.IFS(D550= ""," ",D550&lt;&gt; " ",F550*(G550/H550))</f>
        <v>0</v>
      </c>
      <c r="J550" cm="1">
        <f t="array" ref="J550">_xlfn.IFS(D550= ""," ",D550&lt;&gt; " ",(H550-F550)*(G550/H550))</f>
        <v>475.00000000000006</v>
      </c>
      <c r="K550" cm="1">
        <f t="array" ref="K550">IF(ISNUMBER(H550),_xlfn.IFS(D550= ""," ",D550&lt;&gt; " ",F550*(G550/H550)),"")</f>
        <v>0</v>
      </c>
    </row>
    <row r="551" spans="1:11" x14ac:dyDescent="0.35">
      <c r="A551" t="s">
        <v>22</v>
      </c>
      <c r="B551">
        <v>2005</v>
      </c>
      <c r="D551" t="s">
        <v>137</v>
      </c>
      <c r="E551" t="str" cm="1">
        <f t="array" ref="E551">_xlfn.IFS(D551=policy_name_clustering!$A$2,policy_name_clustering!$C$2,D551=policy_name_clustering!$A$3,policy_name_clustering!$C$3,D551=policy_name_clustering!$A$5,policy_name_clustering!$C$5,D551=policy_name_clustering!$A$6,policy_name_clustering!$C$6,D551=policy_name_clustering!$A$7,policy_name_clustering!$C$7,D551=policy_name_clustering!$A$8,policy_name_clustering!$C$8,D551=policy_name_clustering!$A$9,policy_name_clustering!$C$9,D551=policy_name_clustering!$A$10,policy_name_clustering!$C$10,D551=policy_name_clustering!$A$11,policy_name_clustering!$C$11,D551=policy_name_clustering!$A$12,policy_name_clustering!$C$12,D551=policy_name_clustering!$A$13,policy_name_clustering!$C$13,D551=policy_name_clustering!$A$14,policy_name_clustering!$C$14,D551=policy_name_clustering!$A$15,policy_name_clustering!$C$15,D551=policy_name_clustering!$A$16,policy_name_clustering!$C$16,D551="-","",D551=policy_name_clustering!$A$4,policy_name_clustering!$C$4)</f>
        <v/>
      </c>
      <c r="G551">
        <f>wind_cump_cap!C505</f>
        <v>522</v>
      </c>
      <c r="H551">
        <f>estimated_capacity!C489</f>
        <v>765.638969059494</v>
      </c>
      <c r="I551" cm="1">
        <f t="array" ref="I551">_xlfn.IFS(D551= ""," ",D551&lt;&gt; " ",F551*(G551/H551))</f>
        <v>0</v>
      </c>
      <c r="J551" cm="1">
        <f t="array" ref="J551">_xlfn.IFS(D551= ""," ",D551&lt;&gt; " ",(H551-F551)*(G551/H551))</f>
        <v>522</v>
      </c>
      <c r="K551" cm="1">
        <f t="array" ref="K551">IF(ISNUMBER(H551),_xlfn.IFS(D551= ""," ",D551&lt;&gt; " ",F551*(G551/H551)),"")</f>
        <v>0</v>
      </c>
    </row>
    <row r="552" spans="1:11" x14ac:dyDescent="0.35">
      <c r="A552" t="s">
        <v>22</v>
      </c>
      <c r="B552">
        <v>2006</v>
      </c>
      <c r="D552" t="s">
        <v>137</v>
      </c>
      <c r="E552" t="str" cm="1">
        <f t="array" ref="E552">_xlfn.IFS(D552=policy_name_clustering!$A$2,policy_name_clustering!$C$2,D552=policy_name_clustering!$A$3,policy_name_clustering!$C$3,D552=policy_name_clustering!$A$5,policy_name_clustering!$C$5,D552=policy_name_clustering!$A$6,policy_name_clustering!$C$6,D552=policy_name_clustering!$A$7,policy_name_clustering!$C$7,D552=policy_name_clustering!$A$8,policy_name_clustering!$C$8,D552=policy_name_clustering!$A$9,policy_name_clustering!$C$9,D552=policy_name_clustering!$A$10,policy_name_clustering!$C$10,D552=policy_name_clustering!$A$11,policy_name_clustering!$C$11,D552=policy_name_clustering!$A$12,policy_name_clustering!$C$12,D552=policy_name_clustering!$A$13,policy_name_clustering!$C$13,D552=policy_name_clustering!$A$14,policy_name_clustering!$C$14,D552=policy_name_clustering!$A$15,policy_name_clustering!$C$15,D552=policy_name_clustering!$A$16,policy_name_clustering!$C$16,D552="-","",D552=policy_name_clustering!$A$4,policy_name_clustering!$C$4)</f>
        <v/>
      </c>
      <c r="G552">
        <f>wind_cump_cap!C506</f>
        <v>585</v>
      </c>
      <c r="H552">
        <f>estimated_capacity!C490</f>
        <v>878.12167588665295</v>
      </c>
      <c r="I552" cm="1">
        <f t="array" ref="I552">_xlfn.IFS(D552= ""," ",D552&lt;&gt; " ",F552*(G552/H552))</f>
        <v>0</v>
      </c>
      <c r="J552" cm="1">
        <f t="array" ref="J552">_xlfn.IFS(D552= ""," ",D552&lt;&gt; " ",(H552-F552)*(G552/H552))</f>
        <v>585</v>
      </c>
      <c r="K552" cm="1">
        <f t="array" ref="K552">IF(ISNUMBER(H552),_xlfn.IFS(D552= ""," ",D552&lt;&gt; " ",F552*(G552/H552)),"")</f>
        <v>0</v>
      </c>
    </row>
    <row r="553" spans="1:11" x14ac:dyDescent="0.35">
      <c r="A553" t="s">
        <v>22</v>
      </c>
      <c r="B553">
        <v>2007</v>
      </c>
      <c r="D553" t="s">
        <v>137</v>
      </c>
      <c r="E553" t="str" cm="1">
        <f t="array" ref="E553">_xlfn.IFS(D553=policy_name_clustering!$A$2,policy_name_clustering!$C$2,D553=policy_name_clustering!$A$3,policy_name_clustering!$C$3,D553=policy_name_clustering!$A$5,policy_name_clustering!$C$5,D553=policy_name_clustering!$A$6,policy_name_clustering!$C$6,D553=policy_name_clustering!$A$7,policy_name_clustering!$C$7,D553=policy_name_clustering!$A$8,policy_name_clustering!$C$8,D553=policy_name_clustering!$A$9,policy_name_clustering!$C$9,D553=policy_name_clustering!$A$10,policy_name_clustering!$C$10,D553=policy_name_clustering!$A$11,policy_name_clustering!$C$11,D553=policy_name_clustering!$A$12,policy_name_clustering!$C$12,D553=policy_name_clustering!$A$13,policy_name_clustering!$C$13,D553=policy_name_clustering!$A$14,policy_name_clustering!$C$14,D553=policy_name_clustering!$A$15,policy_name_clustering!$C$15,D553=policy_name_clustering!$A$16,policy_name_clustering!$C$16,D553="-","",D553=policy_name_clustering!$A$4,policy_name_clustering!$C$4)</f>
        <v/>
      </c>
      <c r="G553">
        <f>wind_cump_cap!C507</f>
        <v>823</v>
      </c>
      <c r="H553">
        <f>estimated_capacity!C491</f>
        <v>985.73118746473403</v>
      </c>
      <c r="I553" cm="1">
        <f t="array" ref="I553">_xlfn.IFS(D553= ""," ",D553&lt;&gt; " ",F553*(G553/H553))</f>
        <v>0</v>
      </c>
      <c r="J553" cm="1">
        <f t="array" ref="J553">_xlfn.IFS(D553= ""," ",D553&lt;&gt; " ",(H553-F553)*(G553/H553))</f>
        <v>823</v>
      </c>
      <c r="K553" cm="1">
        <f t="array" ref="K553">IF(ISNUMBER(H553),_xlfn.IFS(D553= ""," ",D553&lt;&gt; " ",F553*(G553/H553)),"")</f>
        <v>0</v>
      </c>
    </row>
    <row r="554" spans="1:11" ht="29" x14ac:dyDescent="0.35">
      <c r="A554" t="s">
        <v>22</v>
      </c>
      <c r="B554">
        <v>2008</v>
      </c>
      <c r="C554" s="3" t="s">
        <v>131</v>
      </c>
      <c r="D554" s="3" t="s">
        <v>166</v>
      </c>
      <c r="E554" t="str" cm="1">
        <f t="array" ref="E554">_xlfn.IFS(D554=policy_name_clustering!$A$2,policy_name_clustering!$C$2,D554=policy_name_clustering!$A$3,policy_name_clustering!$C$3,D554=policy_name_clustering!$A$5,policy_name_clustering!$C$5,D554=policy_name_clustering!$A$6,policy_name_clustering!$C$6,D554=policy_name_clustering!$A$7,policy_name_clustering!$C$7,D554=policy_name_clustering!$A$8,policy_name_clustering!$C$8,D554=policy_name_clustering!$A$9,policy_name_clustering!$C$9,D554=policy_name_clustering!$A$10,policy_name_clustering!$C$10,D554=policy_name_clustering!$A$11,policy_name_clustering!$C$11,D554=policy_name_clustering!$A$12,policy_name_clustering!$C$12,D554=policy_name_clustering!$A$13,policy_name_clustering!$C$13,D554=policy_name_clustering!$A$14,policy_name_clustering!$C$14,D554=policy_name_clustering!$A$15,policy_name_clustering!$C$15,D554=policy_name_clustering!$A$16,policy_name_clustering!$C$16,D554="-","",D554=policy_name_clustering!$A$4,policy_name_clustering!$C$4)</f>
        <v>Policy mix</v>
      </c>
      <c r="F554">
        <f>policy_contributions_cum!F193</f>
        <v>455.92953245514599</v>
      </c>
      <c r="G554">
        <f>wind_cump_cap!C508</f>
        <v>1089</v>
      </c>
      <c r="H554">
        <f>estimated_capacity!C492</f>
        <v>1538.0399920733701</v>
      </c>
      <c r="I554" cm="1">
        <f t="array" ref="I554">_xlfn.IFS(D554= ""," ",D554&lt;&gt; " ",F554*(G554/H554))</f>
        <v>322.81817339114343</v>
      </c>
      <c r="J554" cm="1">
        <f t="array" ref="J554">_xlfn.IFS(D554= ""," ",D554&lt;&gt; " ",(H554-F554)*(G554/H554))</f>
        <v>766.18182660885657</v>
      </c>
      <c r="K554" cm="1">
        <f t="array" ref="K554">IF(ISNUMBER(H554),_xlfn.IFS(D554= ""," ",D554&lt;&gt; " ",F554*(G554/H554)),"")</f>
        <v>322.81817339114343</v>
      </c>
    </row>
    <row r="555" spans="1:11" ht="58" x14ac:dyDescent="0.35">
      <c r="A555" t="s">
        <v>22</v>
      </c>
      <c r="B555">
        <v>2009</v>
      </c>
      <c r="C555" s="3" t="s">
        <v>132</v>
      </c>
      <c r="D555" s="3" t="s">
        <v>166</v>
      </c>
      <c r="E555" t="str" cm="1">
        <f t="array" ref="E555">_xlfn.IFS(D555=policy_name_clustering!$A$2,policy_name_clustering!$C$2,D555=policy_name_clustering!$A$3,policy_name_clustering!$C$3,D555=policy_name_clustering!$A$5,policy_name_clustering!$C$5,D555=policy_name_clustering!$A$6,policy_name_clustering!$C$6,D555=policy_name_clustering!$A$7,policy_name_clustering!$C$7,D555=policy_name_clustering!$A$8,policy_name_clustering!$C$8,D555=policy_name_clustering!$A$9,policy_name_clustering!$C$9,D555=policy_name_clustering!$A$10,policy_name_clustering!$C$10,D555=policy_name_clustering!$A$11,policy_name_clustering!$C$11,D555=policy_name_clustering!$A$12,policy_name_clustering!$C$12,D555=policy_name_clustering!$A$13,policy_name_clustering!$C$13,D555=policy_name_clustering!$A$14,policy_name_clustering!$C$14,D555=policy_name_clustering!$A$15,policy_name_clustering!$C$15,D555=policy_name_clustering!$A$16,policy_name_clustering!$C$16,D555="-","",D555=policy_name_clustering!$A$4,policy_name_clustering!$C$4)</f>
        <v>Policy mix</v>
      </c>
      <c r="F555">
        <f>policy_contributions_cum!F194</f>
        <v>909.47393934672903</v>
      </c>
      <c r="G555">
        <f>wind_cump_cap!C509</f>
        <v>1475</v>
      </c>
      <c r="H555">
        <f>estimated_capacity!C493</f>
        <v>2086.9285692328299</v>
      </c>
      <c r="I555" cm="1">
        <f t="array" ref="I555">_xlfn.IFS(D555= ""," ",D555&lt;&gt; " ",F555*(G555/H555))</f>
        <v>642.79826358865796</v>
      </c>
      <c r="J555" cm="1">
        <f t="array" ref="J555">_xlfn.IFS(D555= ""," ",D555&lt;&gt; " ",(H555-F555)*(G555/H555))</f>
        <v>832.20173641134227</v>
      </c>
      <c r="K555" cm="1">
        <f t="array" ref="K555">IF(ISNUMBER(H555),_xlfn.IFS(D555= ""," ",D555&lt;&gt; " ",F555*(G555/H555)),"")</f>
        <v>642.79826358865796</v>
      </c>
    </row>
    <row r="556" spans="1:11" ht="29" x14ac:dyDescent="0.35">
      <c r="A556" t="s">
        <v>22</v>
      </c>
      <c r="B556">
        <v>2010</v>
      </c>
      <c r="C556" s="3" t="s">
        <v>131</v>
      </c>
      <c r="D556" s="3" t="s">
        <v>166</v>
      </c>
      <c r="E556" t="str" cm="1">
        <f t="array" ref="E556">_xlfn.IFS(D556=policy_name_clustering!$A$2,policy_name_clustering!$C$2,D556=policy_name_clustering!$A$3,policy_name_clustering!$C$3,D556=policy_name_clustering!$A$5,policy_name_clustering!$C$5,D556=policy_name_clustering!$A$6,policy_name_clustering!$C$6,D556=policy_name_clustering!$A$7,policy_name_clustering!$C$7,D556=policy_name_clustering!$A$8,policy_name_clustering!$C$8,D556=policy_name_clustering!$A$9,policy_name_clustering!$C$9,D556=policy_name_clustering!$A$10,policy_name_clustering!$C$10,D556=policy_name_clustering!$A$11,policy_name_clustering!$C$11,D556=policy_name_clustering!$A$12,policy_name_clustering!$C$12,D556=policy_name_clustering!$A$13,policy_name_clustering!$C$13,D556=policy_name_clustering!$A$14,policy_name_clustering!$C$14,D556=policy_name_clustering!$A$15,policy_name_clustering!$C$15,D556=policy_name_clustering!$A$16,policy_name_clustering!$C$16,D556="-","",D556=policy_name_clustering!$A$4,policy_name_clustering!$C$4)</f>
        <v>Policy mix</v>
      </c>
      <c r="F556">
        <f>policy_contributions_cum!F195</f>
        <v>1399.5858363202301</v>
      </c>
      <c r="G556">
        <f>wind_cump_cap!C510</f>
        <v>2017</v>
      </c>
      <c r="H556">
        <f>estimated_capacity!C494</f>
        <v>2688.2542739115302</v>
      </c>
      <c r="I556" cm="1">
        <f t="array" ref="I556">_xlfn.IFS(D556= ""," ",D556&lt;&gt; " ",F556*(G556/H556))</f>
        <v>1050.1107202743751</v>
      </c>
      <c r="J556" cm="1">
        <f t="array" ref="J556">_xlfn.IFS(D556= ""," ",D556&lt;&gt; " ",(H556-F556)*(G556/H556))</f>
        <v>966.88927972562499</v>
      </c>
      <c r="K556" cm="1">
        <f t="array" ref="K556">IF(ISNUMBER(H556),_xlfn.IFS(D556= ""," ",D556&lt;&gt; " ",F556*(G556/H556)),"")</f>
        <v>1050.1107202743751</v>
      </c>
    </row>
    <row r="557" spans="1:11" ht="43.5" x14ac:dyDescent="0.35">
      <c r="A557" t="s">
        <v>22</v>
      </c>
      <c r="B557">
        <v>2011</v>
      </c>
      <c r="C557" s="3" t="s">
        <v>133</v>
      </c>
      <c r="D557" s="3" t="s">
        <v>166</v>
      </c>
      <c r="E557" t="str" cm="1">
        <f t="array" ref="E557">_xlfn.IFS(D557=policy_name_clustering!$A$2,policy_name_clustering!$C$2,D557=policy_name_clustering!$A$3,policy_name_clustering!$C$3,D557=policy_name_clustering!$A$5,policy_name_clustering!$C$5,D557=policy_name_clustering!$A$6,policy_name_clustering!$C$6,D557=policy_name_clustering!$A$7,policy_name_clustering!$C$7,D557=policy_name_clustering!$A$8,policy_name_clustering!$C$8,D557=policy_name_clustering!$A$9,policy_name_clustering!$C$9,D557=policy_name_clustering!$A$10,policy_name_clustering!$C$10,D557=policy_name_clustering!$A$11,policy_name_clustering!$C$11,D557=policy_name_clustering!$A$12,policy_name_clustering!$C$12,D557=policy_name_clustering!$A$13,policy_name_clustering!$C$13,D557=policy_name_clustering!$A$14,policy_name_clustering!$C$14,D557=policy_name_clustering!$A$15,policy_name_clustering!$C$15,D557=policy_name_clustering!$A$16,policy_name_clustering!$C$16,D557="-","",D557=policy_name_clustering!$A$4,policy_name_clustering!$C$4)</f>
        <v>Policy mix</v>
      </c>
      <c r="F557">
        <f>policy_contributions_cum!F196</f>
        <v>1902.61073836377</v>
      </c>
      <c r="G557">
        <f>wind_cump_cap!C511</f>
        <v>2764</v>
      </c>
      <c r="H557">
        <f>estimated_capacity!C495</f>
        <v>3308.09699717687</v>
      </c>
      <c r="I557" cm="1">
        <f t="array" ref="I557">_xlfn.IFS(D557= ""," ",D557&lt;&gt; " ",F557*(G557/H557))</f>
        <v>1589.6801349311504</v>
      </c>
      <c r="J557" cm="1">
        <f t="array" ref="J557">_xlfn.IFS(D557= ""," ",D557&lt;&gt; " ",(H557-F557)*(G557/H557))</f>
        <v>1174.3198650688496</v>
      </c>
      <c r="K557" cm="1">
        <f t="array" ref="K557">IF(ISNUMBER(H557),_xlfn.IFS(D557= ""," ",D557&lt;&gt; " ",F557*(G557/H557)),"")</f>
        <v>1589.6801349311504</v>
      </c>
    </row>
    <row r="558" spans="1:11" ht="43.5" x14ac:dyDescent="0.35">
      <c r="A558" t="s">
        <v>22</v>
      </c>
      <c r="B558">
        <v>2012</v>
      </c>
      <c r="C558" s="3" t="s">
        <v>134</v>
      </c>
      <c r="D558" s="3" t="s">
        <v>166</v>
      </c>
      <c r="E558" t="str" cm="1">
        <f t="array" ref="E558">_xlfn.IFS(D558=policy_name_clustering!$A$2,policy_name_clustering!$C$2,D558=policy_name_clustering!$A$3,policy_name_clustering!$C$3,D558=policy_name_clustering!$A$5,policy_name_clustering!$C$5,D558=policy_name_clustering!$A$6,policy_name_clustering!$C$6,D558=policy_name_clustering!$A$7,policy_name_clustering!$C$7,D558=policy_name_clustering!$A$8,policy_name_clustering!$C$8,D558=policy_name_clustering!$A$9,policy_name_clustering!$C$9,D558=policy_name_clustering!$A$10,policy_name_clustering!$C$10,D558=policy_name_clustering!$A$11,policy_name_clustering!$C$11,D558=policy_name_clustering!$A$12,policy_name_clustering!$C$12,D558=policy_name_clustering!$A$13,policy_name_clustering!$C$13,D558=policy_name_clustering!$A$14,policy_name_clustering!$C$14,D558=policy_name_clustering!$A$15,policy_name_clustering!$C$15,D558=policy_name_clustering!$A$16,policy_name_clustering!$C$16,D558="-","",D558=policy_name_clustering!$A$4,policy_name_clustering!$C$4)</f>
        <v>Policy mix</v>
      </c>
      <c r="F558">
        <f>policy_contributions_cum!F197</f>
        <v>2471.8457519888002</v>
      </c>
      <c r="G558">
        <f>wind_cump_cap!C512</f>
        <v>3606</v>
      </c>
      <c r="H558">
        <f>estimated_capacity!C496</f>
        <v>4022.8838376426102</v>
      </c>
      <c r="I558" cm="1">
        <f t="array" ref="I558">_xlfn.IFS(D558= ""," ",D558&lt;&gt; " ",F558*(G558/H558))</f>
        <v>2215.6930553816005</v>
      </c>
      <c r="J558" cm="1">
        <f t="array" ref="J558">_xlfn.IFS(D558= ""," ",D558&lt;&gt; " ",(H558-F558)*(G558/H558))</f>
        <v>1390.3069446183995</v>
      </c>
      <c r="K558" cm="1">
        <f t="array" ref="K558">IF(ISNUMBER(H558),_xlfn.IFS(D558= ""," ",D558&lt;&gt; " ",F558*(G558/H558)),"")</f>
        <v>2215.6930553816005</v>
      </c>
    </row>
    <row r="559" spans="1:11" ht="29" x14ac:dyDescent="0.35">
      <c r="A559" t="s">
        <v>22</v>
      </c>
      <c r="B559">
        <v>2013</v>
      </c>
      <c r="C559" s="3"/>
      <c r="D559" s="13" t="s">
        <v>166</v>
      </c>
      <c r="E559" t="str" cm="1">
        <f t="array" ref="E559">_xlfn.IFS(D559=policy_name_clustering!$A$2,policy_name_clustering!$C$2,D559=policy_name_clustering!$A$3,policy_name_clustering!$C$3,D559=policy_name_clustering!$A$5,policy_name_clustering!$C$5,D559=policy_name_clustering!$A$6,policy_name_clustering!$C$6,D559=policy_name_clustering!$A$7,policy_name_clustering!$C$7,D559=policy_name_clustering!$A$8,policy_name_clustering!$C$8,D559=policy_name_clustering!$A$9,policy_name_clustering!$C$9,D559=policy_name_clustering!$A$10,policy_name_clustering!$C$10,D559=policy_name_clustering!$A$11,policy_name_clustering!$C$11,D559=policy_name_clustering!$A$12,policy_name_clustering!$C$12,D559=policy_name_clustering!$A$13,policy_name_clustering!$C$13,D559=policy_name_clustering!$A$14,policy_name_clustering!$C$14,D559=policy_name_clustering!$A$15,policy_name_clustering!$C$15,D559=policy_name_clustering!$A$16,policy_name_clustering!$C$16,D559="-","",D559=policy_name_clustering!$A$4,policy_name_clustering!$C$4)</f>
        <v>Policy mix</v>
      </c>
      <c r="I559">
        <f>I558</f>
        <v>2215.6930553816005</v>
      </c>
      <c r="K559" t="str" cm="1">
        <f t="array" ref="K559">IF(ISNUMBER(H559),_xlfn.IFS(D559= ""," ",D559&lt;&gt; " ",F559*(G559/H559)),"")</f>
        <v/>
      </c>
    </row>
    <row r="560" spans="1:11" ht="29" x14ac:dyDescent="0.35">
      <c r="A560" t="s">
        <v>22</v>
      </c>
      <c r="B560">
        <v>2014</v>
      </c>
      <c r="D560" s="13" t="s">
        <v>166</v>
      </c>
      <c r="E560" t="str" cm="1">
        <f t="array" ref="E560">_xlfn.IFS(D560=policy_name_clustering!$A$2,policy_name_clustering!$C$2,D560=policy_name_clustering!$A$3,policy_name_clustering!$C$3,D560=policy_name_clustering!$A$5,policy_name_clustering!$C$5,D560=policy_name_clustering!$A$6,policy_name_clustering!$C$6,D560=policy_name_clustering!$A$7,policy_name_clustering!$C$7,D560=policy_name_clustering!$A$8,policy_name_clustering!$C$8,D560=policy_name_clustering!$A$9,policy_name_clustering!$C$9,D560=policy_name_clustering!$A$10,policy_name_clustering!$C$10,D560=policy_name_clustering!$A$11,policy_name_clustering!$C$11,D560=policy_name_clustering!$A$12,policy_name_clustering!$C$12,D560=policy_name_clustering!$A$13,policy_name_clustering!$C$13,D560=policy_name_clustering!$A$14,policy_name_clustering!$C$14,D560=policy_name_clustering!$A$15,policy_name_clustering!$C$15,D560=policy_name_clustering!$A$16,policy_name_clustering!$C$16,D560="-","",D560=policy_name_clustering!$A$4,policy_name_clustering!$C$4)</f>
        <v>Policy mix</v>
      </c>
      <c r="I560">
        <f>I559</f>
        <v>2215.6930553816005</v>
      </c>
      <c r="K560" t="str" cm="1">
        <f t="array" ref="K560">IF(ISNUMBER(H560),_xlfn.IFS(D560= ""," ",D560&lt;&gt; " ",F560*(G560/H560)),"")</f>
        <v/>
      </c>
    </row>
    <row r="561" spans="1:11" ht="29" x14ac:dyDescent="0.35">
      <c r="A561" t="s">
        <v>22</v>
      </c>
      <c r="B561">
        <v>2015</v>
      </c>
      <c r="D561" s="13" t="s">
        <v>166</v>
      </c>
      <c r="E561" t="str" cm="1">
        <f t="array" ref="E561">_xlfn.IFS(D561=policy_name_clustering!$A$2,policy_name_clustering!$C$2,D561=policy_name_clustering!$A$3,policy_name_clustering!$C$3,D561=policy_name_clustering!$A$5,policy_name_clustering!$C$5,D561=policy_name_clustering!$A$6,policy_name_clustering!$C$6,D561=policy_name_clustering!$A$7,policy_name_clustering!$C$7,D561=policy_name_clustering!$A$8,policy_name_clustering!$C$8,D561=policy_name_clustering!$A$9,policy_name_clustering!$C$9,D561=policy_name_clustering!$A$10,policy_name_clustering!$C$10,D561=policy_name_clustering!$A$11,policy_name_clustering!$C$11,D561=policy_name_clustering!$A$12,policy_name_clustering!$C$12,D561=policy_name_clustering!$A$13,policy_name_clustering!$C$13,D561=policy_name_clustering!$A$14,policy_name_clustering!$C$14,D561=policy_name_clustering!$A$15,policy_name_clustering!$C$15,D561=policy_name_clustering!$A$16,policy_name_clustering!$C$16,D561="-","",D561=policy_name_clustering!$A$4,policy_name_clustering!$C$4)</f>
        <v>Policy mix</v>
      </c>
      <c r="I561">
        <f t="shared" ref="I561:I569" si="9">I560</f>
        <v>2215.6930553816005</v>
      </c>
      <c r="K561" t="str" cm="1">
        <f t="array" ref="K561">IF(ISNUMBER(H561),_xlfn.IFS(D561= ""," ",D561&lt;&gt; " ",F561*(G561/H561)),"")</f>
        <v/>
      </c>
    </row>
    <row r="562" spans="1:11" ht="29" x14ac:dyDescent="0.35">
      <c r="A562" t="s">
        <v>22</v>
      </c>
      <c r="B562">
        <v>2016</v>
      </c>
      <c r="D562" s="13" t="s">
        <v>166</v>
      </c>
      <c r="E562" t="str" cm="1">
        <f t="array" ref="E562">_xlfn.IFS(D562=policy_name_clustering!$A$2,policy_name_clustering!$C$2,D562=policy_name_clustering!$A$3,policy_name_clustering!$C$3,D562=policy_name_clustering!$A$5,policy_name_clustering!$C$5,D562=policy_name_clustering!$A$6,policy_name_clustering!$C$6,D562=policy_name_clustering!$A$7,policy_name_clustering!$C$7,D562=policy_name_clustering!$A$8,policy_name_clustering!$C$8,D562=policy_name_clustering!$A$9,policy_name_clustering!$C$9,D562=policy_name_clustering!$A$10,policy_name_clustering!$C$10,D562=policy_name_clustering!$A$11,policy_name_clustering!$C$11,D562=policy_name_clustering!$A$12,policy_name_clustering!$C$12,D562=policy_name_clustering!$A$13,policy_name_clustering!$C$13,D562=policy_name_clustering!$A$14,policy_name_clustering!$C$14,D562=policy_name_clustering!$A$15,policy_name_clustering!$C$15,D562=policy_name_clustering!$A$16,policy_name_clustering!$C$16,D562="-","",D562=policy_name_clustering!$A$4,policy_name_clustering!$C$4)</f>
        <v>Policy mix</v>
      </c>
      <c r="I562">
        <f t="shared" si="9"/>
        <v>2215.6930553816005</v>
      </c>
      <c r="K562" t="str" cm="1">
        <f t="array" ref="K562">IF(ISNUMBER(H562),_xlfn.IFS(D562= ""," ",D562&lt;&gt; " ",F562*(G562/H562)),"")</f>
        <v/>
      </c>
    </row>
    <row r="563" spans="1:11" ht="29" x14ac:dyDescent="0.35">
      <c r="A563" t="s">
        <v>22</v>
      </c>
      <c r="B563">
        <v>2017</v>
      </c>
      <c r="D563" s="13" t="s">
        <v>166</v>
      </c>
      <c r="E563" t="str" cm="1">
        <f t="array" ref="E563">_xlfn.IFS(D563=policy_name_clustering!$A$2,policy_name_clustering!$C$2,D563=policy_name_clustering!$A$3,policy_name_clustering!$C$3,D563=policy_name_clustering!$A$5,policy_name_clustering!$C$5,D563=policy_name_clustering!$A$6,policy_name_clustering!$C$6,D563=policy_name_clustering!$A$7,policy_name_clustering!$C$7,D563=policy_name_clustering!$A$8,policy_name_clustering!$C$8,D563=policy_name_clustering!$A$9,policy_name_clustering!$C$9,D563=policy_name_clustering!$A$10,policy_name_clustering!$C$10,D563=policy_name_clustering!$A$11,policy_name_clustering!$C$11,D563=policy_name_clustering!$A$12,policy_name_clustering!$C$12,D563=policy_name_clustering!$A$13,policy_name_clustering!$C$13,D563=policy_name_clustering!$A$14,policy_name_clustering!$C$14,D563=policy_name_clustering!$A$15,policy_name_clustering!$C$15,D563=policy_name_clustering!$A$16,policy_name_clustering!$C$16,D563="-","",D563=policy_name_clustering!$A$4,policy_name_clustering!$C$4)</f>
        <v>Policy mix</v>
      </c>
      <c r="I563">
        <f t="shared" si="9"/>
        <v>2215.6930553816005</v>
      </c>
      <c r="K563" t="str" cm="1">
        <f t="array" ref="K563">IF(ISNUMBER(H563),_xlfn.IFS(D563= ""," ",D563&lt;&gt; " ",F563*(G563/H563)),"")</f>
        <v/>
      </c>
    </row>
    <row r="564" spans="1:11" ht="29" x14ac:dyDescent="0.35">
      <c r="A564" t="s">
        <v>22</v>
      </c>
      <c r="B564">
        <v>2018</v>
      </c>
      <c r="D564" s="13" t="s">
        <v>166</v>
      </c>
      <c r="E564" t="str" cm="1">
        <f t="array" ref="E564">_xlfn.IFS(D564=policy_name_clustering!$A$2,policy_name_clustering!$C$2,D564=policy_name_clustering!$A$3,policy_name_clustering!$C$3,D564=policy_name_clustering!$A$5,policy_name_clustering!$C$5,D564=policy_name_clustering!$A$6,policy_name_clustering!$C$6,D564=policy_name_clustering!$A$7,policy_name_clustering!$C$7,D564=policy_name_clustering!$A$8,policy_name_clustering!$C$8,D564=policy_name_clustering!$A$9,policy_name_clustering!$C$9,D564=policy_name_clustering!$A$10,policy_name_clustering!$C$10,D564=policy_name_clustering!$A$11,policy_name_clustering!$C$11,D564=policy_name_clustering!$A$12,policy_name_clustering!$C$12,D564=policy_name_clustering!$A$13,policy_name_clustering!$C$13,D564=policy_name_clustering!$A$14,policy_name_clustering!$C$14,D564=policy_name_clustering!$A$15,policy_name_clustering!$C$15,D564=policy_name_clustering!$A$16,policy_name_clustering!$C$16,D564="-","",D564=policy_name_clustering!$A$4,policy_name_clustering!$C$4)</f>
        <v>Policy mix</v>
      </c>
      <c r="I564">
        <f t="shared" si="9"/>
        <v>2215.6930553816005</v>
      </c>
      <c r="K564" t="str" cm="1">
        <f t="array" ref="K564">IF(ISNUMBER(H564),_xlfn.IFS(D564= ""," ",D564&lt;&gt; " ",F564*(G564/H564)),"")</f>
        <v/>
      </c>
    </row>
    <row r="565" spans="1:11" ht="29" x14ac:dyDescent="0.35">
      <c r="A565" t="s">
        <v>22</v>
      </c>
      <c r="B565">
        <v>2019</v>
      </c>
      <c r="D565" s="13" t="s">
        <v>166</v>
      </c>
      <c r="E565" t="str" cm="1">
        <f t="array" ref="E565">_xlfn.IFS(D565=policy_name_clustering!$A$2,policy_name_clustering!$C$2,D565=policy_name_clustering!$A$3,policy_name_clustering!$C$3,D565=policy_name_clustering!$A$5,policy_name_clustering!$C$5,D565=policy_name_clustering!$A$6,policy_name_clustering!$C$6,D565=policy_name_clustering!$A$7,policy_name_clustering!$C$7,D565=policy_name_clustering!$A$8,policy_name_clustering!$C$8,D565=policy_name_clustering!$A$9,policy_name_clustering!$C$9,D565=policy_name_clustering!$A$10,policy_name_clustering!$C$10,D565=policy_name_clustering!$A$11,policy_name_clustering!$C$11,D565=policy_name_clustering!$A$12,policy_name_clustering!$C$12,D565=policy_name_clustering!$A$13,policy_name_clustering!$C$13,D565=policy_name_clustering!$A$14,policy_name_clustering!$C$14,D565=policy_name_clustering!$A$15,policy_name_clustering!$C$15,D565=policy_name_clustering!$A$16,policy_name_clustering!$C$16,D565="-","",D565=policy_name_clustering!$A$4,policy_name_clustering!$C$4)</f>
        <v>Policy mix</v>
      </c>
      <c r="I565">
        <f t="shared" si="9"/>
        <v>2215.6930553816005</v>
      </c>
      <c r="K565" t="str" cm="1">
        <f t="array" ref="K565">IF(ISNUMBER(H565),_xlfn.IFS(D565= ""," ",D565&lt;&gt; " ",F565*(G565/H565)),"")</f>
        <v/>
      </c>
    </row>
    <row r="566" spans="1:11" ht="29" x14ac:dyDescent="0.35">
      <c r="A566" t="s">
        <v>22</v>
      </c>
      <c r="B566">
        <v>2020</v>
      </c>
      <c r="D566" s="13" t="s">
        <v>166</v>
      </c>
      <c r="E566" t="str" cm="1">
        <f t="array" ref="E566">_xlfn.IFS(D566=policy_name_clustering!$A$2,policy_name_clustering!$C$2,D566=policy_name_clustering!$A$3,policy_name_clustering!$C$3,D566=policy_name_clustering!$A$5,policy_name_clustering!$C$5,D566=policy_name_clustering!$A$6,policy_name_clustering!$C$6,D566=policy_name_clustering!$A$7,policy_name_clustering!$C$7,D566=policy_name_clustering!$A$8,policy_name_clustering!$C$8,D566=policy_name_clustering!$A$9,policy_name_clustering!$C$9,D566=policy_name_clustering!$A$10,policy_name_clustering!$C$10,D566=policy_name_clustering!$A$11,policy_name_clustering!$C$11,D566=policy_name_clustering!$A$12,policy_name_clustering!$C$12,D566=policy_name_clustering!$A$13,policy_name_clustering!$C$13,D566=policy_name_clustering!$A$14,policy_name_clustering!$C$14,D566=policy_name_clustering!$A$15,policy_name_clustering!$C$15,D566=policy_name_clustering!$A$16,policy_name_clustering!$C$16,D566="-","",D566=policy_name_clustering!$A$4,policy_name_clustering!$C$4)</f>
        <v>Policy mix</v>
      </c>
      <c r="I566">
        <f t="shared" si="9"/>
        <v>2215.6930553816005</v>
      </c>
      <c r="K566" t="str" cm="1">
        <f t="array" ref="K566">IF(ISNUMBER(H566),_xlfn.IFS(D566= ""," ",D566&lt;&gt; " ",F566*(G566/H566)),"")</f>
        <v/>
      </c>
    </row>
    <row r="567" spans="1:11" ht="29" x14ac:dyDescent="0.35">
      <c r="A567" t="s">
        <v>22</v>
      </c>
      <c r="B567">
        <v>2021</v>
      </c>
      <c r="D567" s="13" t="s">
        <v>166</v>
      </c>
      <c r="E567" t="str" cm="1">
        <f t="array" ref="E567">_xlfn.IFS(D567=policy_name_clustering!$A$2,policy_name_clustering!$C$2,D567=policy_name_clustering!$A$3,policy_name_clustering!$C$3,D567=policy_name_clustering!$A$5,policy_name_clustering!$C$5,D567=policy_name_clustering!$A$6,policy_name_clustering!$C$6,D567=policy_name_clustering!$A$7,policy_name_clustering!$C$7,D567=policy_name_clustering!$A$8,policy_name_clustering!$C$8,D567=policy_name_clustering!$A$9,policy_name_clustering!$C$9,D567=policy_name_clustering!$A$10,policy_name_clustering!$C$10,D567=policy_name_clustering!$A$11,policy_name_clustering!$C$11,D567=policy_name_clustering!$A$12,policy_name_clustering!$C$12,D567=policy_name_clustering!$A$13,policy_name_clustering!$C$13,D567=policy_name_clustering!$A$14,policy_name_clustering!$C$14,D567=policy_name_clustering!$A$15,policy_name_clustering!$C$15,D567=policy_name_clustering!$A$16,policy_name_clustering!$C$16,D567="-","",D567=policy_name_clustering!$A$4,policy_name_clustering!$C$4)</f>
        <v>Policy mix</v>
      </c>
      <c r="I567">
        <f t="shared" si="9"/>
        <v>2215.6930553816005</v>
      </c>
      <c r="K567" t="str" cm="1">
        <f t="array" ref="K567">IF(ISNUMBER(H567),_xlfn.IFS(D567= ""," ",D567&lt;&gt; " ",F567*(G567/H567)),"")</f>
        <v/>
      </c>
    </row>
    <row r="568" spans="1:11" ht="29" x14ac:dyDescent="0.35">
      <c r="A568" t="s">
        <v>22</v>
      </c>
      <c r="B568">
        <v>2022</v>
      </c>
      <c r="D568" s="13" t="s">
        <v>166</v>
      </c>
      <c r="E568" t="str" cm="1">
        <f t="array" ref="E568">_xlfn.IFS(D568=policy_name_clustering!$A$2,policy_name_clustering!$C$2,D568=policy_name_clustering!$A$3,policy_name_clustering!$C$3,D568=policy_name_clustering!$A$5,policy_name_clustering!$C$5,D568=policy_name_clustering!$A$6,policy_name_clustering!$C$6,D568=policy_name_clustering!$A$7,policy_name_clustering!$C$7,D568=policy_name_clustering!$A$8,policy_name_clustering!$C$8,D568=policy_name_clustering!$A$9,policy_name_clustering!$C$9,D568=policy_name_clustering!$A$10,policy_name_clustering!$C$10,D568=policy_name_clustering!$A$11,policy_name_clustering!$C$11,D568=policy_name_clustering!$A$12,policy_name_clustering!$C$12,D568=policy_name_clustering!$A$13,policy_name_clustering!$C$13,D568=policy_name_clustering!$A$14,policy_name_clustering!$C$14,D568=policy_name_clustering!$A$15,policy_name_clustering!$C$15,D568=policy_name_clustering!$A$16,policy_name_clustering!$C$16,D568="-","",D568=policy_name_clustering!$A$4,policy_name_clustering!$C$4)</f>
        <v>Policy mix</v>
      </c>
      <c r="I568">
        <f t="shared" si="9"/>
        <v>2215.6930553816005</v>
      </c>
      <c r="K568" t="str" cm="1">
        <f t="array" ref="K568">IF(ISNUMBER(H568),_xlfn.IFS(D568= ""," ",D568&lt;&gt; " ",F568*(G568/H568)),"")</f>
        <v/>
      </c>
    </row>
    <row r="569" spans="1:11" ht="29" x14ac:dyDescent="0.35">
      <c r="A569" t="s">
        <v>22</v>
      </c>
      <c r="B569">
        <v>2023</v>
      </c>
      <c r="D569" s="13" t="s">
        <v>166</v>
      </c>
      <c r="E569" t="str" cm="1">
        <f t="array" ref="E569">_xlfn.IFS(D569=policy_name_clustering!$A$2,policy_name_clustering!$C$2,D569=policy_name_clustering!$A$3,policy_name_clustering!$C$3,D569=policy_name_clustering!$A$5,policy_name_clustering!$C$5,D569=policy_name_clustering!$A$6,policy_name_clustering!$C$6,D569=policy_name_clustering!$A$7,policy_name_clustering!$C$7,D569=policy_name_clustering!$A$8,policy_name_clustering!$C$8,D569=policy_name_clustering!$A$9,policy_name_clustering!$C$9,D569=policy_name_clustering!$A$10,policy_name_clustering!$C$10,D569=policy_name_clustering!$A$11,policy_name_clustering!$C$11,D569=policy_name_clustering!$A$12,policy_name_clustering!$C$12,D569=policy_name_clustering!$A$13,policy_name_clustering!$C$13,D569=policy_name_clustering!$A$14,policy_name_clustering!$C$14,D569=policy_name_clustering!$A$15,policy_name_clustering!$C$15,D569=policy_name_clustering!$A$16,policy_name_clustering!$C$16,D569="-","",D569=policy_name_clustering!$A$4,policy_name_clustering!$C$4)</f>
        <v>Policy mix</v>
      </c>
      <c r="I569">
        <f t="shared" si="9"/>
        <v>2215.6930553816005</v>
      </c>
      <c r="K569" t="str" cm="1">
        <f t="array" ref="K569">IF(ISNUMBER(H569),_xlfn.IFS(D569= ""," ",D569&lt;&gt; " ",F569*(G569/H569)),"")</f>
        <v/>
      </c>
    </row>
    <row r="570" spans="1:11" ht="29" x14ac:dyDescent="0.35">
      <c r="A570" t="s">
        <v>22</v>
      </c>
      <c r="B570">
        <v>2013</v>
      </c>
      <c r="C570" s="3" t="s">
        <v>171</v>
      </c>
      <c r="D570" s="22" t="s">
        <v>162</v>
      </c>
      <c r="E570" t="str" cm="1">
        <f t="array" ref="E570">_xlfn.IFS(D570=policy_name_clustering!$A$2,policy_name_clustering!$C$2,D570=policy_name_clustering!$A$3,policy_name_clustering!$C$3,D570=policy_name_clustering!$A$5,policy_name_clustering!$C$5,D570=policy_name_clustering!$A$6,policy_name_clustering!$C$6,D570=policy_name_clustering!$A$7,policy_name_clustering!$C$7,D570=policy_name_clustering!$A$8,policy_name_clustering!$C$8,D570=policy_name_clustering!$A$9,policy_name_clustering!$C$9,D570=policy_name_clustering!$A$10,policy_name_clustering!$C$10,D570=policy_name_clustering!$A$11,policy_name_clustering!$C$11,D570=policy_name_clustering!$A$12,policy_name_clustering!$C$12,D570=policy_name_clustering!$A$13,policy_name_clustering!$C$13,D570=policy_name_clustering!$A$14,policy_name_clustering!$C$14,D570=policy_name_clustering!$A$15,policy_name_clustering!$C$15,D570=policy_name_clustering!$A$16,policy_name_clustering!$C$16,D570="-","",D570=policy_name_clustering!$A$4,policy_name_clustering!$C$4)</f>
        <v>Other single instrument</v>
      </c>
      <c r="F570">
        <f>policy_contributions_cum!F198</f>
        <v>3004.9822470733802</v>
      </c>
      <c r="G570">
        <f>wind_cump_cap!C513</f>
        <v>4194</v>
      </c>
      <c r="H570">
        <f>estimated_capacity!C497</f>
        <v>4685.9060474016296</v>
      </c>
      <c r="I570" cm="1">
        <f t="array" ref="I570">_xlfn.IFS(D570= ""," ",D570&lt;&gt; " ",F570*(G570/H570)-$I$558)</f>
        <v>473.83921793705849</v>
      </c>
      <c r="J570" cm="1">
        <f t="array" ref="J570">_xlfn.IFS(D570= ""," ",D570&lt;&gt; " ",(H570-F570)*(G570/H570))</f>
        <v>1504.467726681341</v>
      </c>
      <c r="K570" cm="1">
        <f t="array" ref="K570">IF(ISNUMBER(H570),_xlfn.IFS(D570= ""," ",D570&lt;&gt; " ",F570*(G570/H570)),"")</f>
        <v>2689.532273318659</v>
      </c>
    </row>
    <row r="571" spans="1:11" ht="29" x14ac:dyDescent="0.35">
      <c r="A571" t="s">
        <v>22</v>
      </c>
      <c r="B571">
        <v>2014</v>
      </c>
      <c r="C571" s="3" t="s">
        <v>171</v>
      </c>
      <c r="D571" s="19" t="s">
        <v>162</v>
      </c>
      <c r="E571" t="str" cm="1">
        <f t="array" ref="E571">_xlfn.IFS(D571=policy_name_clustering!$A$2,policy_name_clustering!$C$2,D571=policy_name_clustering!$A$3,policy_name_clustering!$C$3,D571=policy_name_clustering!$A$5,policy_name_clustering!$C$5,D571=policy_name_clustering!$A$6,policy_name_clustering!$C$6,D571=policy_name_clustering!$A$7,policy_name_clustering!$C$7,D571=policy_name_clustering!$A$8,policy_name_clustering!$C$8,D571=policy_name_clustering!$A$9,policy_name_clustering!$C$9,D571=policy_name_clustering!$A$10,policy_name_clustering!$C$10,D571=policy_name_clustering!$A$11,policy_name_clustering!$C$11,D571=policy_name_clustering!$A$12,policy_name_clustering!$C$12,D571=policy_name_clustering!$A$13,policy_name_clustering!$C$13,D571=policy_name_clustering!$A$14,policy_name_clustering!$C$14,D571=policy_name_clustering!$A$15,policy_name_clustering!$C$15,D571=policy_name_clustering!$A$16,policy_name_clustering!$C$16,D571="-","",D571=policy_name_clustering!$A$4,policy_name_clustering!$C$4)</f>
        <v>Other single instrument</v>
      </c>
      <c r="F571">
        <f>policy_contributions_cum!F199</f>
        <v>3574.2123877571498</v>
      </c>
      <c r="G571">
        <f>wind_cump_cap!C514</f>
        <v>5088</v>
      </c>
      <c r="H571">
        <f>estimated_capacity!C498</f>
        <v>5400.68590015665</v>
      </c>
      <c r="I571" cm="1">
        <f t="array" ref="I571">_xlfn.IFS(D571= ""," ",D571&lt;&gt; " ",F571*(G571/H571)-$I$559)</f>
        <v>1151.5815769722076</v>
      </c>
      <c r="J571" cm="1">
        <f t="array" ref="J571">_xlfn.IFS(D571= ""," ",D571&lt;&gt; " ",(H571-F571)*(G571/H571))</f>
        <v>1720.7253676461919</v>
      </c>
      <c r="K571" cm="1">
        <f t="array" ref="K571">IF(ISNUMBER(H571),_xlfn.IFS(D571= ""," ",D571&lt;&gt; " ",F571*(G571/H571)),"")</f>
        <v>3367.2746323538081</v>
      </c>
    </row>
    <row r="572" spans="1:11" x14ac:dyDescent="0.35">
      <c r="A572" t="s">
        <v>22</v>
      </c>
      <c r="B572">
        <v>2015</v>
      </c>
      <c r="D572" s="12" t="s">
        <v>162</v>
      </c>
      <c r="E572" t="str" cm="1">
        <f t="array" ref="E572">_xlfn.IFS(D572=policy_name_clustering!$A$2,policy_name_clustering!$C$2,D572=policy_name_clustering!$A$3,policy_name_clustering!$C$3,D572=policy_name_clustering!$A$5,policy_name_clustering!$C$5,D572=policy_name_clustering!$A$6,policy_name_clustering!$C$6,D572=policy_name_clustering!$A$7,policy_name_clustering!$C$7,D572=policy_name_clustering!$A$8,policy_name_clustering!$C$8,D572=policy_name_clustering!$A$9,policy_name_clustering!$C$9,D572=policy_name_clustering!$A$10,policy_name_clustering!$C$10,D572=policy_name_clustering!$A$11,policy_name_clustering!$C$11,D572=policy_name_clustering!$A$12,policy_name_clustering!$C$12,D572=policy_name_clustering!$A$13,policy_name_clustering!$C$13,D572=policy_name_clustering!$A$14,policy_name_clustering!$C$14,D572=policy_name_clustering!$A$15,policy_name_clustering!$C$15,D572=policy_name_clustering!$A$16,policy_name_clustering!$C$16,D572="-","",D572=policy_name_clustering!$A$4,policy_name_clustering!$C$4)</f>
        <v>Other single instrument</v>
      </c>
      <c r="I572">
        <f>I571</f>
        <v>1151.5815769722076</v>
      </c>
      <c r="K572" t="str" cm="1">
        <f t="array" ref="K572">IF(ISNUMBER(H572),_xlfn.IFS(D572= ""," ",D572&lt;&gt; " ",F572*(G572/H572)),"")</f>
        <v/>
      </c>
    </row>
    <row r="573" spans="1:11" x14ac:dyDescent="0.35">
      <c r="A573" t="s">
        <v>22</v>
      </c>
      <c r="B573">
        <v>2016</v>
      </c>
      <c r="D573" s="12" t="s">
        <v>162</v>
      </c>
      <c r="E573" t="str" cm="1">
        <f t="array" ref="E573">_xlfn.IFS(D573=policy_name_clustering!$A$2,policy_name_clustering!$C$2,D573=policy_name_clustering!$A$3,policy_name_clustering!$C$3,D573=policy_name_clustering!$A$5,policy_name_clustering!$C$5,D573=policy_name_clustering!$A$6,policy_name_clustering!$C$6,D573=policy_name_clustering!$A$7,policy_name_clustering!$C$7,D573=policy_name_clustering!$A$8,policy_name_clustering!$C$8,D573=policy_name_clustering!$A$9,policy_name_clustering!$C$9,D573=policy_name_clustering!$A$10,policy_name_clustering!$C$10,D573=policy_name_clustering!$A$11,policy_name_clustering!$C$11,D573=policy_name_clustering!$A$12,policy_name_clustering!$C$12,D573=policy_name_clustering!$A$13,policy_name_clustering!$C$13,D573=policy_name_clustering!$A$14,policy_name_clustering!$C$14,D573=policy_name_clustering!$A$15,policy_name_clustering!$C$15,D573=policy_name_clustering!$A$16,policy_name_clustering!$C$16,D573="-","",D573=policy_name_clustering!$A$4,policy_name_clustering!$C$4)</f>
        <v>Other single instrument</v>
      </c>
      <c r="I573">
        <f t="shared" ref="I573:I580" si="10">I572</f>
        <v>1151.5815769722076</v>
      </c>
      <c r="K573" t="str" cm="1">
        <f t="array" ref="K573">IF(ISNUMBER(H573),_xlfn.IFS(D573= ""," ",D573&lt;&gt; " ",F573*(G573/H573)),"")</f>
        <v/>
      </c>
    </row>
    <row r="574" spans="1:11" x14ac:dyDescent="0.35">
      <c r="A574" t="s">
        <v>22</v>
      </c>
      <c r="B574">
        <v>2017</v>
      </c>
      <c r="D574" s="12" t="s">
        <v>162</v>
      </c>
      <c r="E574" t="str" cm="1">
        <f t="array" ref="E574">_xlfn.IFS(D574=policy_name_clustering!$A$2,policy_name_clustering!$C$2,D574=policy_name_clustering!$A$3,policy_name_clustering!$C$3,D574=policy_name_clustering!$A$5,policy_name_clustering!$C$5,D574=policy_name_clustering!$A$6,policy_name_clustering!$C$6,D574=policy_name_clustering!$A$7,policy_name_clustering!$C$7,D574=policy_name_clustering!$A$8,policy_name_clustering!$C$8,D574=policy_name_clustering!$A$9,policy_name_clustering!$C$9,D574=policy_name_clustering!$A$10,policy_name_clustering!$C$10,D574=policy_name_clustering!$A$11,policy_name_clustering!$C$11,D574=policy_name_clustering!$A$12,policy_name_clustering!$C$12,D574=policy_name_clustering!$A$13,policy_name_clustering!$C$13,D574=policy_name_clustering!$A$14,policy_name_clustering!$C$14,D574=policy_name_clustering!$A$15,policy_name_clustering!$C$15,D574=policy_name_clustering!$A$16,policy_name_clustering!$C$16,D574="-","",D574=policy_name_clustering!$A$4,policy_name_clustering!$C$4)</f>
        <v>Other single instrument</v>
      </c>
      <c r="I574">
        <f t="shared" si="10"/>
        <v>1151.5815769722076</v>
      </c>
      <c r="K574" t="str" cm="1">
        <f t="array" ref="K574">IF(ISNUMBER(H574),_xlfn.IFS(D574= ""," ",D574&lt;&gt; " ",F574*(G574/H574)),"")</f>
        <v/>
      </c>
    </row>
    <row r="575" spans="1:11" x14ac:dyDescent="0.35">
      <c r="A575" t="s">
        <v>22</v>
      </c>
      <c r="B575">
        <v>2018</v>
      </c>
      <c r="D575" s="12" t="s">
        <v>162</v>
      </c>
      <c r="E575" t="str" cm="1">
        <f t="array" ref="E575">_xlfn.IFS(D575=policy_name_clustering!$A$2,policy_name_clustering!$C$2,D575=policy_name_clustering!$A$3,policy_name_clustering!$C$3,D575=policy_name_clustering!$A$5,policy_name_clustering!$C$5,D575=policy_name_clustering!$A$6,policy_name_clustering!$C$6,D575=policy_name_clustering!$A$7,policy_name_clustering!$C$7,D575=policy_name_clustering!$A$8,policy_name_clustering!$C$8,D575=policy_name_clustering!$A$9,policy_name_clustering!$C$9,D575=policy_name_clustering!$A$10,policy_name_clustering!$C$10,D575=policy_name_clustering!$A$11,policy_name_clustering!$C$11,D575=policy_name_clustering!$A$12,policy_name_clustering!$C$12,D575=policy_name_clustering!$A$13,policy_name_clustering!$C$13,D575=policy_name_clustering!$A$14,policy_name_clustering!$C$14,D575=policy_name_clustering!$A$15,policy_name_clustering!$C$15,D575=policy_name_clustering!$A$16,policy_name_clustering!$C$16,D575="-","",D575=policy_name_clustering!$A$4,policy_name_clustering!$C$4)</f>
        <v>Other single instrument</v>
      </c>
      <c r="I575">
        <f t="shared" si="10"/>
        <v>1151.5815769722076</v>
      </c>
      <c r="K575" t="str" cm="1">
        <f t="array" ref="K575">IF(ISNUMBER(H575),_xlfn.IFS(D575= ""," ",D575&lt;&gt; " ",F575*(G575/H575)),"")</f>
        <v/>
      </c>
    </row>
    <row r="576" spans="1:11" x14ac:dyDescent="0.35">
      <c r="A576" t="s">
        <v>22</v>
      </c>
      <c r="B576">
        <v>2019</v>
      </c>
      <c r="D576" s="12" t="s">
        <v>162</v>
      </c>
      <c r="E576" t="str" cm="1">
        <f t="array" ref="E576">_xlfn.IFS(D576=policy_name_clustering!$A$2,policy_name_clustering!$C$2,D576=policy_name_clustering!$A$3,policy_name_clustering!$C$3,D576=policy_name_clustering!$A$5,policy_name_clustering!$C$5,D576=policy_name_clustering!$A$6,policy_name_clustering!$C$6,D576=policy_name_clustering!$A$7,policy_name_clustering!$C$7,D576=policy_name_clustering!$A$8,policy_name_clustering!$C$8,D576=policy_name_clustering!$A$9,policy_name_clustering!$C$9,D576=policy_name_clustering!$A$10,policy_name_clustering!$C$10,D576=policy_name_clustering!$A$11,policy_name_clustering!$C$11,D576=policy_name_clustering!$A$12,policy_name_clustering!$C$12,D576=policy_name_clustering!$A$13,policy_name_clustering!$C$13,D576=policy_name_clustering!$A$14,policy_name_clustering!$C$14,D576=policy_name_clustering!$A$15,policy_name_clustering!$C$15,D576=policy_name_clustering!$A$16,policy_name_clustering!$C$16,D576="-","",D576=policy_name_clustering!$A$4,policy_name_clustering!$C$4)</f>
        <v>Other single instrument</v>
      </c>
      <c r="I576">
        <f t="shared" si="10"/>
        <v>1151.5815769722076</v>
      </c>
      <c r="K576" t="str" cm="1">
        <f t="array" ref="K576">IF(ISNUMBER(H576),_xlfn.IFS(D576= ""," ",D576&lt;&gt; " ",F576*(G576/H576)),"")</f>
        <v/>
      </c>
    </row>
    <row r="577" spans="1:11" x14ac:dyDescent="0.35">
      <c r="A577" t="s">
        <v>22</v>
      </c>
      <c r="B577">
        <v>2020</v>
      </c>
      <c r="D577" s="12" t="s">
        <v>162</v>
      </c>
      <c r="E577" t="str" cm="1">
        <f t="array" ref="E577">_xlfn.IFS(D577=policy_name_clustering!$A$2,policy_name_clustering!$C$2,D577=policy_name_clustering!$A$3,policy_name_clustering!$C$3,D577=policy_name_clustering!$A$5,policy_name_clustering!$C$5,D577=policy_name_clustering!$A$6,policy_name_clustering!$C$6,D577=policy_name_clustering!$A$7,policy_name_clustering!$C$7,D577=policy_name_clustering!$A$8,policy_name_clustering!$C$8,D577=policy_name_clustering!$A$9,policy_name_clustering!$C$9,D577=policy_name_clustering!$A$10,policy_name_clustering!$C$10,D577=policy_name_clustering!$A$11,policy_name_clustering!$C$11,D577=policy_name_clustering!$A$12,policy_name_clustering!$C$12,D577=policy_name_clustering!$A$13,policy_name_clustering!$C$13,D577=policy_name_clustering!$A$14,policy_name_clustering!$C$14,D577=policy_name_clustering!$A$15,policy_name_clustering!$C$15,D577=policy_name_clustering!$A$16,policy_name_clustering!$C$16,D577="-","",D577=policy_name_clustering!$A$4,policy_name_clustering!$C$4)</f>
        <v>Other single instrument</v>
      </c>
      <c r="I577">
        <f t="shared" si="10"/>
        <v>1151.5815769722076</v>
      </c>
      <c r="K577" t="str" cm="1">
        <f t="array" ref="K577">IF(ISNUMBER(H577),_xlfn.IFS(D577= ""," ",D577&lt;&gt; " ",F577*(G577/H577)),"")</f>
        <v/>
      </c>
    </row>
    <row r="578" spans="1:11" x14ac:dyDescent="0.35">
      <c r="A578" t="s">
        <v>22</v>
      </c>
      <c r="B578">
        <v>2021</v>
      </c>
      <c r="D578" s="12" t="s">
        <v>162</v>
      </c>
      <c r="E578" t="str" cm="1">
        <f t="array" ref="E578">_xlfn.IFS(D578=policy_name_clustering!$A$2,policy_name_clustering!$C$2,D578=policy_name_clustering!$A$3,policy_name_clustering!$C$3,D578=policy_name_clustering!$A$5,policy_name_clustering!$C$5,D578=policy_name_clustering!$A$6,policy_name_clustering!$C$6,D578=policy_name_clustering!$A$7,policy_name_clustering!$C$7,D578=policy_name_clustering!$A$8,policy_name_clustering!$C$8,D578=policy_name_clustering!$A$9,policy_name_clustering!$C$9,D578=policy_name_clustering!$A$10,policy_name_clustering!$C$10,D578=policy_name_clustering!$A$11,policy_name_clustering!$C$11,D578=policy_name_clustering!$A$12,policy_name_clustering!$C$12,D578=policy_name_clustering!$A$13,policy_name_clustering!$C$13,D578=policy_name_clustering!$A$14,policy_name_clustering!$C$14,D578=policy_name_clustering!$A$15,policy_name_clustering!$C$15,D578=policy_name_clustering!$A$16,policy_name_clustering!$C$16,D578="-","",D578=policy_name_clustering!$A$4,policy_name_clustering!$C$4)</f>
        <v>Other single instrument</v>
      </c>
      <c r="I578">
        <f t="shared" si="10"/>
        <v>1151.5815769722076</v>
      </c>
      <c r="K578" t="str" cm="1">
        <f t="array" ref="K578">IF(ISNUMBER(H578),_xlfn.IFS(D578= ""," ",D578&lt;&gt; " ",F578*(G578/H578)),"")</f>
        <v/>
      </c>
    </row>
    <row r="579" spans="1:11" x14ac:dyDescent="0.35">
      <c r="A579" t="s">
        <v>22</v>
      </c>
      <c r="B579">
        <v>2022</v>
      </c>
      <c r="D579" s="12" t="s">
        <v>162</v>
      </c>
      <c r="E579" t="str" cm="1">
        <f t="array" ref="E579">_xlfn.IFS(D579=policy_name_clustering!$A$2,policy_name_clustering!$C$2,D579=policy_name_clustering!$A$3,policy_name_clustering!$C$3,D579=policy_name_clustering!$A$5,policy_name_clustering!$C$5,D579=policy_name_clustering!$A$6,policy_name_clustering!$C$6,D579=policy_name_clustering!$A$7,policy_name_clustering!$C$7,D579=policy_name_clustering!$A$8,policy_name_clustering!$C$8,D579=policy_name_clustering!$A$9,policy_name_clustering!$C$9,D579=policy_name_clustering!$A$10,policy_name_clustering!$C$10,D579=policy_name_clustering!$A$11,policy_name_clustering!$C$11,D579=policy_name_clustering!$A$12,policy_name_clustering!$C$12,D579=policy_name_clustering!$A$13,policy_name_clustering!$C$13,D579=policy_name_clustering!$A$14,policy_name_clustering!$C$14,D579=policy_name_clustering!$A$15,policy_name_clustering!$C$15,D579=policy_name_clustering!$A$16,policy_name_clustering!$C$16,D579="-","",D579=policy_name_clustering!$A$4,policy_name_clustering!$C$4)</f>
        <v>Other single instrument</v>
      </c>
      <c r="I579">
        <f t="shared" si="10"/>
        <v>1151.5815769722076</v>
      </c>
      <c r="K579" t="str" cm="1">
        <f t="array" ref="K579">IF(ISNUMBER(H579),_xlfn.IFS(D579= ""," ",D579&lt;&gt; " ",F579*(G579/H579)),"")</f>
        <v/>
      </c>
    </row>
    <row r="580" spans="1:11" x14ac:dyDescent="0.35">
      <c r="A580" t="s">
        <v>22</v>
      </c>
      <c r="B580">
        <v>2023</v>
      </c>
      <c r="D580" s="12" t="s">
        <v>162</v>
      </c>
      <c r="E580" t="str" cm="1">
        <f t="array" ref="E580">_xlfn.IFS(D580=policy_name_clustering!$A$2,policy_name_clustering!$C$2,D580=policy_name_clustering!$A$3,policy_name_clustering!$C$3,D580=policy_name_clustering!$A$5,policy_name_clustering!$C$5,D580=policy_name_clustering!$A$6,policy_name_clustering!$C$6,D580=policy_name_clustering!$A$7,policy_name_clustering!$C$7,D580=policy_name_clustering!$A$8,policy_name_clustering!$C$8,D580=policy_name_clustering!$A$9,policy_name_clustering!$C$9,D580=policy_name_clustering!$A$10,policy_name_clustering!$C$10,D580=policy_name_clustering!$A$11,policy_name_clustering!$C$11,D580=policy_name_clustering!$A$12,policy_name_clustering!$C$12,D580=policy_name_clustering!$A$13,policy_name_clustering!$C$13,D580=policy_name_clustering!$A$14,policy_name_clustering!$C$14,D580=policy_name_clustering!$A$15,policy_name_clustering!$C$15,D580=policy_name_clustering!$A$16,policy_name_clustering!$C$16,D580="-","",D580=policy_name_clustering!$A$4,policy_name_clustering!$C$4)</f>
        <v>Other single instrument</v>
      </c>
      <c r="I580">
        <f t="shared" si="10"/>
        <v>1151.5815769722076</v>
      </c>
      <c r="K580" t="str" cm="1">
        <f t="array" ref="K580">IF(ISNUMBER(H580),_xlfn.IFS(D580= ""," ",D580&lt;&gt; " ",F580*(G580/H580)),"")</f>
        <v/>
      </c>
    </row>
    <row r="581" spans="1:11" x14ac:dyDescent="0.35">
      <c r="A581" t="s">
        <v>22</v>
      </c>
      <c r="B581">
        <v>2015</v>
      </c>
      <c r="C581" t="s">
        <v>135</v>
      </c>
      <c r="D581" s="12" t="s">
        <v>164</v>
      </c>
      <c r="E581" t="str" cm="1">
        <f t="array" ref="E581">_xlfn.IFS(D581=policy_name_clustering!$A$2,policy_name_clustering!$C$2,D581=policy_name_clustering!$A$3,policy_name_clustering!$C$3,D581=policy_name_clustering!$A$5,policy_name_clustering!$C$5,D581=policy_name_clustering!$A$6,policy_name_clustering!$C$6,D581=policy_name_clustering!$A$7,policy_name_clustering!$C$7,D581=policy_name_clustering!$A$8,policy_name_clustering!$C$8,D581=policy_name_clustering!$A$9,policy_name_clustering!$C$9,D581=policy_name_clustering!$A$10,policy_name_clustering!$C$10,D581=policy_name_clustering!$A$11,policy_name_clustering!$C$11,D581=policy_name_clustering!$A$12,policy_name_clustering!$C$12,D581=policy_name_clustering!$A$13,policy_name_clustering!$C$13,D581=policy_name_clustering!$A$14,policy_name_clustering!$C$14,D581=policy_name_clustering!$A$15,policy_name_clustering!$C$15,D581=policy_name_clustering!$A$16,policy_name_clustering!$C$16,D581="-","",D581=policy_name_clustering!$A$4,policy_name_clustering!$C$4)</f>
        <v>Policy mix</v>
      </c>
      <c r="F581">
        <f>policy_contributions_cum!F200</f>
        <v>4257.8112327100698</v>
      </c>
      <c r="G581">
        <f>wind_cump_cap!C515</f>
        <v>5819</v>
      </c>
      <c r="H581">
        <f>estimated_capacity!C499</f>
        <v>6279.4684316991898</v>
      </c>
      <c r="I581" cm="1">
        <f t="array" ref="I581">_xlfn.IFS(D581= ""," ",D581&lt;&gt; " ",F581*(G581/H581)-$I$571-$I$559)</f>
        <v>578.31468505846078</v>
      </c>
      <c r="J581" cm="1">
        <f t="array" ref="J581">_xlfn.IFS(D581= ""," ",D581&lt;&gt; " ",(H581-F581)*(G581/H581))</f>
        <v>1873.4106825877311</v>
      </c>
      <c r="K581" cm="1">
        <f t="array" ref="K581">IF(ISNUMBER(H581),_xlfn.IFS(D581= ""," ",D581&lt;&gt; " ",F581*(G581/H581)),"")</f>
        <v>3945.5893174122689</v>
      </c>
    </row>
    <row r="582" spans="1:11" x14ac:dyDescent="0.35">
      <c r="A582" t="s">
        <v>22</v>
      </c>
      <c r="B582">
        <v>2016</v>
      </c>
      <c r="C582" s="3"/>
      <c r="D582" s="12" t="s">
        <v>164</v>
      </c>
      <c r="E582" t="str" cm="1">
        <f t="array" ref="E582">_xlfn.IFS(D582=policy_name_clustering!$A$2,policy_name_clustering!$C$2,D582=policy_name_clustering!$A$3,policy_name_clustering!$C$3,D582=policy_name_clustering!$A$5,policy_name_clustering!$C$5,D582=policy_name_clustering!$A$6,policy_name_clustering!$C$6,D582=policy_name_clustering!$A$7,policy_name_clustering!$C$7,D582=policy_name_clustering!$A$8,policy_name_clustering!$C$8,D582=policy_name_clustering!$A$9,policy_name_clustering!$C$9,D582=policy_name_clustering!$A$10,policy_name_clustering!$C$10,D582=policy_name_clustering!$A$11,policy_name_clustering!$C$11,D582=policy_name_clustering!$A$12,policy_name_clustering!$C$12,D582=policy_name_clustering!$A$13,policy_name_clustering!$C$13,D582=policy_name_clustering!$A$14,policy_name_clustering!$C$14,D582=policy_name_clustering!$A$15,policy_name_clustering!$C$15,D582=policy_name_clustering!$A$16,policy_name_clustering!$C$16,D582="-","",D582=policy_name_clustering!$A$4,policy_name_clustering!$C$4)</f>
        <v>Policy mix</v>
      </c>
      <c r="F582">
        <f>policy_contributions_cum!F201</f>
        <v>4951.48318661145</v>
      </c>
      <c r="G582">
        <f>wind_cump_cap!C516</f>
        <v>6435</v>
      </c>
      <c r="H582">
        <f>estimated_capacity!C500</f>
        <v>7172.6956215232603</v>
      </c>
      <c r="I582" cm="1">
        <f t="array" ref="I582">_xlfn.IFS(D582= ""," ",D582&lt;&gt; " ",F582*(G582/H582)-$I$571-$I$559)</f>
        <v>1074.9596387106599</v>
      </c>
      <c r="J582" cm="1">
        <f t="array" ref="J582">_xlfn.IFS(D582= ""," ",D582&lt;&gt; " ",(H582-F582)*(G582/H582))</f>
        <v>1992.765728935532</v>
      </c>
      <c r="K582" cm="1">
        <f t="array" ref="K582">IF(ISNUMBER(H582),_xlfn.IFS(D582= ""," ",D582&lt;&gt; " ",F582*(G582/H582)),"")</f>
        <v>4442.234271064468</v>
      </c>
    </row>
    <row r="583" spans="1:11" x14ac:dyDescent="0.35">
      <c r="A583" t="s">
        <v>22</v>
      </c>
      <c r="B583">
        <v>2017</v>
      </c>
      <c r="D583" s="12" t="s">
        <v>164</v>
      </c>
      <c r="E583" t="str" cm="1">
        <f t="array" ref="E583">_xlfn.IFS(D583=policy_name_clustering!$A$2,policy_name_clustering!$C$2,D583=policy_name_clustering!$A$3,policy_name_clustering!$C$3,D583=policy_name_clustering!$A$5,policy_name_clustering!$C$5,D583=policy_name_clustering!$A$6,policy_name_clustering!$C$6,D583=policy_name_clustering!$A$7,policy_name_clustering!$C$7,D583=policy_name_clustering!$A$8,policy_name_clustering!$C$8,D583=policy_name_clustering!$A$9,policy_name_clustering!$C$9,D583=policy_name_clustering!$A$10,policy_name_clustering!$C$10,D583=policy_name_clustering!$A$11,policy_name_clustering!$C$11,D583=policy_name_clustering!$A$12,policy_name_clustering!$C$12,D583=policy_name_clustering!$A$13,policy_name_clustering!$C$13,D583=policy_name_clustering!$A$14,policy_name_clustering!$C$14,D583=policy_name_clustering!$A$15,policy_name_clustering!$C$15,D583=policy_name_clustering!$A$16,policy_name_clustering!$C$16,D583="-","",D583=policy_name_clustering!$A$4,policy_name_clustering!$C$4)</f>
        <v>Policy mix</v>
      </c>
      <c r="F583">
        <f>policy_contributions_cum!F202</f>
        <v>5632.5100314103502</v>
      </c>
      <c r="G583">
        <f>wind_cump_cap!C517</f>
        <v>6611</v>
      </c>
      <c r="H583">
        <f>estimated_capacity!C501</f>
        <v>8047.7899507923103</v>
      </c>
      <c r="I583" cm="1">
        <f t="array" ref="I583">_xlfn.IFS(D583= ""," ",D583&lt;&gt; " ",F583*(G583/H583)-$I$571-$I$559)</f>
        <v>1259.6507776449785</v>
      </c>
      <c r="J583" cm="1">
        <f t="array" ref="J583">_xlfn.IFS(D583= ""," ",D583&lt;&gt; " ",(H583-F583)*(G583/H583))</f>
        <v>1984.0745900012132</v>
      </c>
      <c r="K583" cm="1">
        <f t="array" ref="K583">IF(ISNUMBER(H583),_xlfn.IFS(D583= ""," ",D583&lt;&gt; " ",F583*(G583/H583)),"")</f>
        <v>4626.9254099987866</v>
      </c>
    </row>
    <row r="584" spans="1:11" x14ac:dyDescent="0.35">
      <c r="A584" t="s">
        <v>22</v>
      </c>
      <c r="B584">
        <v>2018</v>
      </c>
      <c r="D584" s="12" t="s">
        <v>164</v>
      </c>
      <c r="E584" t="str" cm="1">
        <f t="array" ref="E584">_xlfn.IFS(D584=policy_name_clustering!$A$2,policy_name_clustering!$C$2,D584=policy_name_clustering!$A$3,policy_name_clustering!$C$3,D584=policy_name_clustering!$A$5,policy_name_clustering!$C$5,D584=policy_name_clustering!$A$6,policy_name_clustering!$C$6,D584=policy_name_clustering!$A$7,policy_name_clustering!$C$7,D584=policy_name_clustering!$A$8,policy_name_clustering!$C$8,D584=policy_name_clustering!$A$9,policy_name_clustering!$C$9,D584=policy_name_clustering!$A$10,policy_name_clustering!$C$10,D584=policy_name_clustering!$A$11,policy_name_clustering!$C$11,D584=policy_name_clustering!$A$12,policy_name_clustering!$C$12,D584=policy_name_clustering!$A$13,policy_name_clustering!$C$13,D584=policy_name_clustering!$A$14,policy_name_clustering!$C$14,D584=policy_name_clustering!$A$15,policy_name_clustering!$C$15,D584=policy_name_clustering!$A$16,policy_name_clustering!$C$16,D584="-","",D584=policy_name_clustering!$A$4,policy_name_clustering!$C$4)</f>
        <v>Policy mix</v>
      </c>
      <c r="F584">
        <f>policy_contributions_cum!F203</f>
        <v>6357.8941990069397</v>
      </c>
      <c r="G584">
        <f>wind_cump_cap!C518</f>
        <v>7300</v>
      </c>
      <c r="H584">
        <f>estimated_capacity!C502</f>
        <v>8986.4918885339193</v>
      </c>
      <c r="I584" cm="1">
        <f t="array" ref="I584">_xlfn.IFS(D584= ""," ",D584&lt;&gt; " ",F584*(G584/H584)-$I$571-$I$559)</f>
        <v>1797.4357160714376</v>
      </c>
      <c r="J584" cm="1">
        <f t="array" ref="J584">_xlfn.IFS(D584= ""," ",D584&lt;&gt; " ",(H584-F584)*(G584/H584))</f>
        <v>2135.2896515747548</v>
      </c>
      <c r="K584" cm="1">
        <f t="array" ref="K584">IF(ISNUMBER(H584),_xlfn.IFS(D584= ""," ",D584&lt;&gt; " ",F584*(G584/H584)),"")</f>
        <v>5164.7103484252457</v>
      </c>
    </row>
    <row r="585" spans="1:11" x14ac:dyDescent="0.35">
      <c r="A585" t="s">
        <v>22</v>
      </c>
      <c r="B585">
        <v>2019</v>
      </c>
      <c r="C585" t="s">
        <v>101</v>
      </c>
      <c r="D585" s="12" t="s">
        <v>164</v>
      </c>
      <c r="E585" t="str" cm="1">
        <f t="array" ref="E585">_xlfn.IFS(D585=policy_name_clustering!$A$2,policy_name_clustering!$C$2,D585=policy_name_clustering!$A$3,policy_name_clustering!$C$3,D585=policy_name_clustering!$A$5,policy_name_clustering!$C$5,D585=policy_name_clustering!$A$6,policy_name_clustering!$C$6,D585=policy_name_clustering!$A$7,policy_name_clustering!$C$7,D585=policy_name_clustering!$A$8,policy_name_clustering!$C$8,D585=policy_name_clustering!$A$9,policy_name_clustering!$C$9,D585=policy_name_clustering!$A$10,policy_name_clustering!$C$10,D585=policy_name_clustering!$A$11,policy_name_clustering!$C$11,D585=policy_name_clustering!$A$12,policy_name_clustering!$C$12,D585=policy_name_clustering!$A$13,policy_name_clustering!$C$13,D585=policy_name_clustering!$A$14,policy_name_clustering!$C$14,D585=policy_name_clustering!$A$15,policy_name_clustering!$C$15,D585=policy_name_clustering!$A$16,policy_name_clustering!$C$16,D585="-","",D585=policy_name_clustering!$A$4,policy_name_clustering!$C$4)</f>
        <v>Policy mix</v>
      </c>
      <c r="F585">
        <f>policy_contributions_cum!F204</f>
        <v>7186.2053225666396</v>
      </c>
      <c r="G585">
        <f>wind_cump_cap!C519</f>
        <v>8681</v>
      </c>
      <c r="H585">
        <f>estimated_capacity!C503</f>
        <v>10072.789242392801</v>
      </c>
      <c r="I585" cm="1">
        <f t="array" ref="I585">_xlfn.IFS(D585= ""," ",D585&lt;&gt; " ",F585*(G585/H585)-$I$571-$I$559)</f>
        <v>2825.9899048064822</v>
      </c>
      <c r="J585" cm="1">
        <f t="array" ref="J585">_xlfn.IFS(D585= ""," ",D585&lt;&gt; " ",(H585-F585)*(G585/H585))</f>
        <v>2487.7354628397102</v>
      </c>
      <c r="K585" cm="1">
        <f t="array" ref="K585">IF(ISNUMBER(H585),_xlfn.IFS(D585= ""," ",D585&lt;&gt; " ",F585*(G585/H585)),"")</f>
        <v>6193.2645371602903</v>
      </c>
    </row>
    <row r="586" spans="1:11" x14ac:dyDescent="0.35">
      <c r="A586" t="s">
        <v>22</v>
      </c>
      <c r="B586">
        <v>2020</v>
      </c>
      <c r="D586" s="12" t="s">
        <v>164</v>
      </c>
      <c r="E586" t="str" cm="1">
        <f t="array" ref="E586">_xlfn.IFS(D586=policy_name_clustering!$A$2,policy_name_clustering!$C$2,D586=policy_name_clustering!$A$3,policy_name_clustering!$C$3,D586=policy_name_clustering!$A$5,policy_name_clustering!$C$5,D586=policy_name_clustering!$A$6,policy_name_clustering!$C$6,D586=policy_name_clustering!$A$7,policy_name_clustering!$C$7,D586=policy_name_clustering!$A$8,policy_name_clustering!$C$8,D586=policy_name_clustering!$A$9,policy_name_clustering!$C$9,D586=policy_name_clustering!$A$10,policy_name_clustering!$C$10,D586=policy_name_clustering!$A$11,policy_name_clustering!$C$11,D586=policy_name_clustering!$A$12,policy_name_clustering!$C$12,D586=policy_name_clustering!$A$13,policy_name_clustering!$C$13,D586=policy_name_clustering!$A$14,policy_name_clustering!$C$14,D586=policy_name_clustering!$A$15,policy_name_clustering!$C$15,D586=policy_name_clustering!$A$16,policy_name_clustering!$C$16,D586="-","",D586=policy_name_clustering!$A$4,policy_name_clustering!$C$4)</f>
        <v>Policy mix</v>
      </c>
      <c r="F586">
        <f>policy_contributions_cum!F205</f>
        <v>8126.7603992106897</v>
      </c>
      <c r="G586">
        <f>wind_cump_cap!C520</f>
        <v>9976</v>
      </c>
      <c r="H586">
        <f>estimated_capacity!C504</f>
        <v>11320.042419797701</v>
      </c>
      <c r="I586" cm="1">
        <f t="array" ref="I586">_xlfn.IFS(D586= ""," ",D586&lt;&gt; " ",F586*(G586/H586)-$I$571-$I$559)</f>
        <v>3794.5856095068998</v>
      </c>
      <c r="J586" cm="1">
        <f t="array" ref="J586">_xlfn.IFS(D586= ""," ",D586&lt;&gt; " ",(H586-F586)*(G586/H586))</f>
        <v>2814.1397581392916</v>
      </c>
      <c r="K586" cm="1">
        <f t="array" ref="K586">IF(ISNUMBER(H586),_xlfn.IFS(D586= ""," ",D586&lt;&gt; " ",F586*(G586/H586)),"")</f>
        <v>7161.8602418607079</v>
      </c>
    </row>
    <row r="587" spans="1:11" x14ac:dyDescent="0.35">
      <c r="A587" t="s">
        <v>22</v>
      </c>
      <c r="B587">
        <v>2021</v>
      </c>
      <c r="C587" t="s">
        <v>136</v>
      </c>
      <c r="D587" s="12" t="s">
        <v>164</v>
      </c>
      <c r="E587" t="str" cm="1">
        <f t="array" ref="E587">_xlfn.IFS(D587=policy_name_clustering!$A$2,policy_name_clustering!$C$2,D587=policy_name_clustering!$A$3,policy_name_clustering!$C$3,D587=policy_name_clustering!$A$5,policy_name_clustering!$C$5,D587=policy_name_clustering!$A$6,policy_name_clustering!$C$6,D587=policy_name_clustering!$A$7,policy_name_clustering!$C$7,D587=policy_name_clustering!$A$8,policy_name_clustering!$C$8,D587=policy_name_clustering!$A$9,policy_name_clustering!$C$9,D587=policy_name_clustering!$A$10,policy_name_clustering!$C$10,D587=policy_name_clustering!$A$11,policy_name_clustering!$C$11,D587=policy_name_clustering!$A$12,policy_name_clustering!$C$12,D587=policy_name_clustering!$A$13,policy_name_clustering!$C$13,D587=policy_name_clustering!$A$14,policy_name_clustering!$C$14,D587=policy_name_clustering!$A$15,policy_name_clustering!$C$15,D587=policy_name_clustering!$A$16,policy_name_clustering!$C$16,D587="-","",D587=policy_name_clustering!$A$4,policy_name_clustering!$C$4)</f>
        <v>Policy mix</v>
      </c>
      <c r="F587">
        <f>policy_contributions_cum!F206</f>
        <v>9097.5732491490708</v>
      </c>
      <c r="G587">
        <f>wind_cump_cap!C521</f>
        <v>12116</v>
      </c>
      <c r="H587">
        <f>estimated_capacity!C505</f>
        <v>12610.6847035681</v>
      </c>
      <c r="I587" cm="1">
        <f t="array" ref="I587">_xlfn.IFS(D587= ""," ",D587&lt;&gt; " ",F587*(G587/H587)-$I$571-$I$559)</f>
        <v>5373.4242335453964</v>
      </c>
      <c r="J587" cm="1">
        <f t="array" ref="J587">_xlfn.IFS(D587= ""," ",D587&lt;&gt; " ",(H587-F587)*(G587/H587))</f>
        <v>3375.301134100795</v>
      </c>
      <c r="K587" cm="1">
        <f t="array" ref="K587">IF(ISNUMBER(H587),_xlfn.IFS(D587= ""," ",D587&lt;&gt; " ",F587*(G587/H587)),"")</f>
        <v>8740.698865899205</v>
      </c>
    </row>
    <row r="588" spans="1:11" x14ac:dyDescent="0.35">
      <c r="A588" t="s">
        <v>22</v>
      </c>
      <c r="B588">
        <v>2022</v>
      </c>
      <c r="D588" s="12" t="s">
        <v>164</v>
      </c>
      <c r="E588" t="str" cm="1">
        <f t="array" ref="E588">_xlfn.IFS(D588=policy_name_clustering!$A$2,policy_name_clustering!$C$2,D588=policy_name_clustering!$A$3,policy_name_clustering!$C$3,D588=policy_name_clustering!$A$5,policy_name_clustering!$C$5,D588=policy_name_clustering!$A$6,policy_name_clustering!$C$6,D588=policy_name_clustering!$A$7,policy_name_clustering!$C$7,D588=policy_name_clustering!$A$8,policy_name_clustering!$C$8,D588=policy_name_clustering!$A$9,policy_name_clustering!$C$9,D588=policy_name_clustering!$A$10,policy_name_clustering!$C$10,D588=policy_name_clustering!$A$11,policy_name_clustering!$C$11,D588=policy_name_clustering!$A$12,policy_name_clustering!$C$12,D588=policy_name_clustering!$A$13,policy_name_clustering!$C$13,D588=policy_name_clustering!$A$14,policy_name_clustering!$C$14,D588=policy_name_clustering!$A$15,policy_name_clustering!$C$15,D588=policy_name_clustering!$A$16,policy_name_clustering!$C$16,D588="-","",D588=policy_name_clustering!$A$4,policy_name_clustering!$C$4)</f>
        <v>Policy mix</v>
      </c>
      <c r="F588">
        <f>policy_contributions_cum!F207</f>
        <v>10104.520989417</v>
      </c>
      <c r="G588">
        <f>wind_cump_cap!C522</f>
        <v>14279</v>
      </c>
      <c r="H588">
        <f>estimated_capacity!C506</f>
        <v>13953.143774541</v>
      </c>
      <c r="I588" cm="1">
        <f t="array" ref="I588">_xlfn.IFS(D588= ""," ",D588&lt;&gt; " ",F588*(G588/H588)-$I$571-$I$559)</f>
        <v>6973.2233614491433</v>
      </c>
      <c r="J588" cm="1">
        <f t="array" ref="J588">_xlfn.IFS(D588= ""," ",D588&lt;&gt; " ",(H588-F588)*(G588/H588))</f>
        <v>3938.502006197049</v>
      </c>
      <c r="K588" cm="1">
        <f t="array" ref="K588">IF(ISNUMBER(H588),_xlfn.IFS(D588= ""," ",D588&lt;&gt; " ",F588*(G588/H588)),"")</f>
        <v>10340.49799380295</v>
      </c>
    </row>
    <row r="589" spans="1:11" x14ac:dyDescent="0.35">
      <c r="A589" t="s">
        <v>22</v>
      </c>
      <c r="B589">
        <v>2023</v>
      </c>
      <c r="D589" s="12" t="s">
        <v>164</v>
      </c>
      <c r="E589" t="str" cm="1">
        <f t="array" ref="E589">_xlfn.IFS(D589=policy_name_clustering!$A$2,policy_name_clustering!$C$2,D589=policy_name_clustering!$A$3,policy_name_clustering!$C$3,D589=policy_name_clustering!$A$5,policy_name_clustering!$C$5,D589=policy_name_clustering!$A$6,policy_name_clustering!$C$6,D589=policy_name_clustering!$A$7,policy_name_clustering!$C$7,D589=policy_name_clustering!$A$8,policy_name_clustering!$C$8,D589=policy_name_clustering!$A$9,policy_name_clustering!$C$9,D589=policy_name_clustering!$A$10,policy_name_clustering!$C$10,D589=policy_name_clustering!$A$11,policy_name_clustering!$C$11,D589=policy_name_clustering!$A$12,policy_name_clustering!$C$12,D589=policy_name_clustering!$A$13,policy_name_clustering!$C$13,D589=policy_name_clustering!$A$14,policy_name_clustering!$C$14,D589=policy_name_clustering!$A$15,policy_name_clustering!$C$15,D589=policy_name_clustering!$A$16,policy_name_clustering!$C$16,D589="-","",D589=policy_name_clustering!$A$4,policy_name_clustering!$C$4)</f>
        <v>Policy mix</v>
      </c>
      <c r="F589">
        <f>policy_contributions_cum!F208</f>
        <v>11223.455856132899</v>
      </c>
      <c r="G589">
        <f>wind_cump_cap!C523</f>
        <v>16224</v>
      </c>
      <c r="H589">
        <f>estimated_capacity!C507</f>
        <v>15456.1903842515</v>
      </c>
      <c r="I589" cm="1">
        <f t="array" ref="I589">_xlfn.IFS(D589= ""," ",D589&lt;&gt; " ",F589*(G589/H589)-$I$571-$I$559)</f>
        <v>8413.7233550566725</v>
      </c>
      <c r="J589" cm="1">
        <f t="array" ref="J589">_xlfn.IFS(D589= ""," ",D589&lt;&gt; " ",(H589-F589)*(G589/H589))</f>
        <v>4443.0020125895189</v>
      </c>
      <c r="K589" cm="1">
        <f t="array" ref="K589">IF(ISNUMBER(H589),_xlfn.IFS(D589= ""," ",D589&lt;&gt; " ",F589*(G589/H589)),"")</f>
        <v>11780.997987410481</v>
      </c>
    </row>
    <row r="590" spans="1:11" x14ac:dyDescent="0.35">
      <c r="D590" s="12"/>
    </row>
    <row r="595" spans="9:9" x14ac:dyDescent="0.35">
      <c r="I595">
        <f>SUM(I30,I63,I96,I101,I134,I167,I175,I180,I213,I246,I251,I284,I302,I308,I343)</f>
        <v>123769.13839636688</v>
      </c>
    </row>
  </sheetData>
  <autoFilter ref="A1:K589" xr:uid="{EEF68E75-4200-4E91-A1A5-0F5A4090DA36}">
    <filterColumn colId="0">
      <filters>
        <filter val="DEU"/>
        <filter val="DNK"/>
        <filter val="ESP"/>
        <filter val="FIN"/>
        <filter val="FRA"/>
        <filter val="GBR"/>
        <filter val="GRC"/>
        <filter val="IRL"/>
        <filter val="ITA"/>
        <filter val="LTU"/>
        <filter val="NLD"/>
        <filter val="POL"/>
        <filter val="PRT"/>
        <filter val="SWE"/>
      </filters>
    </filterColumn>
  </autoFilter>
  <phoneticPr fontId="8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B8E8-0DDC-45A1-91E6-3E2B3436C22D}">
  <sheetPr>
    <tabColor rgb="FFFF0000"/>
  </sheetPr>
  <dimension ref="A1:D29"/>
  <sheetViews>
    <sheetView tabSelected="1" topLeftCell="A9" zoomScale="80" zoomScaleNormal="80" workbookViewId="0">
      <selection activeCell="I29" sqref="I29"/>
    </sheetView>
  </sheetViews>
  <sheetFormatPr defaultRowHeight="14.5" x14ac:dyDescent="0.35"/>
  <cols>
    <col min="1" max="1" width="40.90625" bestFit="1" customWidth="1"/>
    <col min="2" max="2" width="49.1796875" bestFit="1" customWidth="1"/>
  </cols>
  <sheetData>
    <row r="1" spans="1:2" x14ac:dyDescent="0.35">
      <c r="A1" t="s">
        <v>143</v>
      </c>
      <c r="B1" t="s">
        <v>144</v>
      </c>
    </row>
    <row r="2" spans="1:2" x14ac:dyDescent="0.35">
      <c r="A2" s="3" t="s">
        <v>40</v>
      </c>
      <c r="B2" s="6">
        <f>SUMIFS(effect_quant_by_period!$I$2:$I$589,effect_quant_by_period!$D$2:$D$589,A2,effect_quant_by_period!$B$2:$B$589,estimated_capacity!$K$1)/1000</f>
        <v>85.849185503599458</v>
      </c>
    </row>
    <row r="3" spans="1:2" x14ac:dyDescent="0.35">
      <c r="A3" t="s">
        <v>138</v>
      </c>
      <c r="B3" s="6">
        <f>SUMIFS(effect_quant_by_period!$I$2:$I$589,effect_quant_by_period!$D$2:$D$589,A3,effect_quant_by_period!$B$2:$B$589,estimated_capacity!$K$1)/1000</f>
        <v>12.50677035704474</v>
      </c>
    </row>
    <row r="4" spans="1:2" x14ac:dyDescent="0.35">
      <c r="A4" t="s">
        <v>42</v>
      </c>
      <c r="B4" s="6">
        <f>SUMIFS(effect_quant_by_period!$I$2:$I$589,effect_quant_by_period!$D$2:$D$589,A4,effect_quant_by_period!$B$2:$B$589,estimated_capacity!$K$1)/1000</f>
        <v>6.6995895887851944</v>
      </c>
    </row>
    <row r="5" spans="1:2" x14ac:dyDescent="0.35">
      <c r="A5" s="4" t="s">
        <v>163</v>
      </c>
      <c r="B5" s="6">
        <f>SUMIFS(effect_quant_by_period!$I$2:$I$589,effect_quant_by_period!$D$2:$D$589,A5,effect_quant_by_period!$B$2:$B$589,estimated_capacity!$K$1)/1000</f>
        <v>0.42229176285208336</v>
      </c>
    </row>
    <row r="6" spans="1:2" x14ac:dyDescent="0.35">
      <c r="A6" s="21" t="s">
        <v>161</v>
      </c>
      <c r="B6" s="6">
        <f>SUMIFS(effect_quant_by_period!$I$2:$I$589,effect_quant_by_period!$D$2:$D$589,A6,effect_quant_by_period!$B$2:$B$589,estimated_capacity!$K$1)/1000</f>
        <v>16.953336260830064</v>
      </c>
    </row>
    <row r="7" spans="1:2" x14ac:dyDescent="0.35">
      <c r="A7" s="16" t="s">
        <v>43</v>
      </c>
      <c r="B7" s="6">
        <f>SUMIFS(effect_quant_by_period!$I$2:$I$589,effect_quant_by_period!$D$2:$D$589,A7,effect_quant_by_period!$B$2:$B$589,estimated_capacity!$K$1)/1000</f>
        <v>9.5113121807697869</v>
      </c>
    </row>
    <row r="8" spans="1:2" x14ac:dyDescent="0.35">
      <c r="A8" s="3" t="s">
        <v>165</v>
      </c>
      <c r="B8" s="6">
        <f>SUMIFS(effect_quant_by_period!$I$2:$I$589,effect_quant_by_period!$D$2:$D$589,A8,effect_quant_by_period!$B$2:$B$589,estimated_capacity!$K$1)/1000</f>
        <v>7.5580639007993229</v>
      </c>
    </row>
    <row r="9" spans="1:2" x14ac:dyDescent="0.35">
      <c r="A9" s="4" t="s">
        <v>164</v>
      </c>
      <c r="B9" s="6">
        <f>SUMIFS(effect_quant_by_period!$I$2:$I$589,effect_quant_by_period!$D$2:$D$589,A9,effect_quant_by_period!$B$2:$B$589,estimated_capacity!$K$1)/1000</f>
        <v>8.413723355056673</v>
      </c>
    </row>
    <row r="10" spans="1:2" x14ac:dyDescent="0.35">
      <c r="A10" s="3" t="s">
        <v>160</v>
      </c>
      <c r="B10" s="6">
        <f>SUMIFS(effect_quant_by_period!$I$2:$I$589,effect_quant_by_period!$D$2:$D$589,A10,effect_quant_by_period!$B$2:$B$589,estimated_capacity!$K$1)/1000</f>
        <v>3.904036411588002</v>
      </c>
    </row>
    <row r="11" spans="1:2" x14ac:dyDescent="0.35">
      <c r="A11" s="4" t="s">
        <v>159</v>
      </c>
      <c r="B11" s="6">
        <f>SUMIFS(effect_quant_by_period!$I$2:$I$589,effect_quant_by_period!$D$2:$D$589,A11,effect_quant_by_period!$B$2:$B$589,estimated_capacity!$K$1)/1000</f>
        <v>4.6048161063483306</v>
      </c>
    </row>
    <row r="12" spans="1:2" x14ac:dyDescent="0.35">
      <c r="A12" t="s">
        <v>166</v>
      </c>
      <c r="B12" s="6">
        <f>SUMIFS(effect_quant_by_period!$I$2:$I$589,effect_quant_by_period!$D$2:$D$589,A12,effect_quant_by_period!$B$2:$B$589,estimated_capacity!$K$1)/1000</f>
        <v>2.2156930553816006</v>
      </c>
    </row>
    <row r="13" spans="1:2" x14ac:dyDescent="0.35">
      <c r="A13" t="s">
        <v>157</v>
      </c>
      <c r="B13" s="6">
        <f>SUMIFS(effect_quant_by_period!$I$2:$I$589,effect_quant_by_period!$D$2:$D$589,A13,effect_quant_by_period!$B$2:$B$589,estimated_capacity!$K$1)/1000</f>
        <v>25.086440384723918</v>
      </c>
    </row>
    <row r="14" spans="1:2" x14ac:dyDescent="0.35">
      <c r="A14" s="4" t="s">
        <v>158</v>
      </c>
      <c r="B14" s="6">
        <f>SUMIFS(effect_quant_by_period!$I$2:$I$589,effect_quant_by_period!$D$2:$D$589,A14,effect_quant_by_period!$B$2:$B$589,estimated_capacity!$K$1)/1000</f>
        <v>5.7615175320120686</v>
      </c>
    </row>
    <row r="15" spans="1:2" x14ac:dyDescent="0.35">
      <c r="A15" t="s">
        <v>167</v>
      </c>
      <c r="B15" s="6">
        <f>SUMIFS(effect_quant_by_period!$I$2:$I$589,effect_quant_by_period!$D$2:$D$589,A15,effect_quant_by_period!$B$2:$B$589,estimated_capacity!$K$1)/1000</f>
        <v>6.9768434980244987</v>
      </c>
    </row>
    <row r="16" spans="1:2" x14ac:dyDescent="0.35">
      <c r="A16" t="s">
        <v>162</v>
      </c>
      <c r="B16" s="6">
        <f>SUMIFS(effect_quant_by_period!$I$2:$I$589,effect_quant_by_period!$D$2:$D$589,A16,effect_quant_by_period!$B$2:$B$589,estimated_capacity!$K$1)/1000</f>
        <v>1.1515815769722075</v>
      </c>
    </row>
    <row r="17" spans="1:4" x14ac:dyDescent="0.35">
      <c r="A17" s="9" t="s">
        <v>145</v>
      </c>
      <c r="B17" s="6">
        <f>SUM(B2:B16)</f>
        <v>197.61520147478791</v>
      </c>
      <c r="C17" s="6">
        <f>SUMIFS(effect_quant_by_period!$J$2:$J$589,effect_quant_by_period!$B$2:$B$589,2023)/1000</f>
        <v>45.272321655695549</v>
      </c>
      <c r="D17" s="6">
        <f>estimated_capacity!G2-B17</f>
        <v>44.081199955737759</v>
      </c>
    </row>
    <row r="18" spans="1:4" x14ac:dyDescent="0.35">
      <c r="A18" s="9" t="s">
        <v>146</v>
      </c>
      <c r="B18" s="6">
        <f>SUMIFS(effect_quant_by_period!$J$2:$J$589,effect_quant_by_period!$B$2:$B$589,2023)/1000</f>
        <v>45.272321655695549</v>
      </c>
      <c r="C18" s="6">
        <f>(estimated_capacity!G2-B17)-C17</f>
        <v>-1.1911216999577903</v>
      </c>
      <c r="D18" s="11" t="s">
        <v>148</v>
      </c>
    </row>
    <row r="19" spans="1:4" x14ac:dyDescent="0.35">
      <c r="A19" s="9" t="s">
        <v>147</v>
      </c>
      <c r="B19" s="17">
        <f>B17/SUM(B17:B18)</f>
        <v>0.81360787465655671</v>
      </c>
    </row>
    <row r="20" spans="1:4" x14ac:dyDescent="0.35">
      <c r="A20" s="9"/>
      <c r="B20" s="17"/>
    </row>
    <row r="21" spans="1:4" x14ac:dyDescent="0.35">
      <c r="A21" t="s">
        <v>143</v>
      </c>
      <c r="B21" t="s">
        <v>144</v>
      </c>
    </row>
    <row r="22" spans="1:4" x14ac:dyDescent="0.35">
      <c r="A22" t="s">
        <v>41</v>
      </c>
      <c r="B22" s="6">
        <f>SUM(B2:B4)</f>
        <v>105.05554544942939</v>
      </c>
    </row>
    <row r="23" spans="1:4" x14ac:dyDescent="0.35">
      <c r="A23" t="s">
        <v>169</v>
      </c>
      <c r="B23" s="6">
        <f>SUM(B13)</f>
        <v>25.086440384723918</v>
      </c>
    </row>
    <row r="24" spans="1:4" x14ac:dyDescent="0.35">
      <c r="A24" t="s">
        <v>44</v>
      </c>
      <c r="B24" s="6">
        <f>SUM(B7)</f>
        <v>9.5113121807697869</v>
      </c>
    </row>
    <row r="25" spans="1:4" x14ac:dyDescent="0.35">
      <c r="A25" t="s">
        <v>170</v>
      </c>
      <c r="B25" s="6">
        <f>SUM(B10)</f>
        <v>3.904036411588002</v>
      </c>
    </row>
    <row r="26" spans="1:4" x14ac:dyDescent="0.35">
      <c r="A26" s="23" t="s">
        <v>180</v>
      </c>
      <c r="B26" s="6">
        <f>SUM(B14,B11,B6,B5,B9,B8,B12,B15)</f>
        <v>52.906285471304642</v>
      </c>
    </row>
    <row r="27" spans="1:4" x14ac:dyDescent="0.35">
      <c r="A27" s="23" t="s">
        <v>181</v>
      </c>
      <c r="B27" s="6">
        <f>SUM(B16)</f>
        <v>1.1515815769722075</v>
      </c>
    </row>
    <row r="28" spans="1:4" x14ac:dyDescent="0.35">
      <c r="A28" s="9" t="s">
        <v>145</v>
      </c>
      <c r="B28" s="6">
        <f>B17</f>
        <v>197.61520147478791</v>
      </c>
    </row>
    <row r="29" spans="1:4" x14ac:dyDescent="0.35">
      <c r="A29" s="9" t="s">
        <v>146</v>
      </c>
      <c r="B29" s="6">
        <f>B18</f>
        <v>45.272321655695549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D3E9-8E9F-46DA-AC0F-4902F550FFA1}">
  <dimension ref="A1:F208"/>
  <sheetViews>
    <sheetView topLeftCell="A31" workbookViewId="0">
      <selection activeCell="F48" sqref="F48"/>
    </sheetView>
  </sheetViews>
  <sheetFormatPr defaultColWidth="10.90625" defaultRowHeight="14.5" x14ac:dyDescent="0.35"/>
  <cols>
    <col min="3" max="3" width="18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1993</v>
      </c>
      <c r="C2" t="s">
        <v>7</v>
      </c>
      <c r="D2">
        <v>51.921175136055702</v>
      </c>
      <c r="E2">
        <v>161.17433058791201</v>
      </c>
      <c r="F2">
        <v>51.921175136055702</v>
      </c>
    </row>
    <row r="3" spans="1:6" x14ac:dyDescent="0.35">
      <c r="A3" t="s">
        <v>6</v>
      </c>
      <c r="B3">
        <v>1994</v>
      </c>
      <c r="C3" t="s">
        <v>7</v>
      </c>
      <c r="D3">
        <v>121.019038010328</v>
      </c>
      <c r="E3">
        <v>238.19431067323299</v>
      </c>
      <c r="F3">
        <v>172.940213146384</v>
      </c>
    </row>
    <row r="4" spans="1:6" x14ac:dyDescent="0.35">
      <c r="A4" t="s">
        <v>6</v>
      </c>
      <c r="B4">
        <v>1995</v>
      </c>
      <c r="C4" t="s">
        <v>7</v>
      </c>
      <c r="D4">
        <v>228.60767038635299</v>
      </c>
      <c r="E4">
        <v>371.311320697165</v>
      </c>
      <c r="F4">
        <v>401.54788353273699</v>
      </c>
    </row>
    <row r="5" spans="1:6" x14ac:dyDescent="0.35">
      <c r="A5" t="s">
        <v>6</v>
      </c>
      <c r="B5">
        <v>1996</v>
      </c>
      <c r="C5" t="s">
        <v>7</v>
      </c>
      <c r="D5">
        <v>371.41928241940798</v>
      </c>
      <c r="E5">
        <v>532.750927390215</v>
      </c>
      <c r="F5">
        <v>772.96716595214502</v>
      </c>
    </row>
    <row r="6" spans="1:6" x14ac:dyDescent="0.35">
      <c r="A6" t="s">
        <v>6</v>
      </c>
      <c r="B6">
        <v>1997</v>
      </c>
      <c r="C6" t="s">
        <v>7</v>
      </c>
      <c r="D6">
        <v>579.617095264206</v>
      </c>
      <c r="E6">
        <v>766.81646767861798</v>
      </c>
      <c r="F6">
        <v>1352.5842612163499</v>
      </c>
    </row>
    <row r="7" spans="1:6" x14ac:dyDescent="0.35">
      <c r="A7" t="s">
        <v>6</v>
      </c>
      <c r="B7">
        <v>1998</v>
      </c>
      <c r="C7" t="s">
        <v>7</v>
      </c>
      <c r="D7">
        <v>813.08130014633605</v>
      </c>
      <c r="E7">
        <v>1007.38729547115</v>
      </c>
      <c r="F7">
        <v>2165.6655613626899</v>
      </c>
    </row>
    <row r="8" spans="1:6" x14ac:dyDescent="0.35">
      <c r="A8" t="s">
        <v>6</v>
      </c>
      <c r="B8">
        <v>1999</v>
      </c>
      <c r="C8" t="s">
        <v>7</v>
      </c>
      <c r="D8">
        <v>1181.4601339414901</v>
      </c>
      <c r="E8">
        <v>1401.6830205962999</v>
      </c>
      <c r="F8">
        <v>3347.1256953041702</v>
      </c>
    </row>
    <row r="9" spans="1:6" x14ac:dyDescent="0.35">
      <c r="A9" t="s">
        <v>6</v>
      </c>
      <c r="B9">
        <v>2000</v>
      </c>
      <c r="C9" t="s">
        <v>7</v>
      </c>
      <c r="D9">
        <v>1570.7664981861601</v>
      </c>
      <c r="E9">
        <v>1794.9202071585401</v>
      </c>
      <c r="F9">
        <v>4917.8921934903301</v>
      </c>
    </row>
    <row r="10" spans="1:6" x14ac:dyDescent="0.35">
      <c r="A10" t="s">
        <v>6</v>
      </c>
      <c r="B10">
        <v>2001</v>
      </c>
      <c r="C10" t="s">
        <v>7</v>
      </c>
      <c r="D10">
        <v>2227.0016987415602</v>
      </c>
      <c r="E10">
        <v>2481.3554727825899</v>
      </c>
      <c r="F10">
        <v>7144.8938922318903</v>
      </c>
    </row>
    <row r="11" spans="1:6" x14ac:dyDescent="0.35">
      <c r="A11" t="s">
        <v>6</v>
      </c>
      <c r="B11">
        <v>2002</v>
      </c>
      <c r="C11" t="s">
        <v>7</v>
      </c>
      <c r="D11">
        <v>2256.2382360687802</v>
      </c>
      <c r="E11">
        <v>2435.14353465268</v>
      </c>
      <c r="F11">
        <v>9401.13212830066</v>
      </c>
    </row>
    <row r="12" spans="1:6" x14ac:dyDescent="0.35">
      <c r="A12" t="s">
        <v>6</v>
      </c>
      <c r="B12">
        <v>2003</v>
      </c>
      <c r="C12" t="s">
        <v>7</v>
      </c>
      <c r="D12">
        <v>2458.1153294590199</v>
      </c>
      <c r="E12">
        <v>2595.8467247992999</v>
      </c>
      <c r="F12">
        <v>11859.2474577597</v>
      </c>
    </row>
    <row r="13" spans="1:6" x14ac:dyDescent="0.35">
      <c r="A13" t="s">
        <v>6</v>
      </c>
      <c r="B13">
        <v>2004</v>
      </c>
      <c r="C13" t="s">
        <v>7</v>
      </c>
      <c r="D13">
        <v>2406.7327111110999</v>
      </c>
      <c r="E13">
        <v>2489.61824576448</v>
      </c>
      <c r="F13">
        <v>14265.980168870799</v>
      </c>
    </row>
    <row r="14" spans="1:6" x14ac:dyDescent="0.35">
      <c r="A14" t="s">
        <v>6</v>
      </c>
      <c r="B14">
        <v>2005</v>
      </c>
      <c r="C14" t="s">
        <v>7</v>
      </c>
      <c r="D14">
        <v>2599.3431274080799</v>
      </c>
      <c r="E14">
        <v>2655.2384118905402</v>
      </c>
      <c r="F14">
        <v>16865.323296278901</v>
      </c>
    </row>
    <row r="15" spans="1:6" x14ac:dyDescent="0.35">
      <c r="A15" t="s">
        <v>6</v>
      </c>
      <c r="B15">
        <v>2006</v>
      </c>
      <c r="C15" t="s">
        <v>7</v>
      </c>
      <c r="D15">
        <v>2458.6606382015202</v>
      </c>
      <c r="E15">
        <v>2475.1990429115399</v>
      </c>
      <c r="F15">
        <v>19323.983934480399</v>
      </c>
    </row>
    <row r="16" spans="1:6" x14ac:dyDescent="0.35">
      <c r="A16" t="s">
        <v>6</v>
      </c>
      <c r="B16">
        <v>2007</v>
      </c>
      <c r="C16" t="s">
        <v>7</v>
      </c>
      <c r="D16">
        <v>2366.4093501761199</v>
      </c>
      <c r="E16">
        <v>2355.2076499575901</v>
      </c>
      <c r="F16">
        <v>21690.3932846565</v>
      </c>
    </row>
    <row r="17" spans="1:6" x14ac:dyDescent="0.35">
      <c r="A17" t="s">
        <v>6</v>
      </c>
      <c r="B17">
        <v>2008</v>
      </c>
      <c r="C17" t="s">
        <v>7</v>
      </c>
      <c r="D17">
        <v>2186.5120016945302</v>
      </c>
      <c r="E17">
        <v>2151.4556453137998</v>
      </c>
      <c r="F17">
        <v>23876.905286351001</v>
      </c>
    </row>
    <row r="18" spans="1:6" x14ac:dyDescent="0.35">
      <c r="A18" t="s">
        <v>6</v>
      </c>
      <c r="B18">
        <v>2009</v>
      </c>
      <c r="C18" t="s">
        <v>7</v>
      </c>
      <c r="D18">
        <v>2142.69075279557</v>
      </c>
      <c r="E18">
        <v>2093.1229831319501</v>
      </c>
      <c r="F18">
        <v>26019.5960391466</v>
      </c>
    </row>
    <row r="19" spans="1:6" x14ac:dyDescent="0.35">
      <c r="A19" t="s">
        <v>6</v>
      </c>
      <c r="B19">
        <v>2010</v>
      </c>
      <c r="C19" t="s">
        <v>7</v>
      </c>
      <c r="D19">
        <v>2272.5145688477601</v>
      </c>
      <c r="E19">
        <v>2214.9971676676801</v>
      </c>
      <c r="F19">
        <v>28292.1106079944</v>
      </c>
    </row>
    <row r="20" spans="1:6" x14ac:dyDescent="0.35">
      <c r="A20" t="s">
        <v>6</v>
      </c>
      <c r="B20">
        <v>2011</v>
      </c>
      <c r="C20" t="s">
        <v>7</v>
      </c>
      <c r="D20">
        <v>2257.5239551631598</v>
      </c>
      <c r="E20">
        <v>2190.9488701630198</v>
      </c>
      <c r="F20">
        <v>30549.634563157499</v>
      </c>
    </row>
    <row r="21" spans="1:6" x14ac:dyDescent="0.35">
      <c r="A21" t="s">
        <v>6</v>
      </c>
      <c r="B21">
        <v>2012</v>
      </c>
      <c r="C21" t="s">
        <v>7</v>
      </c>
      <c r="D21">
        <v>2506.2745370662301</v>
      </c>
      <c r="E21">
        <v>2435.7900359647301</v>
      </c>
      <c r="F21">
        <v>33055.909100223798</v>
      </c>
    </row>
    <row r="22" spans="1:6" x14ac:dyDescent="0.35">
      <c r="A22" t="s">
        <v>6</v>
      </c>
      <c r="B22">
        <v>2013</v>
      </c>
      <c r="C22" t="s">
        <v>7</v>
      </c>
      <c r="D22">
        <v>2336.4809324151101</v>
      </c>
      <c r="E22">
        <v>2258.12657241428</v>
      </c>
      <c r="F22">
        <v>35392.390032638898</v>
      </c>
    </row>
    <row r="23" spans="1:6" x14ac:dyDescent="0.35">
      <c r="A23" t="s">
        <v>6</v>
      </c>
      <c r="B23">
        <v>2014</v>
      </c>
      <c r="C23" t="s">
        <v>7</v>
      </c>
      <c r="D23">
        <v>2439.2654367263799</v>
      </c>
      <c r="E23">
        <v>2357.1171405355599</v>
      </c>
      <c r="F23">
        <v>37831.6554693652</v>
      </c>
    </row>
    <row r="24" spans="1:6" x14ac:dyDescent="0.35">
      <c r="A24" t="s">
        <v>6</v>
      </c>
      <c r="B24">
        <v>2015</v>
      </c>
      <c r="C24" t="s">
        <v>7</v>
      </c>
      <c r="D24">
        <v>2814.71011133911</v>
      </c>
      <c r="E24">
        <v>2731.0992827468599</v>
      </c>
      <c r="F24">
        <v>40646.365580704303</v>
      </c>
    </row>
    <row r="25" spans="1:6" x14ac:dyDescent="0.35">
      <c r="A25" t="s">
        <v>6</v>
      </c>
      <c r="B25">
        <v>2016</v>
      </c>
      <c r="C25" t="s">
        <v>7</v>
      </c>
      <c r="D25">
        <v>2845.27260999798</v>
      </c>
      <c r="E25">
        <v>2758.2658685014499</v>
      </c>
      <c r="F25">
        <v>43491.638190702302</v>
      </c>
    </row>
    <row r="26" spans="1:6" x14ac:dyDescent="0.35">
      <c r="A26" t="s">
        <v>6</v>
      </c>
      <c r="B26">
        <v>2017</v>
      </c>
      <c r="C26" t="s">
        <v>7</v>
      </c>
      <c r="D26">
        <v>2707.8375053017999</v>
      </c>
      <c r="E26">
        <v>2617.3963377407499</v>
      </c>
      <c r="F26">
        <v>46199.475696004098</v>
      </c>
    </row>
    <row r="27" spans="1:6" x14ac:dyDescent="0.35">
      <c r="A27" t="s">
        <v>6</v>
      </c>
      <c r="B27">
        <v>2018</v>
      </c>
      <c r="C27" t="s">
        <v>7</v>
      </c>
      <c r="D27">
        <v>2779.46083652367</v>
      </c>
      <c r="E27">
        <v>2687.0634538458498</v>
      </c>
      <c r="F27">
        <v>48978.936532527798</v>
      </c>
    </row>
    <row r="28" spans="1:6" x14ac:dyDescent="0.35">
      <c r="A28" t="s">
        <v>6</v>
      </c>
      <c r="B28">
        <v>2019</v>
      </c>
      <c r="C28" t="s">
        <v>7</v>
      </c>
      <c r="D28">
        <v>3086.0315248403499</v>
      </c>
      <c r="E28">
        <v>2992.63662798306</v>
      </c>
      <c r="F28">
        <v>52064.968057368103</v>
      </c>
    </row>
    <row r="29" spans="1:6" x14ac:dyDescent="0.35">
      <c r="A29" t="s">
        <v>6</v>
      </c>
      <c r="B29">
        <v>2020</v>
      </c>
      <c r="C29" t="s">
        <v>7</v>
      </c>
      <c r="D29">
        <v>3573.6911149062198</v>
      </c>
      <c r="E29">
        <v>3479.71875029085</v>
      </c>
      <c r="F29">
        <v>55638.659172274398</v>
      </c>
    </row>
    <row r="30" spans="1:6" x14ac:dyDescent="0.35">
      <c r="A30" t="s">
        <v>6</v>
      </c>
      <c r="B30">
        <v>2021</v>
      </c>
      <c r="C30" t="s">
        <v>7</v>
      </c>
      <c r="D30">
        <v>3644.62331314622</v>
      </c>
      <c r="E30">
        <v>3549.2827964470998</v>
      </c>
      <c r="F30">
        <v>59283.282485420597</v>
      </c>
    </row>
    <row r="31" spans="1:6" x14ac:dyDescent="0.35">
      <c r="A31" t="s">
        <v>6</v>
      </c>
      <c r="B31">
        <v>2022</v>
      </c>
      <c r="C31" t="s">
        <v>7</v>
      </c>
      <c r="D31">
        <v>3452.9162327950098</v>
      </c>
      <c r="E31">
        <v>3356.1000023893098</v>
      </c>
      <c r="F31">
        <v>62736.198718215601</v>
      </c>
    </row>
    <row r="32" spans="1:6" x14ac:dyDescent="0.35">
      <c r="A32" t="s">
        <v>6</v>
      </c>
      <c r="B32">
        <v>2023</v>
      </c>
      <c r="C32" t="s">
        <v>7</v>
      </c>
      <c r="D32">
        <v>3653.48385743667</v>
      </c>
      <c r="E32">
        <v>3555.9611055765999</v>
      </c>
      <c r="F32">
        <v>66389.682575652303</v>
      </c>
    </row>
    <row r="33" spans="1:6" x14ac:dyDescent="0.35">
      <c r="A33" t="s">
        <v>20</v>
      </c>
      <c r="B33">
        <v>2008</v>
      </c>
      <c r="C33" t="s">
        <v>21</v>
      </c>
      <c r="D33">
        <v>97.0088548026241</v>
      </c>
      <c r="E33">
        <v>94.009127421893297</v>
      </c>
      <c r="F33">
        <v>97.0088548026241</v>
      </c>
    </row>
    <row r="34" spans="1:6" x14ac:dyDescent="0.35">
      <c r="A34" t="s">
        <v>20</v>
      </c>
      <c r="B34">
        <v>2009</v>
      </c>
      <c r="C34" t="s">
        <v>21</v>
      </c>
      <c r="D34">
        <v>288.618326158439</v>
      </c>
      <c r="E34">
        <v>285.29447896624998</v>
      </c>
      <c r="F34">
        <v>385.627180961063</v>
      </c>
    </row>
    <row r="35" spans="1:6" x14ac:dyDescent="0.35">
      <c r="A35" t="s">
        <v>20</v>
      </c>
      <c r="B35">
        <v>2010</v>
      </c>
      <c r="C35" t="s">
        <v>21</v>
      </c>
      <c r="D35">
        <v>339.45654897905598</v>
      </c>
      <c r="E35">
        <v>287.73451885846401</v>
      </c>
      <c r="F35">
        <v>725.08372994011904</v>
      </c>
    </row>
    <row r="36" spans="1:6" x14ac:dyDescent="0.35">
      <c r="A36" t="s">
        <v>20</v>
      </c>
      <c r="B36">
        <v>2011</v>
      </c>
      <c r="C36" t="s">
        <v>21</v>
      </c>
      <c r="D36">
        <v>342.77817020126298</v>
      </c>
      <c r="E36">
        <v>264.89081352117603</v>
      </c>
      <c r="F36">
        <v>1067.8619001413799</v>
      </c>
    </row>
    <row r="37" spans="1:6" x14ac:dyDescent="0.35">
      <c r="A37" t="s">
        <v>20</v>
      </c>
      <c r="B37">
        <v>2012</v>
      </c>
      <c r="C37" t="s">
        <v>21</v>
      </c>
      <c r="D37">
        <v>375.591684316954</v>
      </c>
      <c r="E37">
        <v>286.701921718824</v>
      </c>
      <c r="F37">
        <v>1443.4535844583399</v>
      </c>
    </row>
    <row r="38" spans="1:6" x14ac:dyDescent="0.35">
      <c r="A38" t="s">
        <v>20</v>
      </c>
      <c r="B38">
        <v>2013</v>
      </c>
      <c r="C38" t="s">
        <v>21</v>
      </c>
      <c r="D38">
        <v>330.62695139333101</v>
      </c>
      <c r="E38">
        <v>234.63553673257999</v>
      </c>
      <c r="F38">
        <v>1774.08053585167</v>
      </c>
    </row>
    <row r="39" spans="1:6" x14ac:dyDescent="0.35">
      <c r="A39" t="s">
        <v>20</v>
      </c>
      <c r="B39">
        <v>2014</v>
      </c>
      <c r="C39" t="s">
        <v>21</v>
      </c>
      <c r="D39">
        <v>330.60429912413798</v>
      </c>
      <c r="E39">
        <v>231.86352565751599</v>
      </c>
      <c r="F39">
        <v>2104.6848349758102</v>
      </c>
    </row>
    <row r="40" spans="1:6" x14ac:dyDescent="0.35">
      <c r="A40" t="s">
        <v>20</v>
      </c>
      <c r="B40">
        <v>2015</v>
      </c>
      <c r="C40" t="s">
        <v>21</v>
      </c>
      <c r="D40">
        <v>358.50710286257498</v>
      </c>
      <c r="E40">
        <v>258.51465849941798</v>
      </c>
      <c r="F40">
        <v>2463.19193783838</v>
      </c>
    </row>
    <row r="41" spans="1:6" x14ac:dyDescent="0.35">
      <c r="A41" t="s">
        <v>20</v>
      </c>
      <c r="B41">
        <v>2016</v>
      </c>
      <c r="C41" t="s">
        <v>21</v>
      </c>
      <c r="D41">
        <v>342.213848211396</v>
      </c>
      <c r="E41">
        <v>241.44459227300001</v>
      </c>
      <c r="F41">
        <v>2805.4057860497801</v>
      </c>
    </row>
    <row r="42" spans="1:6" x14ac:dyDescent="0.35">
      <c r="A42" t="s">
        <v>20</v>
      </c>
      <c r="B42">
        <v>2017</v>
      </c>
      <c r="C42" t="s">
        <v>21</v>
      </c>
      <c r="D42">
        <v>309.23885792982702</v>
      </c>
      <c r="E42">
        <v>208.07880660407201</v>
      </c>
      <c r="F42">
        <v>3114.6446439796</v>
      </c>
    </row>
    <row r="43" spans="1:6" x14ac:dyDescent="0.35">
      <c r="A43" t="s">
        <v>20</v>
      </c>
      <c r="B43">
        <v>2018</v>
      </c>
      <c r="C43" t="s">
        <v>21</v>
      </c>
      <c r="D43">
        <v>303.56052266613699</v>
      </c>
      <c r="E43">
        <v>202.23562918816501</v>
      </c>
      <c r="F43">
        <v>3418.2051666457401</v>
      </c>
    </row>
    <row r="44" spans="1:6" x14ac:dyDescent="0.35">
      <c r="A44" t="s">
        <v>20</v>
      </c>
      <c r="B44">
        <v>2019</v>
      </c>
      <c r="C44" t="s">
        <v>21</v>
      </c>
      <c r="D44">
        <v>322.13532344439398</v>
      </c>
      <c r="E44">
        <v>220.73542908152399</v>
      </c>
      <c r="F44">
        <v>3740.3404900901301</v>
      </c>
    </row>
    <row r="45" spans="1:6" x14ac:dyDescent="0.35">
      <c r="A45" t="s">
        <v>20</v>
      </c>
      <c r="B45">
        <v>2020</v>
      </c>
      <c r="C45" t="s">
        <v>21</v>
      </c>
      <c r="D45">
        <v>347.26079592807901</v>
      </c>
      <c r="E45">
        <v>245.821551261124</v>
      </c>
      <c r="F45">
        <v>4087.60128601821</v>
      </c>
    </row>
    <row r="46" spans="1:6" x14ac:dyDescent="0.35">
      <c r="A46" t="s">
        <v>20</v>
      </c>
      <c r="B46">
        <v>2021</v>
      </c>
      <c r="C46" t="s">
        <v>21</v>
      </c>
      <c r="D46">
        <v>326.70836989632397</v>
      </c>
      <c r="E46">
        <v>225.244528705025</v>
      </c>
      <c r="F46">
        <v>4414.3096559145397</v>
      </c>
    </row>
    <row r="47" spans="1:6" x14ac:dyDescent="0.35">
      <c r="A47" t="s">
        <v>20</v>
      </c>
      <c r="B47">
        <v>2022</v>
      </c>
      <c r="C47" t="s">
        <v>21</v>
      </c>
      <c r="D47">
        <v>298.35694900970702</v>
      </c>
      <c r="E47">
        <v>196.88114307597201</v>
      </c>
      <c r="F47">
        <v>4712.6666049242403</v>
      </c>
    </row>
    <row r="48" spans="1:6" x14ac:dyDescent="0.35">
      <c r="A48" t="s">
        <v>20</v>
      </c>
      <c r="B48">
        <v>2023</v>
      </c>
      <c r="C48" t="s">
        <v>21</v>
      </c>
      <c r="D48">
        <v>304.04154346360298</v>
      </c>
      <c r="E48">
        <v>202.560776775563</v>
      </c>
      <c r="F48">
        <v>5016.7081483878501</v>
      </c>
    </row>
    <row r="49" spans="1:6" x14ac:dyDescent="0.35">
      <c r="A49" t="s">
        <v>8</v>
      </c>
      <c r="B49">
        <v>2019</v>
      </c>
      <c r="C49" t="s">
        <v>24</v>
      </c>
      <c r="D49">
        <v>1256.35798442946</v>
      </c>
      <c r="E49">
        <v>1358.0973705767101</v>
      </c>
      <c r="F49">
        <v>1256.35798442946</v>
      </c>
    </row>
    <row r="50" spans="1:6" x14ac:dyDescent="0.35">
      <c r="A50" t="s">
        <v>8</v>
      </c>
      <c r="B50">
        <v>2020</v>
      </c>
      <c r="C50" t="s">
        <v>24</v>
      </c>
      <c r="D50">
        <v>1393.04106288359</v>
      </c>
      <c r="E50">
        <v>1516.8899685649901</v>
      </c>
      <c r="F50">
        <v>2649.3990473130498</v>
      </c>
    </row>
    <row r="51" spans="1:6" x14ac:dyDescent="0.35">
      <c r="A51" t="s">
        <v>8</v>
      </c>
      <c r="B51">
        <v>2021</v>
      </c>
      <c r="C51" t="s">
        <v>24</v>
      </c>
      <c r="D51">
        <v>1426.88247149215</v>
      </c>
      <c r="E51">
        <v>1556.20548042874</v>
      </c>
      <c r="F51">
        <v>4076.2815188052</v>
      </c>
    </row>
    <row r="52" spans="1:6" x14ac:dyDescent="0.35">
      <c r="A52" t="s">
        <v>8</v>
      </c>
      <c r="B52">
        <v>2022</v>
      </c>
      <c r="C52" t="s">
        <v>24</v>
      </c>
      <c r="D52">
        <v>1355.4595212218901</v>
      </c>
      <c r="E52">
        <v>1473.2293288987</v>
      </c>
      <c r="F52">
        <v>5431.7410400270901</v>
      </c>
    </row>
    <row r="53" spans="1:6" x14ac:dyDescent="0.35">
      <c r="A53" t="s">
        <v>8</v>
      </c>
      <c r="B53">
        <v>2023</v>
      </c>
      <c r="C53" t="s">
        <v>24</v>
      </c>
      <c r="D53">
        <v>1429.0399384464799</v>
      </c>
      <c r="E53">
        <v>1558.7119339460801</v>
      </c>
      <c r="F53">
        <v>6860.78097847357</v>
      </c>
    </row>
    <row r="54" spans="1:6" x14ac:dyDescent="0.35">
      <c r="A54" t="s">
        <v>8</v>
      </c>
      <c r="B54">
        <v>1994</v>
      </c>
      <c r="C54" t="s">
        <v>9</v>
      </c>
      <c r="D54">
        <v>28.568404049243799</v>
      </c>
      <c r="E54">
        <v>45.906873989083699</v>
      </c>
      <c r="F54">
        <v>28.568404049243799</v>
      </c>
    </row>
    <row r="55" spans="1:6" x14ac:dyDescent="0.35">
      <c r="A55" t="s">
        <v>8</v>
      </c>
      <c r="B55">
        <v>1995</v>
      </c>
      <c r="C55" t="s">
        <v>9</v>
      </c>
      <c r="D55">
        <v>69.963382969558893</v>
      </c>
      <c r="E55">
        <v>98.362756163968498</v>
      </c>
      <c r="F55">
        <v>98.531787018802703</v>
      </c>
    </row>
    <row r="56" spans="1:6" x14ac:dyDescent="0.35">
      <c r="A56" t="s">
        <v>8</v>
      </c>
      <c r="B56">
        <v>1996</v>
      </c>
      <c r="C56" t="s">
        <v>9</v>
      </c>
      <c r="D56">
        <v>130.535404980571</v>
      </c>
      <c r="E56">
        <v>172.71809490508301</v>
      </c>
      <c r="F56">
        <v>229.06719199937399</v>
      </c>
    </row>
    <row r="57" spans="1:6" x14ac:dyDescent="0.35">
      <c r="A57" t="s">
        <v>8</v>
      </c>
      <c r="B57">
        <v>1997</v>
      </c>
      <c r="C57" t="s">
        <v>9</v>
      </c>
      <c r="D57">
        <v>222.67380057114099</v>
      </c>
      <c r="E57">
        <v>284.025482886438</v>
      </c>
      <c r="F57">
        <v>451.740992570515</v>
      </c>
    </row>
    <row r="58" spans="1:6" x14ac:dyDescent="0.35">
      <c r="A58" t="s">
        <v>8</v>
      </c>
      <c r="B58">
        <v>1998</v>
      </c>
      <c r="C58" t="s">
        <v>9</v>
      </c>
      <c r="D58">
        <v>327.48300058810901</v>
      </c>
      <c r="E58">
        <v>395.09418614612099</v>
      </c>
      <c r="F58">
        <v>779.22399315862401</v>
      </c>
    </row>
    <row r="59" spans="1:6" x14ac:dyDescent="0.35">
      <c r="A59" t="s">
        <v>8</v>
      </c>
      <c r="B59">
        <v>1999</v>
      </c>
      <c r="C59" t="s">
        <v>9</v>
      </c>
      <c r="D59">
        <v>485.98162341534601</v>
      </c>
      <c r="E59">
        <v>568.39137761020595</v>
      </c>
      <c r="F59">
        <v>1265.20561657397</v>
      </c>
    </row>
    <row r="60" spans="1:6" x14ac:dyDescent="0.35">
      <c r="A60" t="s">
        <v>8</v>
      </c>
      <c r="B60">
        <v>2000</v>
      </c>
      <c r="C60" t="s">
        <v>9</v>
      </c>
      <c r="D60">
        <v>655.39098150802602</v>
      </c>
      <c r="E60">
        <v>740.17501947689595</v>
      </c>
      <c r="F60">
        <v>1920.5965980819999</v>
      </c>
    </row>
    <row r="61" spans="1:6" x14ac:dyDescent="0.35">
      <c r="A61" t="s">
        <v>8</v>
      </c>
      <c r="B61">
        <v>2001</v>
      </c>
      <c r="C61" t="s">
        <v>9</v>
      </c>
      <c r="D61">
        <v>934.34472522776798</v>
      </c>
      <c r="E61">
        <v>1035.76274669144</v>
      </c>
      <c r="F61">
        <v>2854.9413233097598</v>
      </c>
    </row>
    <row r="62" spans="1:6" x14ac:dyDescent="0.35">
      <c r="A62" t="s">
        <v>8</v>
      </c>
      <c r="B62">
        <v>2002</v>
      </c>
      <c r="C62" t="s">
        <v>9</v>
      </c>
      <c r="D62">
        <v>1223.2861109325199</v>
      </c>
      <c r="E62">
        <v>1327.31115355111</v>
      </c>
      <c r="F62">
        <v>4078.2274342422902</v>
      </c>
    </row>
    <row r="63" spans="1:6" x14ac:dyDescent="0.35">
      <c r="A63" t="s">
        <v>8</v>
      </c>
      <c r="B63">
        <v>2003</v>
      </c>
      <c r="C63" t="s">
        <v>9</v>
      </c>
      <c r="D63">
        <v>1723.16260408527</v>
      </c>
      <c r="E63">
        <v>1847.6963926656699</v>
      </c>
      <c r="F63">
        <v>5801.3900383275504</v>
      </c>
    </row>
    <row r="64" spans="1:6" x14ac:dyDescent="0.35">
      <c r="A64" t="s">
        <v>8</v>
      </c>
      <c r="B64">
        <v>2004</v>
      </c>
      <c r="C64" t="s">
        <v>9</v>
      </c>
      <c r="D64">
        <v>2158.41805472551</v>
      </c>
      <c r="E64">
        <v>2279.5099547974801</v>
      </c>
      <c r="F64">
        <v>7959.8080930530596</v>
      </c>
    </row>
    <row r="65" spans="1:6" x14ac:dyDescent="0.35">
      <c r="A65" t="s">
        <v>8</v>
      </c>
      <c r="B65">
        <v>2005</v>
      </c>
      <c r="C65" t="s">
        <v>9</v>
      </c>
      <c r="D65">
        <v>2298.5150779273699</v>
      </c>
      <c r="E65">
        <v>2384.3681784584201</v>
      </c>
      <c r="F65">
        <v>10258.3231709804</v>
      </c>
    </row>
    <row r="66" spans="1:6" x14ac:dyDescent="0.35">
      <c r="A66" t="s">
        <v>8</v>
      </c>
      <c r="B66">
        <v>2006</v>
      </c>
      <c r="C66" t="s">
        <v>9</v>
      </c>
      <c r="D66">
        <v>2134.6348541831899</v>
      </c>
      <c r="E66">
        <v>2171.2276193730399</v>
      </c>
      <c r="F66">
        <v>12392.9580251636</v>
      </c>
    </row>
    <row r="67" spans="1:6" x14ac:dyDescent="0.35">
      <c r="A67" t="s">
        <v>8</v>
      </c>
      <c r="B67">
        <v>2007</v>
      </c>
      <c r="C67" t="s">
        <v>9</v>
      </c>
      <c r="D67">
        <v>2009.4027682506101</v>
      </c>
      <c r="E67">
        <v>2011.40442504155</v>
      </c>
      <c r="F67">
        <v>14402.3607934142</v>
      </c>
    </row>
    <row r="68" spans="1:6" x14ac:dyDescent="0.35">
      <c r="A68" t="s">
        <v>8</v>
      </c>
      <c r="B68">
        <v>2008</v>
      </c>
      <c r="C68" t="s">
        <v>9</v>
      </c>
      <c r="D68">
        <v>1803.2483480186199</v>
      </c>
      <c r="E68">
        <v>1775.8921315185301</v>
      </c>
      <c r="F68">
        <v>16205.6091414328</v>
      </c>
    </row>
    <row r="69" spans="1:6" x14ac:dyDescent="0.35">
      <c r="A69" t="s">
        <v>8</v>
      </c>
      <c r="B69">
        <v>2009</v>
      </c>
      <c r="C69" t="s">
        <v>9</v>
      </c>
      <c r="D69">
        <v>1704.96848154385</v>
      </c>
      <c r="E69">
        <v>1659.5403032935101</v>
      </c>
      <c r="F69">
        <v>17910.5776229767</v>
      </c>
    </row>
    <row r="70" spans="1:6" x14ac:dyDescent="0.35">
      <c r="A70" t="s">
        <v>8</v>
      </c>
      <c r="B70">
        <v>2010</v>
      </c>
      <c r="C70" t="s">
        <v>9</v>
      </c>
      <c r="D70">
        <v>1719.5471121222799</v>
      </c>
      <c r="E70">
        <v>1663.3513348639001</v>
      </c>
      <c r="F70">
        <v>19630.124735099002</v>
      </c>
    </row>
    <row r="71" spans="1:6" x14ac:dyDescent="0.35">
      <c r="A71" t="s">
        <v>8</v>
      </c>
      <c r="B71">
        <v>2011</v>
      </c>
      <c r="C71" t="s">
        <v>9</v>
      </c>
      <c r="D71">
        <v>1614.5338278839499</v>
      </c>
      <c r="E71">
        <v>1547.1557663180499</v>
      </c>
      <c r="F71">
        <v>21244.658562982899</v>
      </c>
    </row>
    <row r="72" spans="1:6" x14ac:dyDescent="0.35">
      <c r="A72" t="s">
        <v>8</v>
      </c>
      <c r="B72">
        <v>2012</v>
      </c>
      <c r="C72" t="s">
        <v>9</v>
      </c>
      <c r="D72">
        <v>1642.4490170423701</v>
      </c>
      <c r="E72">
        <v>1568.8213394577699</v>
      </c>
      <c r="F72">
        <v>22887.107580025298</v>
      </c>
    </row>
    <row r="73" spans="1:6" x14ac:dyDescent="0.35">
      <c r="A73" t="s">
        <v>8</v>
      </c>
      <c r="B73">
        <v>2013</v>
      </c>
      <c r="C73" t="s">
        <v>9</v>
      </c>
      <c r="D73">
        <v>169.909217293316</v>
      </c>
      <c r="E73">
        <v>70.738926257594599</v>
      </c>
      <c r="F73">
        <v>23057.0167973186</v>
      </c>
    </row>
    <row r="74" spans="1:6" x14ac:dyDescent="0.35">
      <c r="A74" t="s">
        <v>8</v>
      </c>
      <c r="B74">
        <v>2014</v>
      </c>
      <c r="C74" t="s">
        <v>9</v>
      </c>
      <c r="D74">
        <v>181.12224924241301</v>
      </c>
      <c r="E74">
        <v>81.621075488555505</v>
      </c>
      <c r="F74">
        <v>23238.139046560998</v>
      </c>
    </row>
    <row r="75" spans="1:6" x14ac:dyDescent="0.35">
      <c r="A75" t="s">
        <v>8</v>
      </c>
      <c r="B75">
        <v>2015</v>
      </c>
      <c r="C75" t="s">
        <v>9</v>
      </c>
      <c r="D75">
        <v>203.511270055712</v>
      </c>
      <c r="E75">
        <v>103.81937184448</v>
      </c>
      <c r="F75">
        <v>23441.650316616699</v>
      </c>
    </row>
    <row r="76" spans="1:6" x14ac:dyDescent="0.35">
      <c r="A76" t="s">
        <v>8</v>
      </c>
      <c r="B76">
        <v>2016</v>
      </c>
      <c r="C76" t="s">
        <v>9</v>
      </c>
      <c r="D76">
        <v>196.85009729177699</v>
      </c>
      <c r="E76">
        <v>96.760729963057301</v>
      </c>
      <c r="F76">
        <v>23638.500413908499</v>
      </c>
    </row>
    <row r="77" spans="1:6" x14ac:dyDescent="0.35">
      <c r="A77" t="s">
        <v>8</v>
      </c>
      <c r="B77">
        <v>2017</v>
      </c>
      <c r="C77" t="s">
        <v>9</v>
      </c>
      <c r="D77">
        <v>185.00625717561701</v>
      </c>
      <c r="E77">
        <v>84.576990883916693</v>
      </c>
      <c r="F77">
        <v>23823.506671084098</v>
      </c>
    </row>
    <row r="78" spans="1:6" x14ac:dyDescent="0.35">
      <c r="A78" t="s">
        <v>8</v>
      </c>
      <c r="B78">
        <v>2018</v>
      </c>
      <c r="C78" t="s">
        <v>9</v>
      </c>
      <c r="D78">
        <v>189.884082133183</v>
      </c>
      <c r="E78">
        <v>89.271488912497304</v>
      </c>
      <c r="F78">
        <v>24013.3907532173</v>
      </c>
    </row>
    <row r="79" spans="1:6" x14ac:dyDescent="0.35">
      <c r="A79" t="s">
        <v>8</v>
      </c>
      <c r="B79">
        <v>2019</v>
      </c>
      <c r="C79" t="s">
        <v>9</v>
      </c>
      <c r="D79">
        <v>1454.1957963473701</v>
      </c>
      <c r="E79">
        <v>1358.0973705767101</v>
      </c>
      <c r="F79">
        <v>25467.586549564701</v>
      </c>
    </row>
    <row r="80" spans="1:6" x14ac:dyDescent="0.35">
      <c r="A80" t="s">
        <v>8</v>
      </c>
      <c r="B80">
        <v>2020</v>
      </c>
      <c r="C80" t="s">
        <v>9</v>
      </c>
      <c r="D80">
        <v>1613.56011603508</v>
      </c>
      <c r="E80">
        <v>1516.8899685649901</v>
      </c>
      <c r="F80">
        <v>27081.146665599801</v>
      </c>
    </row>
    <row r="81" spans="1:6" x14ac:dyDescent="0.35">
      <c r="A81" t="s">
        <v>8</v>
      </c>
      <c r="B81">
        <v>2021</v>
      </c>
      <c r="C81" t="s">
        <v>9</v>
      </c>
      <c r="D81">
        <v>1653.71474349706</v>
      </c>
      <c r="E81">
        <v>1556.20548042874</v>
      </c>
      <c r="F81">
        <v>28734.8614090968</v>
      </c>
    </row>
    <row r="82" spans="1:6" x14ac:dyDescent="0.35">
      <c r="A82" t="s">
        <v>8</v>
      </c>
      <c r="B82">
        <v>2022</v>
      </c>
      <c r="C82" t="s">
        <v>9</v>
      </c>
      <c r="D82">
        <v>1571.6698569006401</v>
      </c>
      <c r="E82">
        <v>1473.2293288987</v>
      </c>
      <c r="F82">
        <v>30306.531265997499</v>
      </c>
    </row>
    <row r="83" spans="1:6" x14ac:dyDescent="0.35">
      <c r="A83" t="s">
        <v>8</v>
      </c>
      <c r="B83">
        <v>2023</v>
      </c>
      <c r="C83" t="s">
        <v>9</v>
      </c>
      <c r="D83">
        <v>1657.6094717707099</v>
      </c>
      <c r="E83">
        <v>1558.7119339460801</v>
      </c>
      <c r="F83">
        <v>31964.140737768201</v>
      </c>
    </row>
    <row r="84" spans="1:6" x14ac:dyDescent="0.35">
      <c r="A84" t="s">
        <v>25</v>
      </c>
      <c r="B84">
        <v>2019</v>
      </c>
      <c r="C84" t="s">
        <v>26</v>
      </c>
      <c r="D84">
        <v>112.652322505141</v>
      </c>
      <c r="E84">
        <v>300.94699063707998</v>
      </c>
      <c r="F84">
        <v>112.652322505141</v>
      </c>
    </row>
    <row r="85" spans="1:6" x14ac:dyDescent="0.35">
      <c r="A85" t="s">
        <v>25</v>
      </c>
      <c r="B85">
        <v>2020</v>
      </c>
      <c r="C85" t="s">
        <v>26</v>
      </c>
      <c r="D85">
        <v>317.19079234067101</v>
      </c>
      <c r="E85">
        <v>557.27428626230699</v>
      </c>
      <c r="F85">
        <v>429.84311484581099</v>
      </c>
    </row>
    <row r="86" spans="1:6" x14ac:dyDescent="0.35">
      <c r="A86" t="s">
        <v>25</v>
      </c>
      <c r="B86">
        <v>2021</v>
      </c>
      <c r="C86" t="s">
        <v>26</v>
      </c>
      <c r="D86">
        <v>603.35625885029697</v>
      </c>
      <c r="E86">
        <v>861.35713251673405</v>
      </c>
      <c r="F86">
        <v>1033.1993736961099</v>
      </c>
    </row>
    <row r="87" spans="1:6" x14ac:dyDescent="0.35">
      <c r="A87" t="s">
        <v>25</v>
      </c>
      <c r="B87">
        <v>2022</v>
      </c>
      <c r="C87" t="s">
        <v>26</v>
      </c>
      <c r="D87">
        <v>958.05063878533099</v>
      </c>
      <c r="E87">
        <v>1208.8404692665099</v>
      </c>
      <c r="F87">
        <v>1991.2500124814401</v>
      </c>
    </row>
    <row r="88" spans="1:6" x14ac:dyDescent="0.35">
      <c r="A88" t="s">
        <v>25</v>
      </c>
      <c r="B88">
        <v>2023</v>
      </c>
      <c r="C88" t="s">
        <v>26</v>
      </c>
      <c r="D88">
        <v>1615.0998501755701</v>
      </c>
      <c r="E88">
        <v>1901.3370050088199</v>
      </c>
      <c r="F88">
        <v>3606.3498626570099</v>
      </c>
    </row>
    <row r="89" spans="1:6" x14ac:dyDescent="0.35">
      <c r="A89" t="s">
        <v>16</v>
      </c>
      <c r="B89">
        <v>2006</v>
      </c>
      <c r="C89" t="s">
        <v>17</v>
      </c>
      <c r="D89">
        <v>836.20852346758397</v>
      </c>
      <c r="E89">
        <v>937.38475174768098</v>
      </c>
      <c r="F89">
        <v>836.20852346758397</v>
      </c>
    </row>
    <row r="90" spans="1:6" x14ac:dyDescent="0.35">
      <c r="A90" t="s">
        <v>16</v>
      </c>
      <c r="B90">
        <v>2007</v>
      </c>
      <c r="C90" t="s">
        <v>17</v>
      </c>
      <c r="D90">
        <v>817.40713769192098</v>
      </c>
      <c r="E90">
        <v>914.02669065824705</v>
      </c>
      <c r="F90">
        <v>1653.6156611595</v>
      </c>
    </row>
    <row r="91" spans="1:6" x14ac:dyDescent="0.35">
      <c r="A91" t="s">
        <v>16</v>
      </c>
      <c r="B91">
        <v>2008</v>
      </c>
      <c r="C91" t="s">
        <v>17</v>
      </c>
      <c r="D91">
        <v>768.41977358697898</v>
      </c>
      <c r="E91">
        <v>853.16682335768201</v>
      </c>
      <c r="F91">
        <v>2422.03543474648</v>
      </c>
    </row>
    <row r="92" spans="1:6" x14ac:dyDescent="0.35">
      <c r="A92" t="s">
        <v>16</v>
      </c>
      <c r="B92">
        <v>2009</v>
      </c>
      <c r="C92" t="s">
        <v>17</v>
      </c>
      <c r="D92">
        <v>760.83704625462201</v>
      </c>
      <c r="E92">
        <v>843.74635774056901</v>
      </c>
      <c r="F92">
        <v>3182.8724810011099</v>
      </c>
    </row>
    <row r="93" spans="1:6" x14ac:dyDescent="0.35">
      <c r="A93" t="s">
        <v>16</v>
      </c>
      <c r="B93">
        <v>2010</v>
      </c>
      <c r="C93" t="s">
        <v>17</v>
      </c>
      <c r="D93">
        <v>827.46022326715695</v>
      </c>
      <c r="E93">
        <v>926.51622679167497</v>
      </c>
      <c r="F93">
        <v>4010.3327042682599</v>
      </c>
    </row>
    <row r="94" spans="1:6" x14ac:dyDescent="0.35">
      <c r="A94" t="s">
        <v>16</v>
      </c>
      <c r="B94">
        <v>2011</v>
      </c>
      <c r="C94" t="s">
        <v>17</v>
      </c>
      <c r="D94">
        <v>832.14877483522696</v>
      </c>
      <c r="E94">
        <v>932.341088599984</v>
      </c>
      <c r="F94">
        <v>4842.4814791034896</v>
      </c>
    </row>
    <row r="95" spans="1:6" x14ac:dyDescent="0.35">
      <c r="A95" t="s">
        <v>16</v>
      </c>
      <c r="B95">
        <v>2012</v>
      </c>
      <c r="C95" t="s">
        <v>17</v>
      </c>
      <c r="D95">
        <v>925.34942578473203</v>
      </c>
      <c r="E95">
        <v>1048.12970782355</v>
      </c>
      <c r="F95">
        <v>5767.8309048882202</v>
      </c>
    </row>
    <row r="96" spans="1:6" x14ac:dyDescent="0.35">
      <c r="A96" t="s">
        <v>16</v>
      </c>
      <c r="B96">
        <v>2013</v>
      </c>
      <c r="C96" t="s">
        <v>17</v>
      </c>
      <c r="D96">
        <v>902.86393424127596</v>
      </c>
      <c r="E96">
        <v>1020.1946666853599</v>
      </c>
      <c r="F96">
        <v>6670.6948391295</v>
      </c>
    </row>
    <row r="97" spans="1:6" x14ac:dyDescent="0.35">
      <c r="A97" t="s">
        <v>16</v>
      </c>
      <c r="B97">
        <v>2014</v>
      </c>
      <c r="C97" t="s">
        <v>17</v>
      </c>
      <c r="D97">
        <v>968.75050746548095</v>
      </c>
      <c r="E97">
        <v>1102.0494097722601</v>
      </c>
      <c r="F97">
        <v>7639.44534659498</v>
      </c>
    </row>
    <row r="98" spans="1:6" x14ac:dyDescent="0.35">
      <c r="A98" t="s">
        <v>16</v>
      </c>
      <c r="B98">
        <v>2015</v>
      </c>
      <c r="C98" t="s">
        <v>17</v>
      </c>
      <c r="D98">
        <v>1154.1259381028401</v>
      </c>
      <c r="E98">
        <v>1332.3521483561599</v>
      </c>
      <c r="F98">
        <v>8793.5712846978204</v>
      </c>
    </row>
    <row r="99" spans="1:6" x14ac:dyDescent="0.35">
      <c r="A99" t="s">
        <v>16</v>
      </c>
      <c r="B99">
        <v>2016</v>
      </c>
      <c r="C99" t="s">
        <v>17</v>
      </c>
      <c r="D99">
        <v>1180.53316106791</v>
      </c>
      <c r="E99">
        <v>1365.15938578962</v>
      </c>
      <c r="F99">
        <v>9974.1044457657299</v>
      </c>
    </row>
    <row r="100" spans="1:6" x14ac:dyDescent="0.35">
      <c r="A100" t="s">
        <v>16</v>
      </c>
      <c r="B100">
        <v>2017</v>
      </c>
      <c r="C100" t="s">
        <v>17</v>
      </c>
      <c r="D100">
        <v>1149.7836076374199</v>
      </c>
      <c r="E100">
        <v>1326.9574172713301</v>
      </c>
      <c r="F100">
        <v>11123.8880534032</v>
      </c>
    </row>
    <row r="101" spans="1:6" x14ac:dyDescent="0.35">
      <c r="A101" t="s">
        <v>16</v>
      </c>
      <c r="B101">
        <v>2018</v>
      </c>
      <c r="C101" t="s">
        <v>17</v>
      </c>
      <c r="D101">
        <v>1224.6724655744899</v>
      </c>
      <c r="E101">
        <v>1419.9962251275199</v>
      </c>
      <c r="F101">
        <v>12348.5605189776</v>
      </c>
    </row>
    <row r="102" spans="1:6" x14ac:dyDescent="0.35">
      <c r="A102" t="s">
        <v>16</v>
      </c>
      <c r="B102">
        <v>2019</v>
      </c>
      <c r="C102" t="s">
        <v>17</v>
      </c>
      <c r="D102">
        <v>1393.4018319438901</v>
      </c>
      <c r="E102">
        <v>1629.61858457826</v>
      </c>
      <c r="F102">
        <v>13741.9623509215</v>
      </c>
    </row>
    <row r="103" spans="1:6" x14ac:dyDescent="0.35">
      <c r="A103" t="s">
        <v>16</v>
      </c>
      <c r="B103">
        <v>2020</v>
      </c>
      <c r="C103" t="s">
        <v>17</v>
      </c>
      <c r="D103">
        <v>1620.6804471958201</v>
      </c>
      <c r="E103">
        <v>1911.98009998572</v>
      </c>
      <c r="F103">
        <v>15362.6427981174</v>
      </c>
    </row>
    <row r="104" spans="1:6" x14ac:dyDescent="0.35">
      <c r="A104" t="s">
        <v>16</v>
      </c>
      <c r="B104">
        <v>2021</v>
      </c>
      <c r="C104" t="s">
        <v>17</v>
      </c>
      <c r="D104">
        <v>1707.26485150392</v>
      </c>
      <c r="E104">
        <v>2019.5489690761401</v>
      </c>
      <c r="F104">
        <v>17069.907649621298</v>
      </c>
    </row>
    <row r="105" spans="1:6" x14ac:dyDescent="0.35">
      <c r="A105" t="s">
        <v>16</v>
      </c>
      <c r="B105">
        <v>2022</v>
      </c>
      <c r="C105" t="s">
        <v>17</v>
      </c>
      <c r="D105">
        <v>1693.9079846366401</v>
      </c>
      <c r="E105">
        <v>2002.95495223227</v>
      </c>
      <c r="F105">
        <v>18763.815634257899</v>
      </c>
    </row>
    <row r="106" spans="1:6" x14ac:dyDescent="0.35">
      <c r="A106" t="s">
        <v>16</v>
      </c>
      <c r="B106">
        <v>2023</v>
      </c>
      <c r="C106" t="s">
        <v>17</v>
      </c>
      <c r="D106">
        <v>1864.35540270659</v>
      </c>
      <c r="E106">
        <v>2214.7117477854899</v>
      </c>
      <c r="F106">
        <v>20628.171036964501</v>
      </c>
    </row>
    <row r="107" spans="1:6" x14ac:dyDescent="0.35">
      <c r="A107" t="s">
        <v>10</v>
      </c>
      <c r="B107">
        <v>2003</v>
      </c>
      <c r="C107" t="s">
        <v>11</v>
      </c>
      <c r="D107">
        <v>57.998455716731399</v>
      </c>
      <c r="E107">
        <v>191.07536869805199</v>
      </c>
      <c r="F107">
        <v>57.998455716731399</v>
      </c>
    </row>
    <row r="108" spans="1:6" x14ac:dyDescent="0.35">
      <c r="A108" t="s">
        <v>10</v>
      </c>
      <c r="B108">
        <v>2004</v>
      </c>
      <c r="C108" t="s">
        <v>11</v>
      </c>
      <c r="D108">
        <v>127.24936733581001</v>
      </c>
      <c r="E108">
        <v>254.76831863286199</v>
      </c>
      <c r="F108">
        <v>185.24782305254101</v>
      </c>
    </row>
    <row r="109" spans="1:6" x14ac:dyDescent="0.35">
      <c r="A109" t="s">
        <v>10</v>
      </c>
      <c r="B109">
        <v>2005</v>
      </c>
      <c r="C109" t="s">
        <v>11</v>
      </c>
      <c r="D109">
        <v>233.47428457792299</v>
      </c>
      <c r="E109">
        <v>380.28120313723002</v>
      </c>
      <c r="F109">
        <v>418.72210763046502</v>
      </c>
    </row>
    <row r="110" spans="1:6" x14ac:dyDescent="0.35">
      <c r="A110" t="s">
        <v>10</v>
      </c>
      <c r="B110">
        <v>2006</v>
      </c>
      <c r="C110" t="s">
        <v>11</v>
      </c>
      <c r="D110">
        <v>344.81129551871697</v>
      </c>
      <c r="E110">
        <v>486.13570190556999</v>
      </c>
      <c r="F110">
        <v>763.53340314918205</v>
      </c>
    </row>
    <row r="111" spans="1:6" x14ac:dyDescent="0.35">
      <c r="A111" t="s">
        <v>10</v>
      </c>
      <c r="B111">
        <v>2007</v>
      </c>
      <c r="C111" t="s">
        <v>11</v>
      </c>
      <c r="D111">
        <v>477.19905079389201</v>
      </c>
      <c r="E111">
        <v>612.12821433593194</v>
      </c>
      <c r="F111">
        <v>1240.7324539430699</v>
      </c>
    </row>
    <row r="112" spans="1:6" x14ac:dyDescent="0.35">
      <c r="A112" t="s">
        <v>10</v>
      </c>
      <c r="B112">
        <v>2008</v>
      </c>
      <c r="C112" t="s">
        <v>11</v>
      </c>
      <c r="D112">
        <v>623.14732999405703</v>
      </c>
      <c r="E112">
        <v>747.04462594637596</v>
      </c>
      <c r="F112">
        <v>1863.87978393713</v>
      </c>
    </row>
    <row r="113" spans="1:6" x14ac:dyDescent="0.35">
      <c r="A113" t="s">
        <v>10</v>
      </c>
      <c r="B113">
        <v>2009</v>
      </c>
      <c r="C113" t="s">
        <v>11</v>
      </c>
      <c r="D113">
        <v>841.32476807823298</v>
      </c>
      <c r="E113">
        <v>967.48635089500704</v>
      </c>
      <c r="F113">
        <v>2705.2045520153602</v>
      </c>
    </row>
    <row r="114" spans="1:6" x14ac:dyDescent="0.35">
      <c r="A114" t="s">
        <v>10</v>
      </c>
      <c r="B114">
        <v>2010</v>
      </c>
      <c r="C114" t="s">
        <v>11</v>
      </c>
      <c r="D114">
        <v>1176.2318842258301</v>
      </c>
      <c r="E114">
        <v>1316.9279182850701</v>
      </c>
      <c r="F114">
        <v>3881.4364362412002</v>
      </c>
    </row>
    <row r="115" spans="1:6" x14ac:dyDescent="0.35">
      <c r="A115" t="s">
        <v>10</v>
      </c>
      <c r="B115">
        <v>2011</v>
      </c>
      <c r="C115" t="s">
        <v>11</v>
      </c>
      <c r="D115">
        <v>1571.2859943659</v>
      </c>
      <c r="E115">
        <v>1719.0136962813999</v>
      </c>
      <c r="F115">
        <v>5452.7224306070902</v>
      </c>
    </row>
    <row r="116" spans="1:6" x14ac:dyDescent="0.35">
      <c r="A116" t="s">
        <v>10</v>
      </c>
      <c r="B116">
        <v>2012</v>
      </c>
      <c r="C116" t="s">
        <v>11</v>
      </c>
      <c r="D116">
        <v>2312.8712235982798</v>
      </c>
      <c r="E116">
        <v>2496.5300546817898</v>
      </c>
      <c r="F116">
        <v>7765.5936542053696</v>
      </c>
    </row>
    <row r="117" spans="1:6" x14ac:dyDescent="0.35">
      <c r="A117" t="s">
        <v>10</v>
      </c>
      <c r="B117">
        <v>2013</v>
      </c>
      <c r="C117" t="s">
        <v>11</v>
      </c>
      <c r="D117">
        <v>2053.9635541896</v>
      </c>
      <c r="E117">
        <v>2150.6586977962002</v>
      </c>
      <c r="F117">
        <v>9819.5572083949701</v>
      </c>
    </row>
    <row r="118" spans="1:6" x14ac:dyDescent="0.35">
      <c r="A118" t="s">
        <v>10</v>
      </c>
      <c r="B118">
        <v>2014</v>
      </c>
      <c r="C118" t="s">
        <v>11</v>
      </c>
      <c r="D118">
        <v>1993.4143996345499</v>
      </c>
      <c r="E118">
        <v>2043.24299866161</v>
      </c>
      <c r="F118">
        <v>11812.9716080295</v>
      </c>
    </row>
    <row r="119" spans="1:6" x14ac:dyDescent="0.35">
      <c r="A119" t="s">
        <v>10</v>
      </c>
      <c r="B119">
        <v>2015</v>
      </c>
      <c r="C119" t="s">
        <v>11</v>
      </c>
      <c r="D119">
        <v>2112.77760375035</v>
      </c>
      <c r="E119">
        <v>2137.9671408262702</v>
      </c>
      <c r="F119">
        <v>13925.749211779899</v>
      </c>
    </row>
    <row r="120" spans="1:6" x14ac:dyDescent="0.35">
      <c r="A120" t="s">
        <v>10</v>
      </c>
      <c r="B120">
        <v>2016</v>
      </c>
      <c r="C120" t="s">
        <v>11</v>
      </c>
      <c r="D120">
        <v>2024.3952568766799</v>
      </c>
      <c r="E120">
        <v>2019.08045557583</v>
      </c>
      <c r="F120">
        <v>15950.144468656599</v>
      </c>
    </row>
    <row r="121" spans="1:6" x14ac:dyDescent="0.35">
      <c r="A121" t="s">
        <v>10</v>
      </c>
      <c r="B121">
        <v>2017</v>
      </c>
      <c r="C121" t="s">
        <v>11</v>
      </c>
      <c r="D121">
        <v>1881.46589004922</v>
      </c>
      <c r="E121">
        <v>1850.9732087693999</v>
      </c>
      <c r="F121">
        <v>17831.610358705799</v>
      </c>
    </row>
    <row r="122" spans="1:6" x14ac:dyDescent="0.35">
      <c r="A122" t="s">
        <v>10</v>
      </c>
      <c r="B122">
        <v>2018</v>
      </c>
      <c r="C122" t="s">
        <v>11</v>
      </c>
      <c r="D122">
        <v>1812.73518799358</v>
      </c>
      <c r="E122">
        <v>1765.68206477173</v>
      </c>
      <c r="F122">
        <v>19644.345546699398</v>
      </c>
    </row>
    <row r="123" spans="1:6" x14ac:dyDescent="0.35">
      <c r="A123" t="s">
        <v>10</v>
      </c>
      <c r="B123">
        <v>2019</v>
      </c>
      <c r="C123" t="s">
        <v>11</v>
      </c>
      <c r="D123">
        <v>1841.32587722521</v>
      </c>
      <c r="E123">
        <v>1783.90777286155</v>
      </c>
      <c r="F123">
        <v>21485.671423924599</v>
      </c>
    </row>
    <row r="124" spans="1:6" x14ac:dyDescent="0.35">
      <c r="A124" t="s">
        <v>10</v>
      </c>
      <c r="B124">
        <v>2020</v>
      </c>
      <c r="C124" t="s">
        <v>11</v>
      </c>
      <c r="D124">
        <v>2025.70152798955</v>
      </c>
      <c r="E124">
        <v>1962.90152892641</v>
      </c>
      <c r="F124">
        <v>23511.372951914102</v>
      </c>
    </row>
    <row r="125" spans="1:6" x14ac:dyDescent="0.35">
      <c r="A125" t="s">
        <v>10</v>
      </c>
      <c r="B125">
        <v>2021</v>
      </c>
      <c r="C125" t="s">
        <v>11</v>
      </c>
      <c r="D125">
        <v>1915.41050498654</v>
      </c>
      <c r="E125">
        <v>1843.1418999100899</v>
      </c>
      <c r="F125">
        <v>25426.783456900601</v>
      </c>
    </row>
    <row r="126" spans="1:6" x14ac:dyDescent="0.35">
      <c r="A126" t="s">
        <v>10</v>
      </c>
      <c r="B126">
        <v>2022</v>
      </c>
      <c r="C126" t="s">
        <v>11</v>
      </c>
      <c r="D126">
        <v>1804.4835172604101</v>
      </c>
      <c r="E126">
        <v>1724.99958999145</v>
      </c>
      <c r="F126">
        <v>27231.266974161099</v>
      </c>
    </row>
    <row r="127" spans="1:6" x14ac:dyDescent="0.35">
      <c r="A127" t="s">
        <v>10</v>
      </c>
      <c r="B127">
        <v>2023</v>
      </c>
      <c r="C127" t="s">
        <v>11</v>
      </c>
      <c r="D127">
        <v>1821.9873753678</v>
      </c>
      <c r="E127">
        <v>1738.26984004459</v>
      </c>
      <c r="F127">
        <v>29053.254349528899</v>
      </c>
    </row>
    <row r="128" spans="1:6" x14ac:dyDescent="0.35">
      <c r="A128" t="s">
        <v>12</v>
      </c>
      <c r="B128">
        <v>2004</v>
      </c>
      <c r="C128" t="s">
        <v>13</v>
      </c>
      <c r="D128">
        <v>82.610951813864105</v>
      </c>
      <c r="E128">
        <v>225.756609185695</v>
      </c>
      <c r="F128">
        <v>82.610951813864105</v>
      </c>
    </row>
    <row r="129" spans="1:6" x14ac:dyDescent="0.35">
      <c r="A129" t="s">
        <v>12</v>
      </c>
      <c r="B129">
        <v>2005</v>
      </c>
      <c r="C129" t="s">
        <v>13</v>
      </c>
      <c r="D129">
        <v>211.811848615777</v>
      </c>
      <c r="E129">
        <v>378.63617373582002</v>
      </c>
      <c r="F129">
        <v>294.42280042964097</v>
      </c>
    </row>
    <row r="130" spans="1:6" x14ac:dyDescent="0.35">
      <c r="A130" t="s">
        <v>12</v>
      </c>
      <c r="B130">
        <v>2006</v>
      </c>
      <c r="C130" t="s">
        <v>13</v>
      </c>
      <c r="D130">
        <v>359.66818655058</v>
      </c>
      <c r="E130">
        <v>516.24745078478895</v>
      </c>
      <c r="F130">
        <v>654.09098698022001</v>
      </c>
    </row>
    <row r="131" spans="1:6" x14ac:dyDescent="0.35">
      <c r="A131" t="s">
        <v>12</v>
      </c>
      <c r="B131">
        <v>2007</v>
      </c>
      <c r="C131" t="s">
        <v>13</v>
      </c>
      <c r="D131">
        <v>555.810506044882</v>
      </c>
      <c r="E131">
        <v>706.72990176003998</v>
      </c>
      <c r="F131">
        <v>1209.9014930251001</v>
      </c>
    </row>
    <row r="132" spans="1:6" x14ac:dyDescent="0.35">
      <c r="A132" t="s">
        <v>12</v>
      </c>
      <c r="B132">
        <v>2008</v>
      </c>
      <c r="C132" t="s">
        <v>13</v>
      </c>
      <c r="D132">
        <v>772.07465272299805</v>
      </c>
      <c r="E132">
        <v>905.73541653370705</v>
      </c>
      <c r="F132">
        <v>1981.9761457481</v>
      </c>
    </row>
    <row r="133" spans="1:6" x14ac:dyDescent="0.35">
      <c r="A133" t="s">
        <v>12</v>
      </c>
      <c r="B133">
        <v>2009</v>
      </c>
      <c r="C133" t="s">
        <v>13</v>
      </c>
      <c r="D133">
        <v>1096.2699226617201</v>
      </c>
      <c r="E133">
        <v>1226.56088907296</v>
      </c>
      <c r="F133">
        <v>3078.2460684098201</v>
      </c>
    </row>
    <row r="134" spans="1:6" x14ac:dyDescent="0.35">
      <c r="A134" t="s">
        <v>12</v>
      </c>
      <c r="B134">
        <v>2010</v>
      </c>
      <c r="C134" t="s">
        <v>13</v>
      </c>
      <c r="D134">
        <v>1196.26531145276</v>
      </c>
      <c r="E134">
        <v>1274.2696047362999</v>
      </c>
      <c r="F134">
        <v>4274.5113798625898</v>
      </c>
    </row>
    <row r="135" spans="1:6" x14ac:dyDescent="0.35">
      <c r="A135" t="s">
        <v>12</v>
      </c>
      <c r="B135">
        <v>2011</v>
      </c>
      <c r="C135" t="s">
        <v>13</v>
      </c>
      <c r="D135">
        <v>1165.0347217905301</v>
      </c>
      <c r="E135">
        <v>1189.45548028129</v>
      </c>
      <c r="F135">
        <v>5439.5461016531199</v>
      </c>
    </row>
    <row r="136" spans="1:6" x14ac:dyDescent="0.35">
      <c r="A136" t="s">
        <v>12</v>
      </c>
      <c r="B136">
        <v>2012</v>
      </c>
      <c r="C136" t="s">
        <v>13</v>
      </c>
      <c r="D136">
        <v>1238.9924692797699</v>
      </c>
      <c r="E136">
        <v>1234.94526927523</v>
      </c>
      <c r="F136">
        <v>6678.5385709328903</v>
      </c>
    </row>
    <row r="137" spans="1:6" x14ac:dyDescent="0.35">
      <c r="A137" t="s">
        <v>12</v>
      </c>
      <c r="B137">
        <v>2013</v>
      </c>
      <c r="C137" t="s">
        <v>13</v>
      </c>
      <c r="D137">
        <v>387.49050818302402</v>
      </c>
      <c r="E137">
        <v>308.34174592642802</v>
      </c>
      <c r="F137">
        <v>7066.0290791159196</v>
      </c>
    </row>
    <row r="138" spans="1:6" x14ac:dyDescent="0.35">
      <c r="A138" t="s">
        <v>12</v>
      </c>
      <c r="B138">
        <v>2014</v>
      </c>
      <c r="C138" t="s">
        <v>13</v>
      </c>
      <c r="D138">
        <v>416.54686667905997</v>
      </c>
      <c r="E138">
        <v>332.753829951667</v>
      </c>
      <c r="F138">
        <v>7482.5759457949798</v>
      </c>
    </row>
    <row r="139" spans="1:6" x14ac:dyDescent="0.35">
      <c r="A139" t="s">
        <v>12</v>
      </c>
      <c r="B139">
        <v>2015</v>
      </c>
      <c r="C139" t="s">
        <v>13</v>
      </c>
      <c r="D139">
        <v>482.744042322756</v>
      </c>
      <c r="E139">
        <v>396.42381054736802</v>
      </c>
      <c r="F139">
        <v>7965.3199881177297</v>
      </c>
    </row>
    <row r="140" spans="1:6" x14ac:dyDescent="0.35">
      <c r="A140" t="s">
        <v>12</v>
      </c>
      <c r="B140">
        <v>2016</v>
      </c>
      <c r="C140" t="s">
        <v>13</v>
      </c>
      <c r="D140">
        <v>473.584383583126</v>
      </c>
      <c r="E140">
        <v>383.13299319120898</v>
      </c>
      <c r="F140">
        <v>8438.9043717008608</v>
      </c>
    </row>
    <row r="141" spans="1:6" x14ac:dyDescent="0.35">
      <c r="A141" t="s">
        <v>12</v>
      </c>
      <c r="B141">
        <v>2017</v>
      </c>
      <c r="C141" t="s">
        <v>13</v>
      </c>
      <c r="D141">
        <v>444.077232473783</v>
      </c>
      <c r="E141">
        <v>350.28101164160302</v>
      </c>
      <c r="F141">
        <v>8882.9816041746399</v>
      </c>
    </row>
    <row r="142" spans="1:6" x14ac:dyDescent="0.35">
      <c r="A142" t="s">
        <v>12</v>
      </c>
      <c r="B142">
        <v>2018</v>
      </c>
      <c r="C142" t="s">
        <v>13</v>
      </c>
      <c r="D142">
        <v>447.60883467779598</v>
      </c>
      <c r="E142">
        <v>351.891860359769</v>
      </c>
      <c r="F142">
        <v>9330.5904388524395</v>
      </c>
    </row>
    <row r="143" spans="1:6" x14ac:dyDescent="0.35">
      <c r="A143" t="s">
        <v>12</v>
      </c>
      <c r="B143">
        <v>2019</v>
      </c>
      <c r="C143" t="s">
        <v>13</v>
      </c>
      <c r="D143">
        <v>474.983449392826</v>
      </c>
      <c r="E143">
        <v>378.05901955858297</v>
      </c>
      <c r="F143">
        <v>9805.5738882452606</v>
      </c>
    </row>
    <row r="144" spans="1:6" x14ac:dyDescent="0.35">
      <c r="A144" t="s">
        <v>12</v>
      </c>
      <c r="B144">
        <v>2020</v>
      </c>
      <c r="C144" t="s">
        <v>13</v>
      </c>
      <c r="D144">
        <v>546.37657750605899</v>
      </c>
      <c r="E144">
        <v>448.80366121987498</v>
      </c>
      <c r="F144">
        <v>10351.950465751301</v>
      </c>
    </row>
    <row r="145" spans="1:6" x14ac:dyDescent="0.35">
      <c r="A145" t="s">
        <v>12</v>
      </c>
      <c r="B145">
        <v>2021</v>
      </c>
      <c r="C145" t="s">
        <v>13</v>
      </c>
      <c r="D145">
        <v>579.55445143227803</v>
      </c>
      <c r="E145">
        <v>481.16572547902302</v>
      </c>
      <c r="F145">
        <v>10931.5049171836</v>
      </c>
    </row>
    <row r="146" spans="1:6" x14ac:dyDescent="0.35">
      <c r="A146" t="s">
        <v>12</v>
      </c>
      <c r="B146">
        <v>2022</v>
      </c>
      <c r="C146" t="s">
        <v>13</v>
      </c>
      <c r="D146">
        <v>559.668061300452</v>
      </c>
      <c r="E146">
        <v>460.41498147755999</v>
      </c>
      <c r="F146">
        <v>11491.172978484101</v>
      </c>
    </row>
    <row r="147" spans="1:6" x14ac:dyDescent="0.35">
      <c r="A147" t="s">
        <v>12</v>
      </c>
      <c r="B147">
        <v>2023</v>
      </c>
      <c r="C147" t="s">
        <v>13</v>
      </c>
      <c r="D147">
        <v>608.85080837481996</v>
      </c>
      <c r="E147">
        <v>509.17889982459099</v>
      </c>
      <c r="F147">
        <v>12100.023786858899</v>
      </c>
    </row>
    <row r="148" spans="1:6" x14ac:dyDescent="0.35">
      <c r="A148" t="s">
        <v>27</v>
      </c>
      <c r="B148">
        <v>2020</v>
      </c>
      <c r="C148" t="s">
        <v>28</v>
      </c>
      <c r="D148">
        <v>1077.3138875223699</v>
      </c>
      <c r="E148">
        <v>1518.8324453753401</v>
      </c>
      <c r="F148">
        <v>1077.3138875223699</v>
      </c>
    </row>
    <row r="149" spans="1:6" x14ac:dyDescent="0.35">
      <c r="A149" t="s">
        <v>27</v>
      </c>
      <c r="B149">
        <v>2021</v>
      </c>
      <c r="C149" t="s">
        <v>28</v>
      </c>
      <c r="D149">
        <v>1131.1971980350299</v>
      </c>
      <c r="E149">
        <v>1599.8748629407</v>
      </c>
      <c r="F149">
        <v>2208.5110855573998</v>
      </c>
    </row>
    <row r="150" spans="1:6" x14ac:dyDescent="0.35">
      <c r="A150" t="s">
        <v>27</v>
      </c>
      <c r="B150">
        <v>2022</v>
      </c>
      <c r="C150" t="s">
        <v>28</v>
      </c>
      <c r="D150">
        <v>1097.4544833316399</v>
      </c>
      <c r="E150">
        <v>1549.1246185929799</v>
      </c>
      <c r="F150">
        <v>3305.9655688890398</v>
      </c>
    </row>
    <row r="151" spans="1:6" x14ac:dyDescent="0.35">
      <c r="A151" t="s">
        <v>27</v>
      </c>
      <c r="B151">
        <v>2023</v>
      </c>
      <c r="C151" t="s">
        <v>28</v>
      </c>
      <c r="D151">
        <v>1196.42991621957</v>
      </c>
      <c r="E151">
        <v>1697.98719374845</v>
      </c>
      <c r="F151">
        <v>4502.39548510861</v>
      </c>
    </row>
    <row r="152" spans="1:6" x14ac:dyDescent="0.35">
      <c r="A152" t="s">
        <v>18</v>
      </c>
      <c r="B152">
        <v>2020</v>
      </c>
      <c r="C152" t="s">
        <v>29</v>
      </c>
      <c r="D152">
        <v>416.453993438981</v>
      </c>
      <c r="E152">
        <v>584.33838865191001</v>
      </c>
      <c r="F152">
        <v>416.453993438981</v>
      </c>
    </row>
    <row r="153" spans="1:6" x14ac:dyDescent="0.35">
      <c r="A153" t="s">
        <v>18</v>
      </c>
      <c r="B153">
        <v>2021</v>
      </c>
      <c r="C153" t="s">
        <v>29</v>
      </c>
      <c r="D153">
        <v>528.73766463865002</v>
      </c>
      <c r="E153">
        <v>769.24928245845103</v>
      </c>
      <c r="F153">
        <v>945.19165807763102</v>
      </c>
    </row>
    <row r="154" spans="1:6" x14ac:dyDescent="0.35">
      <c r="A154" t="s">
        <v>18</v>
      </c>
      <c r="B154">
        <v>2022</v>
      </c>
      <c r="C154" t="s">
        <v>29</v>
      </c>
      <c r="D154">
        <v>641.50893087305997</v>
      </c>
      <c r="E154">
        <v>954.96315707890801</v>
      </c>
      <c r="F154">
        <v>1586.70058895069</v>
      </c>
    </row>
    <row r="155" spans="1:6" x14ac:dyDescent="0.35">
      <c r="A155" t="s">
        <v>18</v>
      </c>
      <c r="B155">
        <v>2023</v>
      </c>
      <c r="C155" t="s">
        <v>29</v>
      </c>
      <c r="D155">
        <v>923.218386406729</v>
      </c>
      <c r="E155">
        <v>1418.8876677395299</v>
      </c>
      <c r="F155">
        <v>2509.9189753574201</v>
      </c>
    </row>
    <row r="156" spans="1:6" x14ac:dyDescent="0.35">
      <c r="A156" t="s">
        <v>18</v>
      </c>
      <c r="B156">
        <v>2007</v>
      </c>
      <c r="C156" t="s">
        <v>19</v>
      </c>
      <c r="D156">
        <v>38.464195931130902</v>
      </c>
      <c r="E156">
        <v>108.822949333577</v>
      </c>
      <c r="F156">
        <v>38.464195931130902</v>
      </c>
    </row>
    <row r="157" spans="1:6" x14ac:dyDescent="0.35">
      <c r="A157" t="s">
        <v>18</v>
      </c>
      <c r="B157">
        <v>2008</v>
      </c>
      <c r="C157" t="s">
        <v>19</v>
      </c>
      <c r="D157">
        <v>78.983498726157407</v>
      </c>
      <c r="E157">
        <v>136.17457585691</v>
      </c>
      <c r="F157">
        <v>117.447694657288</v>
      </c>
    </row>
    <row r="158" spans="1:6" x14ac:dyDescent="0.35">
      <c r="A158" t="s">
        <v>18</v>
      </c>
      <c r="B158">
        <v>2009</v>
      </c>
      <c r="C158" t="s">
        <v>19</v>
      </c>
      <c r="D158">
        <v>128.73168427259699</v>
      </c>
      <c r="E158">
        <v>181.783983041217</v>
      </c>
      <c r="F158">
        <v>246.17937892988499</v>
      </c>
    </row>
    <row r="159" spans="1:6" x14ac:dyDescent="0.35">
      <c r="A159" t="s">
        <v>18</v>
      </c>
      <c r="B159">
        <v>2010</v>
      </c>
      <c r="C159" t="s">
        <v>19</v>
      </c>
      <c r="D159">
        <v>205.88948133682999</v>
      </c>
      <c r="E159">
        <v>270.00367589934399</v>
      </c>
      <c r="F159">
        <v>452.06886026671498</v>
      </c>
    </row>
    <row r="160" spans="1:6" x14ac:dyDescent="0.35">
      <c r="A160" t="s">
        <v>18</v>
      </c>
      <c r="B160">
        <v>2011</v>
      </c>
      <c r="C160" t="s">
        <v>19</v>
      </c>
      <c r="D160">
        <v>291.49127661694502</v>
      </c>
      <c r="E160">
        <v>357.00964564643198</v>
      </c>
      <c r="F160">
        <v>743.56013688365999</v>
      </c>
    </row>
    <row r="161" spans="1:6" x14ac:dyDescent="0.35">
      <c r="A161" t="s">
        <v>18</v>
      </c>
      <c r="B161">
        <v>2012</v>
      </c>
      <c r="C161" t="s">
        <v>19</v>
      </c>
      <c r="D161">
        <v>435.17728026370401</v>
      </c>
      <c r="E161">
        <v>518.09473094010798</v>
      </c>
      <c r="F161">
        <v>1178.73741714736</v>
      </c>
    </row>
    <row r="162" spans="1:6" x14ac:dyDescent="0.35">
      <c r="A162" t="s">
        <v>18</v>
      </c>
      <c r="B162">
        <v>2013</v>
      </c>
      <c r="C162" t="s">
        <v>19</v>
      </c>
      <c r="D162">
        <v>568.95855052270895</v>
      </c>
      <c r="E162">
        <v>650.30138929094801</v>
      </c>
      <c r="F162">
        <v>1747.6959676700701</v>
      </c>
    </row>
    <row r="163" spans="1:6" x14ac:dyDescent="0.35">
      <c r="A163" t="s">
        <v>18</v>
      </c>
      <c r="B163">
        <v>2014</v>
      </c>
      <c r="C163" t="s">
        <v>19</v>
      </c>
      <c r="D163">
        <v>783.96781522710501</v>
      </c>
      <c r="E163">
        <v>876.90085679608796</v>
      </c>
      <c r="F163">
        <v>2531.6637828971802</v>
      </c>
    </row>
    <row r="164" spans="1:6" x14ac:dyDescent="0.35">
      <c r="A164" t="s">
        <v>18</v>
      </c>
      <c r="B164">
        <v>2015</v>
      </c>
      <c r="C164" t="s">
        <v>19</v>
      </c>
      <c r="D164">
        <v>1161.8465996385</v>
      </c>
      <c r="E164">
        <v>1285.57878648111</v>
      </c>
      <c r="F164">
        <v>3693.51038253568</v>
      </c>
    </row>
    <row r="165" spans="1:6" x14ac:dyDescent="0.35">
      <c r="A165" t="s">
        <v>18</v>
      </c>
      <c r="B165">
        <v>2016</v>
      </c>
      <c r="C165" t="s">
        <v>19</v>
      </c>
      <c r="D165">
        <v>1450.5062691728499</v>
      </c>
      <c r="E165">
        <v>1570.9024314988801</v>
      </c>
      <c r="F165">
        <v>5144.0166517085199</v>
      </c>
    </row>
    <row r="166" spans="1:6" x14ac:dyDescent="0.35">
      <c r="A166" t="s">
        <v>18</v>
      </c>
      <c r="B166">
        <v>2017</v>
      </c>
      <c r="C166" t="s">
        <v>19</v>
      </c>
      <c r="D166">
        <v>93.051666893458602</v>
      </c>
      <c r="E166">
        <v>2.8798199010162202</v>
      </c>
      <c r="F166">
        <v>5237.0683186019796</v>
      </c>
    </row>
    <row r="167" spans="1:6" x14ac:dyDescent="0.35">
      <c r="A167" t="s">
        <v>18</v>
      </c>
      <c r="B167">
        <v>2018</v>
      </c>
      <c r="C167" t="s">
        <v>19</v>
      </c>
      <c r="D167">
        <v>124.927088106612</v>
      </c>
      <c r="E167">
        <v>35.5828297260068</v>
      </c>
      <c r="F167">
        <v>5361.9954067086001</v>
      </c>
    </row>
    <row r="168" spans="1:6" x14ac:dyDescent="0.35">
      <c r="A168" t="s">
        <v>18</v>
      </c>
      <c r="B168">
        <v>2019</v>
      </c>
      <c r="C168" t="s">
        <v>19</v>
      </c>
      <c r="D168">
        <v>171.51970882433801</v>
      </c>
      <c r="E168">
        <v>83.4170609932427</v>
      </c>
      <c r="F168">
        <v>5533.5151155329304</v>
      </c>
    </row>
    <row r="169" spans="1:6" x14ac:dyDescent="0.35">
      <c r="A169" t="s">
        <v>18</v>
      </c>
      <c r="B169">
        <v>2020</v>
      </c>
      <c r="C169" t="s">
        <v>19</v>
      </c>
      <c r="D169">
        <v>645.26305240916304</v>
      </c>
      <c r="E169">
        <v>584.33838865191001</v>
      </c>
      <c r="F169">
        <v>6178.7781679420996</v>
      </c>
    </row>
    <row r="170" spans="1:6" x14ac:dyDescent="0.35">
      <c r="A170" t="s">
        <v>18</v>
      </c>
      <c r="B170">
        <v>2021</v>
      </c>
      <c r="C170" t="s">
        <v>19</v>
      </c>
      <c r="D170">
        <v>828.65641960365394</v>
      </c>
      <c r="E170">
        <v>769.24928245845103</v>
      </c>
      <c r="F170">
        <v>7007.4345875457502</v>
      </c>
    </row>
    <row r="171" spans="1:6" x14ac:dyDescent="0.35">
      <c r="A171" t="s">
        <v>18</v>
      </c>
      <c r="B171">
        <v>2022</v>
      </c>
      <c r="C171" t="s">
        <v>19</v>
      </c>
      <c r="D171">
        <v>1014.73293442927</v>
      </c>
      <c r="E171">
        <v>954.96315707890801</v>
      </c>
      <c r="F171">
        <v>8022.1675219750196</v>
      </c>
    </row>
    <row r="172" spans="1:6" x14ac:dyDescent="0.35">
      <c r="A172" t="s">
        <v>18</v>
      </c>
      <c r="B172">
        <v>2023</v>
      </c>
      <c r="C172" t="s">
        <v>19</v>
      </c>
      <c r="D172">
        <v>1471.3184465286399</v>
      </c>
      <c r="E172">
        <v>1418.8876677395299</v>
      </c>
      <c r="F172">
        <v>9493.4859685036608</v>
      </c>
    </row>
    <row r="173" spans="1:6" x14ac:dyDescent="0.35">
      <c r="A173" t="s">
        <v>14</v>
      </c>
      <c r="B173">
        <v>2004</v>
      </c>
      <c r="C173" t="s">
        <v>15</v>
      </c>
      <c r="D173">
        <v>134.18881506071199</v>
      </c>
      <c r="E173">
        <v>224.264903068405</v>
      </c>
      <c r="F173">
        <v>134.18881506071199</v>
      </c>
    </row>
    <row r="174" spans="1:6" x14ac:dyDescent="0.35">
      <c r="A174" t="s">
        <v>14</v>
      </c>
      <c r="B174">
        <v>2005</v>
      </c>
      <c r="C174" t="s">
        <v>15</v>
      </c>
      <c r="D174">
        <v>397.80359839085497</v>
      </c>
      <c r="E174">
        <v>506.60736009523703</v>
      </c>
      <c r="F174">
        <v>531.99241345156702</v>
      </c>
    </row>
    <row r="175" spans="1:6" x14ac:dyDescent="0.35">
      <c r="A175" t="s">
        <v>14</v>
      </c>
      <c r="B175">
        <v>2006</v>
      </c>
      <c r="C175" t="s">
        <v>15</v>
      </c>
      <c r="D175">
        <v>789.23695938265598</v>
      </c>
      <c r="E175">
        <v>889.22481948853499</v>
      </c>
      <c r="F175">
        <v>1321.2293728342199</v>
      </c>
    </row>
    <row r="176" spans="1:6" x14ac:dyDescent="0.35">
      <c r="A176" t="s">
        <v>14</v>
      </c>
      <c r="B176">
        <v>2007</v>
      </c>
      <c r="C176" t="s">
        <v>15</v>
      </c>
      <c r="D176">
        <v>729.83111351244497</v>
      </c>
      <c r="E176">
        <v>727.48154006350899</v>
      </c>
      <c r="F176">
        <v>2051.0604863466701</v>
      </c>
    </row>
    <row r="177" spans="1:6" x14ac:dyDescent="0.35">
      <c r="A177" t="s">
        <v>14</v>
      </c>
      <c r="B177">
        <v>2008</v>
      </c>
      <c r="C177" t="s">
        <v>15</v>
      </c>
      <c r="D177">
        <v>616.16738928570601</v>
      </c>
      <c r="E177">
        <v>561.29234169847803</v>
      </c>
      <c r="F177">
        <v>2667.2278756323699</v>
      </c>
    </row>
    <row r="178" spans="1:6" x14ac:dyDescent="0.35">
      <c r="A178" t="s">
        <v>14</v>
      </c>
      <c r="B178">
        <v>2009</v>
      </c>
      <c r="C178" t="s">
        <v>15</v>
      </c>
      <c r="D178">
        <v>534.43629069876397</v>
      </c>
      <c r="E178">
        <v>456.00620793077599</v>
      </c>
      <c r="F178">
        <v>3201.6641663311402</v>
      </c>
    </row>
    <row r="179" spans="1:6" x14ac:dyDescent="0.35">
      <c r="A179" t="s">
        <v>14</v>
      </c>
      <c r="B179">
        <v>2010</v>
      </c>
      <c r="C179" t="s">
        <v>15</v>
      </c>
      <c r="D179">
        <v>478.45758651704602</v>
      </c>
      <c r="E179">
        <v>388.89783017684903</v>
      </c>
      <c r="F179">
        <v>3680.1217528481802</v>
      </c>
    </row>
    <row r="180" spans="1:6" x14ac:dyDescent="0.35">
      <c r="A180" t="s">
        <v>14</v>
      </c>
      <c r="B180">
        <v>2011</v>
      </c>
      <c r="C180" t="s">
        <v>15</v>
      </c>
      <c r="D180">
        <v>381.199573931158</v>
      </c>
      <c r="E180">
        <v>285.24452637847997</v>
      </c>
      <c r="F180">
        <v>4061.3213267793399</v>
      </c>
    </row>
    <row r="181" spans="1:6" x14ac:dyDescent="0.35">
      <c r="A181" t="s">
        <v>14</v>
      </c>
      <c r="B181">
        <v>2012</v>
      </c>
      <c r="C181" t="s">
        <v>15</v>
      </c>
      <c r="D181">
        <v>351.01044378299599</v>
      </c>
      <c r="E181">
        <v>252.50161265038</v>
      </c>
      <c r="F181">
        <v>4412.3317705623404</v>
      </c>
    </row>
    <row r="182" spans="1:6" x14ac:dyDescent="0.35">
      <c r="A182" t="s">
        <v>14</v>
      </c>
      <c r="B182">
        <v>2013</v>
      </c>
      <c r="C182" t="s">
        <v>15</v>
      </c>
      <c r="D182">
        <v>313.83457992261799</v>
      </c>
      <c r="E182">
        <v>213.90846789482799</v>
      </c>
      <c r="F182">
        <v>4726.1663504849503</v>
      </c>
    </row>
    <row r="183" spans="1:6" x14ac:dyDescent="0.35">
      <c r="A183" t="s">
        <v>14</v>
      </c>
      <c r="B183">
        <v>2014</v>
      </c>
      <c r="C183" t="s">
        <v>15</v>
      </c>
      <c r="D183">
        <v>301.55312761553802</v>
      </c>
      <c r="E183">
        <v>200.94674150423401</v>
      </c>
      <c r="F183">
        <v>5027.7194781004901</v>
      </c>
    </row>
    <row r="184" spans="1:6" x14ac:dyDescent="0.35">
      <c r="A184" t="s">
        <v>14</v>
      </c>
      <c r="B184">
        <v>2015</v>
      </c>
      <c r="C184" t="s">
        <v>15</v>
      </c>
      <c r="D184">
        <v>306.50115362304302</v>
      </c>
      <c r="E184">
        <v>205.54027869534099</v>
      </c>
      <c r="F184">
        <v>5334.2206317235396</v>
      </c>
    </row>
    <row r="185" spans="1:6" x14ac:dyDescent="0.35">
      <c r="A185" t="s">
        <v>14</v>
      </c>
      <c r="B185">
        <v>2016</v>
      </c>
      <c r="C185" t="s">
        <v>15</v>
      </c>
      <c r="D185">
        <v>253.171091668305</v>
      </c>
      <c r="E185">
        <v>151.93998723754601</v>
      </c>
      <c r="F185">
        <v>5587.3917233918401</v>
      </c>
    </row>
    <row r="186" spans="1:6" x14ac:dyDescent="0.35">
      <c r="A186" t="s">
        <v>14</v>
      </c>
      <c r="B186">
        <v>2017</v>
      </c>
      <c r="C186" t="s">
        <v>15</v>
      </c>
      <c r="D186">
        <v>218.166329224424</v>
      </c>
      <c r="E186">
        <v>116.80944513046001</v>
      </c>
      <c r="F186">
        <v>5805.5580526162603</v>
      </c>
    </row>
    <row r="187" spans="1:6" x14ac:dyDescent="0.35">
      <c r="A187" t="s">
        <v>14</v>
      </c>
      <c r="B187">
        <v>2018</v>
      </c>
      <c r="C187" t="s">
        <v>15</v>
      </c>
      <c r="D187">
        <v>210.31291517447201</v>
      </c>
      <c r="E187">
        <v>108.900092415987</v>
      </c>
      <c r="F187">
        <v>6015.87096779074</v>
      </c>
    </row>
    <row r="188" spans="1:6" x14ac:dyDescent="0.35">
      <c r="A188" t="s">
        <v>14</v>
      </c>
      <c r="B188">
        <v>2019</v>
      </c>
      <c r="C188" t="s">
        <v>15</v>
      </c>
      <c r="D188">
        <v>204.72873271554599</v>
      </c>
      <c r="E188">
        <v>103.284616949764</v>
      </c>
      <c r="F188">
        <v>6220.59970050628</v>
      </c>
    </row>
    <row r="189" spans="1:6" x14ac:dyDescent="0.35">
      <c r="A189" t="s">
        <v>14</v>
      </c>
      <c r="B189">
        <v>2020</v>
      </c>
      <c r="C189" t="s">
        <v>15</v>
      </c>
      <c r="D189">
        <v>1.07419759939151</v>
      </c>
      <c r="E189">
        <v>-100.41167317657499</v>
      </c>
      <c r="F189">
        <v>6221.6738981056697</v>
      </c>
    </row>
    <row r="190" spans="1:6" x14ac:dyDescent="0.35">
      <c r="A190" t="s">
        <v>14</v>
      </c>
      <c r="B190">
        <v>2021</v>
      </c>
      <c r="C190" t="s">
        <v>15</v>
      </c>
      <c r="D190">
        <v>189.78024901688499</v>
      </c>
      <c r="E190">
        <v>88.307673962689407</v>
      </c>
      <c r="F190">
        <v>6411.4541471225602</v>
      </c>
    </row>
    <row r="191" spans="1:6" x14ac:dyDescent="0.35">
      <c r="A191" t="s">
        <v>14</v>
      </c>
      <c r="B191">
        <v>2022</v>
      </c>
      <c r="C191" t="s">
        <v>15</v>
      </c>
      <c r="D191">
        <v>162.21670580059401</v>
      </c>
      <c r="E191">
        <v>60.737453696668403</v>
      </c>
      <c r="F191">
        <v>6573.6708529231501</v>
      </c>
    </row>
    <row r="192" spans="1:6" x14ac:dyDescent="0.35">
      <c r="A192" t="s">
        <v>14</v>
      </c>
      <c r="B192">
        <v>2023</v>
      </c>
      <c r="C192" t="s">
        <v>15</v>
      </c>
      <c r="D192">
        <v>155.606432875358</v>
      </c>
      <c r="E192">
        <v>54.124239296584399</v>
      </c>
      <c r="F192">
        <v>6729.2772857985101</v>
      </c>
    </row>
    <row r="193" spans="1:6" x14ac:dyDescent="0.35">
      <c r="A193" t="s">
        <v>22</v>
      </c>
      <c r="B193">
        <v>2008</v>
      </c>
      <c r="C193" t="s">
        <v>23</v>
      </c>
      <c r="D193">
        <v>455.92953245514599</v>
      </c>
      <c r="E193">
        <v>552.30880460864103</v>
      </c>
      <c r="F193">
        <v>455.92953245514599</v>
      </c>
    </row>
    <row r="194" spans="1:6" x14ac:dyDescent="0.35">
      <c r="A194" t="s">
        <v>22</v>
      </c>
      <c r="B194">
        <v>2009</v>
      </c>
      <c r="C194" t="s">
        <v>23</v>
      </c>
      <c r="D194">
        <v>453.54440689158298</v>
      </c>
      <c r="E194">
        <v>548.88857715945596</v>
      </c>
      <c r="F194">
        <v>909.47393934672903</v>
      </c>
    </row>
    <row r="195" spans="1:6" x14ac:dyDescent="0.35">
      <c r="A195" t="s">
        <v>22</v>
      </c>
      <c r="B195">
        <v>2010</v>
      </c>
      <c r="C195" t="s">
        <v>23</v>
      </c>
      <c r="D195">
        <v>490.11189697350602</v>
      </c>
      <c r="E195">
        <v>601.32570467870005</v>
      </c>
      <c r="F195">
        <v>1399.5858363202301</v>
      </c>
    </row>
    <row r="196" spans="1:6" x14ac:dyDescent="0.35">
      <c r="A196" t="s">
        <v>22</v>
      </c>
      <c r="B196">
        <v>2011</v>
      </c>
      <c r="C196" t="s">
        <v>23</v>
      </c>
      <c r="D196">
        <v>503.024902043537</v>
      </c>
      <c r="E196">
        <v>619.84272326534301</v>
      </c>
      <c r="F196">
        <v>1902.61073836377</v>
      </c>
    </row>
    <row r="197" spans="1:6" x14ac:dyDescent="0.35">
      <c r="A197" t="s">
        <v>22</v>
      </c>
      <c r="B197">
        <v>2012</v>
      </c>
      <c r="C197" t="s">
        <v>23</v>
      </c>
      <c r="D197">
        <v>569.23501362503202</v>
      </c>
      <c r="E197">
        <v>714.78684046573096</v>
      </c>
      <c r="F197">
        <v>2471.8457519888002</v>
      </c>
    </row>
    <row r="198" spans="1:6" x14ac:dyDescent="0.35">
      <c r="A198" t="s">
        <v>22</v>
      </c>
      <c r="B198">
        <v>2013</v>
      </c>
      <c r="C198" t="s">
        <v>23</v>
      </c>
      <c r="D198">
        <v>533.13649508457195</v>
      </c>
      <c r="E198">
        <v>663.02220975902503</v>
      </c>
      <c r="F198">
        <v>3004.9822470733802</v>
      </c>
    </row>
    <row r="199" spans="1:6" x14ac:dyDescent="0.35">
      <c r="A199" t="s">
        <v>22</v>
      </c>
      <c r="B199">
        <v>2014</v>
      </c>
      <c r="C199" t="s">
        <v>23</v>
      </c>
      <c r="D199">
        <v>569.23014068376995</v>
      </c>
      <c r="E199">
        <v>714.77985275501396</v>
      </c>
      <c r="F199">
        <v>3574.2123877571498</v>
      </c>
    </row>
    <row r="200" spans="1:6" x14ac:dyDescent="0.35">
      <c r="A200" t="s">
        <v>22</v>
      </c>
      <c r="B200">
        <v>2015</v>
      </c>
      <c r="C200" t="s">
        <v>23</v>
      </c>
      <c r="D200">
        <v>683.59884495291999</v>
      </c>
      <c r="E200">
        <v>878.78253154254799</v>
      </c>
      <c r="F200">
        <v>4257.8112327100698</v>
      </c>
    </row>
    <row r="201" spans="1:6" x14ac:dyDescent="0.35">
      <c r="A201" t="s">
        <v>22</v>
      </c>
      <c r="B201">
        <v>2016</v>
      </c>
      <c r="C201" t="s">
        <v>23</v>
      </c>
      <c r="D201">
        <v>693.67195390138704</v>
      </c>
      <c r="E201">
        <v>893.22718982406195</v>
      </c>
      <c r="F201">
        <v>4951.48318661145</v>
      </c>
    </row>
    <row r="202" spans="1:6" x14ac:dyDescent="0.35">
      <c r="A202" t="s">
        <v>22</v>
      </c>
      <c r="B202">
        <v>2017</v>
      </c>
      <c r="C202" t="s">
        <v>23</v>
      </c>
      <c r="D202">
        <v>681.02684479889399</v>
      </c>
      <c r="E202">
        <v>875.09432926905401</v>
      </c>
      <c r="F202">
        <v>5632.5100314103502</v>
      </c>
    </row>
    <row r="203" spans="1:6" x14ac:dyDescent="0.35">
      <c r="A203" t="s">
        <v>22</v>
      </c>
      <c r="B203">
        <v>2018</v>
      </c>
      <c r="C203" t="s">
        <v>23</v>
      </c>
      <c r="D203">
        <v>725.38416759659106</v>
      </c>
      <c r="E203">
        <v>938.70193774160998</v>
      </c>
      <c r="F203">
        <v>6357.8941990069397</v>
      </c>
    </row>
    <row r="204" spans="1:6" x14ac:dyDescent="0.35">
      <c r="A204" t="s">
        <v>22</v>
      </c>
      <c r="B204">
        <v>2019</v>
      </c>
      <c r="C204" t="s">
        <v>23</v>
      </c>
      <c r="D204">
        <v>828.31112355970697</v>
      </c>
      <c r="E204">
        <v>1086.2973538588799</v>
      </c>
      <c r="F204">
        <v>7186.2053225666396</v>
      </c>
    </row>
    <row r="205" spans="1:6" x14ac:dyDescent="0.35">
      <c r="A205" t="s">
        <v>22</v>
      </c>
      <c r="B205">
        <v>2020</v>
      </c>
      <c r="C205" t="s">
        <v>23</v>
      </c>
      <c r="D205">
        <v>940.55507664404604</v>
      </c>
      <c r="E205">
        <v>1247.25317740491</v>
      </c>
      <c r="F205">
        <v>8126.7603992106897</v>
      </c>
    </row>
    <row r="206" spans="1:6" x14ac:dyDescent="0.35">
      <c r="A206" t="s">
        <v>22</v>
      </c>
      <c r="B206">
        <v>2021</v>
      </c>
      <c r="C206" t="s">
        <v>23</v>
      </c>
      <c r="D206">
        <v>970.81284993837801</v>
      </c>
      <c r="E206">
        <v>1290.6422837703899</v>
      </c>
      <c r="F206">
        <v>9097.5732491490708</v>
      </c>
    </row>
    <row r="207" spans="1:6" x14ac:dyDescent="0.35">
      <c r="A207" t="s">
        <v>22</v>
      </c>
      <c r="B207">
        <v>2022</v>
      </c>
      <c r="C207" t="s">
        <v>23</v>
      </c>
      <c r="D207">
        <v>1006.9477402679501</v>
      </c>
      <c r="E207">
        <v>1342.45907097293</v>
      </c>
      <c r="F207">
        <v>10104.520989417</v>
      </c>
    </row>
    <row r="208" spans="1:6" x14ac:dyDescent="0.35">
      <c r="A208" t="s">
        <v>22</v>
      </c>
      <c r="B208">
        <v>2023</v>
      </c>
      <c r="C208" t="s">
        <v>23</v>
      </c>
      <c r="D208">
        <v>1118.93486671593</v>
      </c>
      <c r="E208">
        <v>1503.04660971048</v>
      </c>
      <c r="F208">
        <v>11223.455856132899</v>
      </c>
    </row>
  </sheetData>
  <sortState xmlns:xlrd2="http://schemas.microsoft.com/office/spreadsheetml/2017/richdata2" ref="A2:F208">
    <sortCondition ref="A2:A208"/>
    <sortCondition ref="C2:C208"/>
  </sortState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F175-DB35-471E-A951-0613F52E9758}">
  <dimension ref="A1:I523"/>
  <sheetViews>
    <sheetView workbookViewId="0">
      <selection activeCell="E2" sqref="E2"/>
    </sheetView>
  </sheetViews>
  <sheetFormatPr defaultRowHeight="14.5" x14ac:dyDescent="0.35"/>
  <cols>
    <col min="8" max="8" width="14.6328125" bestFit="1" customWidth="1"/>
  </cols>
  <sheetData>
    <row r="1" spans="1:9" x14ac:dyDescent="0.35">
      <c r="A1" t="s">
        <v>56</v>
      </c>
      <c r="B1" t="s">
        <v>57</v>
      </c>
      <c r="C1" t="s">
        <v>35</v>
      </c>
      <c r="E1" t="s">
        <v>54</v>
      </c>
      <c r="H1" s="5" t="s">
        <v>55</v>
      </c>
      <c r="I1" s="5">
        <v>2023</v>
      </c>
    </row>
    <row r="2" spans="1:9" x14ac:dyDescent="0.35">
      <c r="A2">
        <v>1990</v>
      </c>
      <c r="B2" t="s">
        <v>30</v>
      </c>
      <c r="C2">
        <v>0</v>
      </c>
      <c r="E2" s="6">
        <f>SUMIF($A$2:$A$523,$I$1,$C$2:$C$523)/1000</f>
        <v>242.88752313048346</v>
      </c>
    </row>
    <row r="3" spans="1:9" x14ac:dyDescent="0.35">
      <c r="A3">
        <v>1991</v>
      </c>
      <c r="B3" t="s">
        <v>30</v>
      </c>
      <c r="C3">
        <v>0</v>
      </c>
    </row>
    <row r="4" spans="1:9" x14ac:dyDescent="0.35">
      <c r="A4">
        <v>1992</v>
      </c>
      <c r="B4" t="s">
        <v>30</v>
      </c>
      <c r="C4">
        <v>0</v>
      </c>
    </row>
    <row r="5" spans="1:9" x14ac:dyDescent="0.35">
      <c r="A5">
        <v>1993</v>
      </c>
      <c r="B5" t="s">
        <v>30</v>
      </c>
      <c r="C5">
        <v>1</v>
      </c>
    </row>
    <row r="6" spans="1:9" x14ac:dyDescent="0.35">
      <c r="A6">
        <v>1994</v>
      </c>
      <c r="B6" t="s">
        <v>30</v>
      </c>
      <c r="C6">
        <v>1</v>
      </c>
    </row>
    <row r="7" spans="1:9" x14ac:dyDescent="0.35">
      <c r="A7">
        <v>1995</v>
      </c>
      <c r="B7" t="s">
        <v>30</v>
      </c>
      <c r="C7">
        <v>1</v>
      </c>
    </row>
    <row r="8" spans="1:9" x14ac:dyDescent="0.35">
      <c r="A8">
        <v>1996</v>
      </c>
      <c r="B8" t="s">
        <v>30</v>
      </c>
      <c r="C8">
        <v>3</v>
      </c>
    </row>
    <row r="9" spans="1:9" x14ac:dyDescent="0.35">
      <c r="A9">
        <v>1997</v>
      </c>
      <c r="B9" t="s">
        <v>30</v>
      </c>
      <c r="C9">
        <v>15</v>
      </c>
    </row>
    <row r="10" spans="1:9" x14ac:dyDescent="0.35">
      <c r="A10">
        <v>1998</v>
      </c>
      <c r="B10" t="s">
        <v>30</v>
      </c>
      <c r="C10">
        <v>34</v>
      </c>
    </row>
    <row r="11" spans="1:9" x14ac:dyDescent="0.35">
      <c r="A11">
        <v>1999</v>
      </c>
      <c r="B11" t="s">
        <v>30</v>
      </c>
      <c r="C11">
        <v>38</v>
      </c>
    </row>
    <row r="12" spans="1:9" x14ac:dyDescent="0.35">
      <c r="A12">
        <v>2000</v>
      </c>
      <c r="B12" t="s">
        <v>30</v>
      </c>
      <c r="C12">
        <v>50</v>
      </c>
    </row>
    <row r="13" spans="1:9" x14ac:dyDescent="0.35">
      <c r="A13">
        <v>2001</v>
      </c>
      <c r="B13" t="s">
        <v>30</v>
      </c>
      <c r="C13">
        <v>67</v>
      </c>
    </row>
    <row r="14" spans="1:9" x14ac:dyDescent="0.35">
      <c r="A14">
        <v>2002</v>
      </c>
      <c r="B14" t="s">
        <v>30</v>
      </c>
      <c r="C14">
        <v>109</v>
      </c>
    </row>
    <row r="15" spans="1:9" x14ac:dyDescent="0.35">
      <c r="A15">
        <v>2003</v>
      </c>
      <c r="B15" t="s">
        <v>30</v>
      </c>
      <c r="C15">
        <v>322</v>
      </c>
    </row>
    <row r="16" spans="1:9" x14ac:dyDescent="0.35">
      <c r="A16">
        <v>2004</v>
      </c>
      <c r="B16" t="s">
        <v>30</v>
      </c>
      <c r="C16">
        <v>581</v>
      </c>
    </row>
    <row r="17" spans="1:3" x14ac:dyDescent="0.35">
      <c r="A17">
        <v>2005</v>
      </c>
      <c r="B17" t="s">
        <v>30</v>
      </c>
      <c r="C17">
        <v>825.21900000000005</v>
      </c>
    </row>
    <row r="18" spans="1:3" x14ac:dyDescent="0.35">
      <c r="A18">
        <v>2006</v>
      </c>
      <c r="B18" t="s">
        <v>30</v>
      </c>
      <c r="C18">
        <v>968.26900000000001</v>
      </c>
    </row>
    <row r="19" spans="1:3" x14ac:dyDescent="0.35">
      <c r="A19">
        <v>2007</v>
      </c>
      <c r="B19" t="s">
        <v>30</v>
      </c>
      <c r="C19">
        <v>991.15899999999999</v>
      </c>
    </row>
    <row r="20" spans="1:3" x14ac:dyDescent="0.35">
      <c r="A20">
        <v>2008</v>
      </c>
      <c r="B20" t="s">
        <v>30</v>
      </c>
      <c r="C20">
        <v>991.97400000000005</v>
      </c>
    </row>
    <row r="21" spans="1:3" x14ac:dyDescent="0.35">
      <c r="A21">
        <v>2009</v>
      </c>
      <c r="B21" t="s">
        <v>30</v>
      </c>
      <c r="C21">
        <v>1000.985</v>
      </c>
    </row>
    <row r="22" spans="1:3" x14ac:dyDescent="0.35">
      <c r="A22">
        <v>2010</v>
      </c>
      <c r="B22" t="s">
        <v>30</v>
      </c>
      <c r="C22">
        <v>1015.828</v>
      </c>
    </row>
    <row r="23" spans="1:3" x14ac:dyDescent="0.35">
      <c r="A23">
        <v>2011</v>
      </c>
      <c r="B23" t="s">
        <v>30</v>
      </c>
      <c r="C23">
        <v>1105.9659999999999</v>
      </c>
    </row>
    <row r="24" spans="1:3" x14ac:dyDescent="0.35">
      <c r="A24">
        <v>2012</v>
      </c>
      <c r="B24" t="s">
        <v>30</v>
      </c>
      <c r="C24">
        <v>1337.15</v>
      </c>
    </row>
    <row r="25" spans="1:3" x14ac:dyDescent="0.35">
      <c r="A25">
        <v>2013</v>
      </c>
      <c r="B25" t="s">
        <v>30</v>
      </c>
      <c r="C25">
        <v>1674.538</v>
      </c>
    </row>
    <row r="26" spans="1:3" x14ac:dyDescent="0.35">
      <c r="A26">
        <v>2014</v>
      </c>
      <c r="B26" t="s">
        <v>30</v>
      </c>
      <c r="C26">
        <v>2110.2750000000001</v>
      </c>
    </row>
    <row r="27" spans="1:3" x14ac:dyDescent="0.35">
      <c r="A27">
        <v>2015</v>
      </c>
      <c r="B27" t="s">
        <v>30</v>
      </c>
      <c r="C27">
        <v>2488.7260000000001</v>
      </c>
    </row>
    <row r="28" spans="1:3" x14ac:dyDescent="0.35">
      <c r="A28">
        <v>2016</v>
      </c>
      <c r="B28" t="s">
        <v>30</v>
      </c>
      <c r="C28">
        <v>2729.9960000000001</v>
      </c>
    </row>
    <row r="29" spans="1:3" x14ac:dyDescent="0.35">
      <c r="A29">
        <v>2017</v>
      </c>
      <c r="B29" t="s">
        <v>30</v>
      </c>
      <c r="C29">
        <v>2886.6979999999999</v>
      </c>
    </row>
    <row r="30" spans="1:3" x14ac:dyDescent="0.35">
      <c r="A30">
        <v>2018</v>
      </c>
      <c r="B30" t="s">
        <v>30</v>
      </c>
      <c r="C30">
        <v>3132.7130000000002</v>
      </c>
    </row>
    <row r="31" spans="1:3" x14ac:dyDescent="0.35">
      <c r="A31">
        <v>2019</v>
      </c>
      <c r="B31" t="s">
        <v>30</v>
      </c>
      <c r="C31">
        <v>3224.1170000000002</v>
      </c>
    </row>
    <row r="32" spans="1:3" x14ac:dyDescent="0.35">
      <c r="A32">
        <v>2020</v>
      </c>
      <c r="B32" t="s">
        <v>30</v>
      </c>
      <c r="C32">
        <v>3225.9789999999998</v>
      </c>
    </row>
    <row r="33" spans="1:3" x14ac:dyDescent="0.35">
      <c r="A33">
        <v>2021</v>
      </c>
      <c r="B33" t="s">
        <v>30</v>
      </c>
      <c r="C33">
        <v>3422.335</v>
      </c>
    </row>
    <row r="34" spans="1:3" x14ac:dyDescent="0.35">
      <c r="A34">
        <v>2022</v>
      </c>
      <c r="B34" t="s">
        <v>30</v>
      </c>
      <c r="C34">
        <v>3633.1030000000001</v>
      </c>
    </row>
    <row r="35" spans="1:3" x14ac:dyDescent="0.35">
      <c r="A35">
        <v>2023</v>
      </c>
      <c r="B35" t="s">
        <v>30</v>
      </c>
      <c r="C35">
        <v>3896.2939999999999</v>
      </c>
    </row>
    <row r="36" spans="1:3" x14ac:dyDescent="0.35">
      <c r="A36">
        <v>1990</v>
      </c>
      <c r="B36" t="s">
        <v>31</v>
      </c>
      <c r="C36">
        <v>5</v>
      </c>
    </row>
    <row r="37" spans="1:3" x14ac:dyDescent="0.35">
      <c r="A37">
        <v>1991</v>
      </c>
      <c r="B37" t="s">
        <v>31</v>
      </c>
      <c r="C37">
        <v>5</v>
      </c>
    </row>
    <row r="38" spans="1:3" x14ac:dyDescent="0.35">
      <c r="A38">
        <v>1992</v>
      </c>
      <c r="B38" t="s">
        <v>31</v>
      </c>
      <c r="C38">
        <v>5</v>
      </c>
    </row>
    <row r="39" spans="1:3" x14ac:dyDescent="0.35">
      <c r="A39">
        <v>1993</v>
      </c>
      <c r="B39" t="s">
        <v>31</v>
      </c>
      <c r="C39">
        <v>5</v>
      </c>
    </row>
    <row r="40" spans="1:3" x14ac:dyDescent="0.35">
      <c r="A40">
        <v>1994</v>
      </c>
      <c r="B40" t="s">
        <v>31</v>
      </c>
      <c r="C40">
        <v>5</v>
      </c>
    </row>
    <row r="41" spans="1:3" x14ac:dyDescent="0.35">
      <c r="A41">
        <v>1995</v>
      </c>
      <c r="B41" t="s">
        <v>31</v>
      </c>
      <c r="C41">
        <v>5</v>
      </c>
    </row>
    <row r="42" spans="1:3" x14ac:dyDescent="0.35">
      <c r="A42">
        <v>1996</v>
      </c>
      <c r="B42" t="s">
        <v>31</v>
      </c>
      <c r="C42">
        <v>5</v>
      </c>
    </row>
    <row r="43" spans="1:3" x14ac:dyDescent="0.35">
      <c r="A43">
        <v>1997</v>
      </c>
      <c r="B43" t="s">
        <v>31</v>
      </c>
      <c r="C43">
        <v>5</v>
      </c>
    </row>
    <row r="44" spans="1:3" x14ac:dyDescent="0.35">
      <c r="A44">
        <v>1998</v>
      </c>
      <c r="B44" t="s">
        <v>31</v>
      </c>
      <c r="C44">
        <v>6</v>
      </c>
    </row>
    <row r="45" spans="1:3" x14ac:dyDescent="0.35">
      <c r="A45">
        <v>1999</v>
      </c>
      <c r="B45" t="s">
        <v>31</v>
      </c>
      <c r="C45">
        <v>10</v>
      </c>
    </row>
    <row r="46" spans="1:3" x14ac:dyDescent="0.35">
      <c r="A46">
        <v>2000</v>
      </c>
      <c r="B46" t="s">
        <v>31</v>
      </c>
      <c r="C46">
        <v>14</v>
      </c>
    </row>
    <row r="47" spans="1:3" x14ac:dyDescent="0.35">
      <c r="A47">
        <v>2001</v>
      </c>
      <c r="B47" t="s">
        <v>31</v>
      </c>
      <c r="C47">
        <v>26</v>
      </c>
    </row>
    <row r="48" spans="1:3" x14ac:dyDescent="0.35">
      <c r="A48">
        <v>2002</v>
      </c>
      <c r="B48" t="s">
        <v>31</v>
      </c>
      <c r="C48">
        <v>31</v>
      </c>
    </row>
    <row r="49" spans="1:3" x14ac:dyDescent="0.35">
      <c r="A49">
        <v>2003</v>
      </c>
      <c r="B49" t="s">
        <v>31</v>
      </c>
      <c r="C49">
        <v>67</v>
      </c>
    </row>
    <row r="50" spans="1:3" x14ac:dyDescent="0.35">
      <c r="A50">
        <v>2004</v>
      </c>
      <c r="B50" t="s">
        <v>31</v>
      </c>
      <c r="C50">
        <v>96</v>
      </c>
    </row>
    <row r="51" spans="1:3" x14ac:dyDescent="0.35">
      <c r="A51">
        <v>2005</v>
      </c>
      <c r="B51" t="s">
        <v>31</v>
      </c>
      <c r="C51">
        <v>167</v>
      </c>
    </row>
    <row r="52" spans="1:3" x14ac:dyDescent="0.35">
      <c r="A52">
        <v>2006</v>
      </c>
      <c r="B52" t="s">
        <v>31</v>
      </c>
      <c r="C52">
        <v>212</v>
      </c>
    </row>
    <row r="53" spans="1:3" x14ac:dyDescent="0.35">
      <c r="A53">
        <v>2007</v>
      </c>
      <c r="B53" t="s">
        <v>31</v>
      </c>
      <c r="C53">
        <v>276</v>
      </c>
    </row>
    <row r="54" spans="1:3" x14ac:dyDescent="0.35">
      <c r="A54">
        <v>2008</v>
      </c>
      <c r="B54" t="s">
        <v>31</v>
      </c>
      <c r="C54">
        <v>324</v>
      </c>
    </row>
    <row r="55" spans="1:3" x14ac:dyDescent="0.35">
      <c r="A55">
        <v>2009</v>
      </c>
      <c r="B55" t="s">
        <v>31</v>
      </c>
      <c r="C55">
        <v>608</v>
      </c>
    </row>
    <row r="56" spans="1:3" x14ac:dyDescent="0.35">
      <c r="A56">
        <v>2010</v>
      </c>
      <c r="B56" t="s">
        <v>31</v>
      </c>
      <c r="C56">
        <v>903.4</v>
      </c>
    </row>
    <row r="57" spans="1:3" x14ac:dyDescent="0.35">
      <c r="A57">
        <v>2011</v>
      </c>
      <c r="B57" t="s">
        <v>31</v>
      </c>
      <c r="C57">
        <v>1066.5</v>
      </c>
    </row>
    <row r="58" spans="1:3" x14ac:dyDescent="0.35">
      <c r="A58">
        <v>2012</v>
      </c>
      <c r="B58" t="s">
        <v>31</v>
      </c>
      <c r="C58">
        <v>1366.9</v>
      </c>
    </row>
    <row r="59" spans="1:3" x14ac:dyDescent="0.35">
      <c r="A59">
        <v>2013</v>
      </c>
      <c r="B59" t="s">
        <v>31</v>
      </c>
      <c r="C59">
        <v>1769</v>
      </c>
    </row>
    <row r="60" spans="1:3" x14ac:dyDescent="0.35">
      <c r="A60">
        <v>2014</v>
      </c>
      <c r="B60" t="s">
        <v>31</v>
      </c>
      <c r="C60">
        <v>1932.7</v>
      </c>
    </row>
    <row r="61" spans="1:3" x14ac:dyDescent="0.35">
      <c r="A61">
        <v>2015</v>
      </c>
      <c r="B61" t="s">
        <v>31</v>
      </c>
      <c r="C61">
        <v>2181.3000000000002</v>
      </c>
    </row>
    <row r="62" spans="1:3" x14ac:dyDescent="0.35">
      <c r="A62">
        <v>2016</v>
      </c>
      <c r="B62" t="s">
        <v>31</v>
      </c>
      <c r="C62">
        <v>2333.6999999999998</v>
      </c>
    </row>
    <row r="63" spans="1:3" x14ac:dyDescent="0.35">
      <c r="A63">
        <v>2017</v>
      </c>
      <c r="B63" t="s">
        <v>31</v>
      </c>
      <c r="C63">
        <v>2779.4</v>
      </c>
    </row>
    <row r="64" spans="1:3" x14ac:dyDescent="0.35">
      <c r="A64">
        <v>2018</v>
      </c>
      <c r="B64" t="s">
        <v>31</v>
      </c>
      <c r="C64">
        <v>3304.9</v>
      </c>
    </row>
    <row r="65" spans="1:3" x14ac:dyDescent="0.35">
      <c r="A65">
        <v>2019</v>
      </c>
      <c r="B65" t="s">
        <v>31</v>
      </c>
      <c r="C65">
        <v>3863.7</v>
      </c>
    </row>
    <row r="66" spans="1:3" x14ac:dyDescent="0.35">
      <c r="A66">
        <v>2020</v>
      </c>
      <c r="B66" t="s">
        <v>31</v>
      </c>
      <c r="C66">
        <v>4672.8</v>
      </c>
    </row>
    <row r="67" spans="1:3" x14ac:dyDescent="0.35">
      <c r="A67">
        <v>2021</v>
      </c>
      <c r="B67" t="s">
        <v>31</v>
      </c>
      <c r="C67">
        <v>4948.3999999999996</v>
      </c>
    </row>
    <row r="68" spans="1:3" x14ac:dyDescent="0.35">
      <c r="A68">
        <v>2022</v>
      </c>
      <c r="B68" t="s">
        <v>31</v>
      </c>
      <c r="C68">
        <v>5303.4</v>
      </c>
    </row>
    <row r="69" spans="1:3" x14ac:dyDescent="0.35">
      <c r="A69">
        <v>2023</v>
      </c>
      <c r="B69" t="s">
        <v>31</v>
      </c>
      <c r="C69">
        <v>5454.1</v>
      </c>
    </row>
    <row r="70" spans="1:3" x14ac:dyDescent="0.35">
      <c r="A70">
        <v>1990</v>
      </c>
      <c r="B70" t="s">
        <v>6</v>
      </c>
      <c r="C70">
        <v>48</v>
      </c>
    </row>
    <row r="71" spans="1:3" x14ac:dyDescent="0.35">
      <c r="A71">
        <v>1991</v>
      </c>
      <c r="B71" t="s">
        <v>6</v>
      </c>
      <c r="C71">
        <v>110</v>
      </c>
    </row>
    <row r="72" spans="1:3" x14ac:dyDescent="0.35">
      <c r="A72">
        <v>1992</v>
      </c>
      <c r="B72" t="s">
        <v>6</v>
      </c>
      <c r="C72">
        <v>183</v>
      </c>
    </row>
    <row r="73" spans="1:3" x14ac:dyDescent="0.35">
      <c r="A73">
        <v>1993</v>
      </c>
      <c r="B73" t="s">
        <v>6</v>
      </c>
      <c r="C73">
        <v>334</v>
      </c>
    </row>
    <row r="74" spans="1:3" x14ac:dyDescent="0.35">
      <c r="A74">
        <v>1994</v>
      </c>
      <c r="B74" t="s">
        <v>6</v>
      </c>
      <c r="C74">
        <v>643</v>
      </c>
    </row>
    <row r="75" spans="1:3" x14ac:dyDescent="0.35">
      <c r="A75">
        <v>1995</v>
      </c>
      <c r="B75" t="s">
        <v>6</v>
      </c>
      <c r="C75">
        <v>1137</v>
      </c>
    </row>
    <row r="76" spans="1:3" x14ac:dyDescent="0.35">
      <c r="A76">
        <v>1996</v>
      </c>
      <c r="B76" t="s">
        <v>6</v>
      </c>
      <c r="C76">
        <v>1564</v>
      </c>
    </row>
    <row r="77" spans="1:3" x14ac:dyDescent="0.35">
      <c r="A77">
        <v>1997</v>
      </c>
      <c r="B77" t="s">
        <v>6</v>
      </c>
      <c r="C77">
        <v>1966</v>
      </c>
    </row>
    <row r="78" spans="1:3" x14ac:dyDescent="0.35">
      <c r="A78">
        <v>1998</v>
      </c>
      <c r="B78" t="s">
        <v>6</v>
      </c>
      <c r="C78">
        <v>2672</v>
      </c>
    </row>
    <row r="79" spans="1:3" x14ac:dyDescent="0.35">
      <c r="A79">
        <v>1999</v>
      </c>
      <c r="B79" t="s">
        <v>6</v>
      </c>
      <c r="C79">
        <v>4138</v>
      </c>
    </row>
    <row r="80" spans="1:3" x14ac:dyDescent="0.35">
      <c r="A80">
        <v>2000</v>
      </c>
      <c r="B80" t="s">
        <v>6</v>
      </c>
      <c r="C80">
        <v>6095</v>
      </c>
    </row>
    <row r="81" spans="1:3" x14ac:dyDescent="0.35">
      <c r="A81">
        <v>2001</v>
      </c>
      <c r="B81" t="s">
        <v>6</v>
      </c>
      <c r="C81">
        <v>8754</v>
      </c>
    </row>
    <row r="82" spans="1:3" x14ac:dyDescent="0.35">
      <c r="A82">
        <v>2002</v>
      </c>
      <c r="B82" t="s">
        <v>6</v>
      </c>
      <c r="C82">
        <v>12001</v>
      </c>
    </row>
    <row r="83" spans="1:3" x14ac:dyDescent="0.35">
      <c r="A83">
        <v>2003</v>
      </c>
      <c r="B83" t="s">
        <v>6</v>
      </c>
      <c r="C83">
        <v>14381</v>
      </c>
    </row>
    <row r="84" spans="1:3" x14ac:dyDescent="0.35">
      <c r="A84">
        <v>2004</v>
      </c>
      <c r="B84" t="s">
        <v>6</v>
      </c>
      <c r="C84">
        <v>16419</v>
      </c>
    </row>
    <row r="85" spans="1:3" x14ac:dyDescent="0.35">
      <c r="A85">
        <v>2005</v>
      </c>
      <c r="B85" t="s">
        <v>6</v>
      </c>
      <c r="C85">
        <v>18248</v>
      </c>
    </row>
    <row r="86" spans="1:3" x14ac:dyDescent="0.35">
      <c r="A86">
        <v>2006</v>
      </c>
      <c r="B86" t="s">
        <v>6</v>
      </c>
      <c r="C86">
        <v>20474</v>
      </c>
    </row>
    <row r="87" spans="1:3" x14ac:dyDescent="0.35">
      <c r="A87">
        <v>2007</v>
      </c>
      <c r="B87" t="s">
        <v>6</v>
      </c>
      <c r="C87">
        <v>22116</v>
      </c>
    </row>
    <row r="88" spans="1:3" x14ac:dyDescent="0.35">
      <c r="A88">
        <v>2008</v>
      </c>
      <c r="B88" t="s">
        <v>6</v>
      </c>
      <c r="C88">
        <v>22794</v>
      </c>
    </row>
    <row r="89" spans="1:3" x14ac:dyDescent="0.35">
      <c r="A89">
        <v>2009</v>
      </c>
      <c r="B89" t="s">
        <v>6</v>
      </c>
      <c r="C89">
        <v>25732</v>
      </c>
    </row>
    <row r="90" spans="1:3" x14ac:dyDescent="0.35">
      <c r="A90">
        <v>2010</v>
      </c>
      <c r="B90" t="s">
        <v>6</v>
      </c>
      <c r="C90">
        <v>26903</v>
      </c>
    </row>
    <row r="91" spans="1:3" x14ac:dyDescent="0.35">
      <c r="A91">
        <v>2011</v>
      </c>
      <c r="B91" t="s">
        <v>6</v>
      </c>
      <c r="C91">
        <v>28712</v>
      </c>
    </row>
    <row r="92" spans="1:3" x14ac:dyDescent="0.35">
      <c r="A92">
        <v>2012</v>
      </c>
      <c r="B92" t="s">
        <v>6</v>
      </c>
      <c r="C92">
        <v>30979</v>
      </c>
    </row>
    <row r="93" spans="1:3" x14ac:dyDescent="0.35">
      <c r="A93">
        <v>2013</v>
      </c>
      <c r="B93" t="s">
        <v>6</v>
      </c>
      <c r="C93">
        <v>33477</v>
      </c>
    </row>
    <row r="94" spans="1:3" x14ac:dyDescent="0.35">
      <c r="A94">
        <v>2014</v>
      </c>
      <c r="B94" t="s">
        <v>6</v>
      </c>
      <c r="C94">
        <v>38614</v>
      </c>
    </row>
    <row r="95" spans="1:3" x14ac:dyDescent="0.35">
      <c r="A95">
        <v>2015</v>
      </c>
      <c r="B95" t="s">
        <v>6</v>
      </c>
      <c r="C95">
        <v>44580</v>
      </c>
    </row>
    <row r="96" spans="1:3" x14ac:dyDescent="0.35">
      <c r="A96">
        <v>2016</v>
      </c>
      <c r="B96" t="s">
        <v>6</v>
      </c>
      <c r="C96">
        <v>49435</v>
      </c>
    </row>
    <row r="97" spans="1:3" x14ac:dyDescent="0.35">
      <c r="A97">
        <v>2017</v>
      </c>
      <c r="B97" t="s">
        <v>6</v>
      </c>
      <c r="C97">
        <v>55580</v>
      </c>
    </row>
    <row r="98" spans="1:3" x14ac:dyDescent="0.35">
      <c r="A98">
        <v>2018</v>
      </c>
      <c r="B98" t="s">
        <v>6</v>
      </c>
      <c r="C98">
        <v>58721</v>
      </c>
    </row>
    <row r="99" spans="1:3" x14ac:dyDescent="0.35">
      <c r="A99">
        <v>2019</v>
      </c>
      <c r="B99" t="s">
        <v>6</v>
      </c>
      <c r="C99">
        <v>60742</v>
      </c>
    </row>
    <row r="100" spans="1:3" x14ac:dyDescent="0.35">
      <c r="A100">
        <v>2020</v>
      </c>
      <c r="B100" t="s">
        <v>6</v>
      </c>
      <c r="C100">
        <v>62201</v>
      </c>
    </row>
    <row r="101" spans="1:3" x14ac:dyDescent="0.35">
      <c r="A101">
        <v>2021</v>
      </c>
      <c r="B101" t="s">
        <v>6</v>
      </c>
      <c r="C101">
        <v>63711</v>
      </c>
    </row>
    <row r="102" spans="1:3" x14ac:dyDescent="0.35">
      <c r="A102">
        <v>2022</v>
      </c>
      <c r="B102" t="s">
        <v>6</v>
      </c>
      <c r="C102">
        <v>66202</v>
      </c>
    </row>
    <row r="103" spans="1:3" x14ac:dyDescent="0.35">
      <c r="A103">
        <v>2023</v>
      </c>
      <c r="B103" t="s">
        <v>6</v>
      </c>
      <c r="C103">
        <v>69486</v>
      </c>
    </row>
    <row r="104" spans="1:3" x14ac:dyDescent="0.35">
      <c r="A104">
        <v>1990</v>
      </c>
      <c r="B104" t="s">
        <v>20</v>
      </c>
      <c r="C104">
        <v>325.98099999999999</v>
      </c>
    </row>
    <row r="105" spans="1:3" x14ac:dyDescent="0.35">
      <c r="A105">
        <v>1991</v>
      </c>
      <c r="B105" t="s">
        <v>20</v>
      </c>
      <c r="C105">
        <v>392.85899999999998</v>
      </c>
    </row>
    <row r="106" spans="1:3" x14ac:dyDescent="0.35">
      <c r="A106">
        <v>1992</v>
      </c>
      <c r="B106" t="s">
        <v>20</v>
      </c>
      <c r="C106">
        <v>435.94900000000001</v>
      </c>
    </row>
    <row r="107" spans="1:3" x14ac:dyDescent="0.35">
      <c r="A107">
        <v>1993</v>
      </c>
      <c r="B107" t="s">
        <v>20</v>
      </c>
      <c r="C107">
        <v>468.09899999999999</v>
      </c>
    </row>
    <row r="108" spans="1:3" x14ac:dyDescent="0.35">
      <c r="A108">
        <v>1994</v>
      </c>
      <c r="B108" t="s">
        <v>20</v>
      </c>
      <c r="C108">
        <v>521.23699999999997</v>
      </c>
    </row>
    <row r="109" spans="1:3" x14ac:dyDescent="0.35">
      <c r="A109">
        <v>1995</v>
      </c>
      <c r="B109" t="s">
        <v>20</v>
      </c>
      <c r="C109">
        <v>599.49900000000002</v>
      </c>
    </row>
    <row r="110" spans="1:3" x14ac:dyDescent="0.35">
      <c r="A110">
        <v>1996</v>
      </c>
      <c r="B110" t="s">
        <v>20</v>
      </c>
      <c r="C110">
        <v>814.221</v>
      </c>
    </row>
    <row r="111" spans="1:3" x14ac:dyDescent="0.35">
      <c r="A111">
        <v>1997</v>
      </c>
      <c r="B111" t="s">
        <v>20</v>
      </c>
      <c r="C111">
        <v>1123.347</v>
      </c>
    </row>
    <row r="112" spans="1:3" x14ac:dyDescent="0.35">
      <c r="A112">
        <v>1998</v>
      </c>
      <c r="B112" t="s">
        <v>20</v>
      </c>
      <c r="C112">
        <v>1438.482</v>
      </c>
    </row>
    <row r="113" spans="1:3" x14ac:dyDescent="0.35">
      <c r="A113">
        <v>1999</v>
      </c>
      <c r="B113" t="s">
        <v>20</v>
      </c>
      <c r="C113">
        <v>1753.4449999999999</v>
      </c>
    </row>
    <row r="114" spans="1:3" x14ac:dyDescent="0.35">
      <c r="A114">
        <v>2000</v>
      </c>
      <c r="B114" t="s">
        <v>20</v>
      </c>
      <c r="C114">
        <v>2390.0149999999999</v>
      </c>
    </row>
    <row r="115" spans="1:3" x14ac:dyDescent="0.35">
      <c r="A115">
        <v>2001</v>
      </c>
      <c r="B115" t="s">
        <v>20</v>
      </c>
      <c r="C115">
        <v>2497.1529999999998</v>
      </c>
    </row>
    <row r="116" spans="1:3" x14ac:dyDescent="0.35">
      <c r="A116">
        <v>2002</v>
      </c>
      <c r="B116" t="s">
        <v>20</v>
      </c>
      <c r="C116">
        <v>2894.5309999999999</v>
      </c>
    </row>
    <row r="117" spans="1:3" x14ac:dyDescent="0.35">
      <c r="A117">
        <v>2003</v>
      </c>
      <c r="B117" t="s">
        <v>20</v>
      </c>
      <c r="C117">
        <v>3119.9160000000002</v>
      </c>
    </row>
    <row r="118" spans="1:3" x14ac:dyDescent="0.35">
      <c r="A118">
        <v>2004</v>
      </c>
      <c r="B118" t="s">
        <v>20</v>
      </c>
      <c r="C118">
        <v>3123.712</v>
      </c>
    </row>
    <row r="119" spans="1:3" x14ac:dyDescent="0.35">
      <c r="A119">
        <v>2005</v>
      </c>
      <c r="B119" t="s">
        <v>20</v>
      </c>
      <c r="C119">
        <v>3127.8359999999998</v>
      </c>
    </row>
    <row r="120" spans="1:3" x14ac:dyDescent="0.35">
      <c r="A120">
        <v>2006</v>
      </c>
      <c r="B120" t="s">
        <v>20</v>
      </c>
      <c r="C120">
        <v>3135.6959999999999</v>
      </c>
    </row>
    <row r="121" spans="1:3" x14ac:dyDescent="0.35">
      <c r="A121">
        <v>2007</v>
      </c>
      <c r="B121" t="s">
        <v>20</v>
      </c>
      <c r="C121">
        <v>3124.2139999999999</v>
      </c>
    </row>
    <row r="122" spans="1:3" x14ac:dyDescent="0.35">
      <c r="A122">
        <v>2008</v>
      </c>
      <c r="B122" t="s">
        <v>20</v>
      </c>
      <c r="C122">
        <v>3162.87</v>
      </c>
    </row>
    <row r="123" spans="1:3" x14ac:dyDescent="0.35">
      <c r="A123">
        <v>2009</v>
      </c>
      <c r="B123" t="s">
        <v>20</v>
      </c>
      <c r="C123">
        <v>3482.087</v>
      </c>
    </row>
    <row r="124" spans="1:3" x14ac:dyDescent="0.35">
      <c r="A124">
        <v>2010</v>
      </c>
      <c r="B124" t="s">
        <v>20</v>
      </c>
      <c r="C124">
        <v>3801.8290000000002</v>
      </c>
    </row>
    <row r="125" spans="1:3" x14ac:dyDescent="0.35">
      <c r="A125">
        <v>2011</v>
      </c>
      <c r="B125" t="s">
        <v>20</v>
      </c>
      <c r="C125">
        <v>3951.9810000000002</v>
      </c>
    </row>
    <row r="126" spans="1:3" x14ac:dyDescent="0.35">
      <c r="A126">
        <v>2012</v>
      </c>
      <c r="B126" t="s">
        <v>20</v>
      </c>
      <c r="C126">
        <v>4161.9409999999998</v>
      </c>
    </row>
    <row r="127" spans="1:3" x14ac:dyDescent="0.35">
      <c r="A127">
        <v>2013</v>
      </c>
      <c r="B127" t="s">
        <v>20</v>
      </c>
      <c r="C127">
        <v>4818.9229999999998</v>
      </c>
    </row>
    <row r="128" spans="1:3" x14ac:dyDescent="0.35">
      <c r="A128">
        <v>2014</v>
      </c>
      <c r="B128" t="s">
        <v>20</v>
      </c>
      <c r="C128">
        <v>4886.4030000000002</v>
      </c>
    </row>
    <row r="129" spans="1:3" x14ac:dyDescent="0.35">
      <c r="A129">
        <v>2015</v>
      </c>
      <c r="B129" t="s">
        <v>20</v>
      </c>
      <c r="C129">
        <v>5076.9660000000003</v>
      </c>
    </row>
    <row r="130" spans="1:3" x14ac:dyDescent="0.35">
      <c r="A130">
        <v>2016</v>
      </c>
      <c r="B130" t="s">
        <v>20</v>
      </c>
      <c r="C130">
        <v>5245.1419999999998</v>
      </c>
    </row>
    <row r="131" spans="1:3" x14ac:dyDescent="0.35">
      <c r="A131">
        <v>2017</v>
      </c>
      <c r="B131" t="s">
        <v>20</v>
      </c>
      <c r="C131">
        <v>5488.9489999999996</v>
      </c>
    </row>
    <row r="132" spans="1:3" x14ac:dyDescent="0.35">
      <c r="A132">
        <v>2018</v>
      </c>
      <c r="B132" t="s">
        <v>20</v>
      </c>
      <c r="C132">
        <v>6122.66</v>
      </c>
    </row>
    <row r="133" spans="1:3" x14ac:dyDescent="0.35">
      <c r="A133">
        <v>2019</v>
      </c>
      <c r="B133" t="s">
        <v>20</v>
      </c>
      <c r="C133">
        <v>6110.5429999999997</v>
      </c>
    </row>
    <row r="134" spans="1:3" x14ac:dyDescent="0.35">
      <c r="A134">
        <v>2020</v>
      </c>
      <c r="B134" t="s">
        <v>20</v>
      </c>
      <c r="C134">
        <v>6258.5370000000003</v>
      </c>
    </row>
    <row r="135" spans="1:3" x14ac:dyDescent="0.35">
      <c r="A135">
        <v>2021</v>
      </c>
      <c r="B135" t="s">
        <v>20</v>
      </c>
      <c r="C135">
        <v>7003.9480000000003</v>
      </c>
    </row>
    <row r="136" spans="1:3" x14ac:dyDescent="0.35">
      <c r="A136">
        <v>2022</v>
      </c>
      <c r="B136" t="s">
        <v>20</v>
      </c>
      <c r="C136">
        <v>7083.8180000000002</v>
      </c>
    </row>
    <row r="137" spans="1:3" x14ac:dyDescent="0.35">
      <c r="A137">
        <v>2023</v>
      </c>
      <c r="B137" t="s">
        <v>20</v>
      </c>
      <c r="C137">
        <v>7277.0060000000003</v>
      </c>
    </row>
    <row r="138" spans="1:3" x14ac:dyDescent="0.35">
      <c r="A138">
        <v>1990</v>
      </c>
      <c r="B138" t="s">
        <v>8</v>
      </c>
      <c r="C138">
        <v>2</v>
      </c>
    </row>
    <row r="139" spans="1:3" x14ac:dyDescent="0.35">
      <c r="A139">
        <v>1991</v>
      </c>
      <c r="B139" t="s">
        <v>8</v>
      </c>
      <c r="C139">
        <v>3</v>
      </c>
    </row>
    <row r="140" spans="1:3" x14ac:dyDescent="0.35">
      <c r="A140">
        <v>1992</v>
      </c>
      <c r="B140" t="s">
        <v>8</v>
      </c>
      <c r="C140">
        <v>33</v>
      </c>
    </row>
    <row r="141" spans="1:3" x14ac:dyDescent="0.35">
      <c r="A141">
        <v>1993</v>
      </c>
      <c r="B141" t="s">
        <v>8</v>
      </c>
      <c r="C141">
        <v>34</v>
      </c>
    </row>
    <row r="142" spans="1:3" x14ac:dyDescent="0.35">
      <c r="A142">
        <v>1994</v>
      </c>
      <c r="B142" t="s">
        <v>8</v>
      </c>
      <c r="C142">
        <v>41</v>
      </c>
    </row>
    <row r="143" spans="1:3" x14ac:dyDescent="0.35">
      <c r="A143">
        <v>1995</v>
      </c>
      <c r="B143" t="s">
        <v>8</v>
      </c>
      <c r="C143">
        <v>98</v>
      </c>
    </row>
    <row r="144" spans="1:3" x14ac:dyDescent="0.35">
      <c r="A144">
        <v>1996</v>
      </c>
      <c r="B144" t="s">
        <v>8</v>
      </c>
      <c r="C144">
        <v>227</v>
      </c>
    </row>
    <row r="145" spans="1:3" x14ac:dyDescent="0.35">
      <c r="A145">
        <v>1997</v>
      </c>
      <c r="B145" t="s">
        <v>8</v>
      </c>
      <c r="C145">
        <v>420</v>
      </c>
    </row>
    <row r="146" spans="1:3" x14ac:dyDescent="0.35">
      <c r="A146">
        <v>1998</v>
      </c>
      <c r="B146" t="s">
        <v>8</v>
      </c>
      <c r="C146">
        <v>848</v>
      </c>
    </row>
    <row r="147" spans="1:3" x14ac:dyDescent="0.35">
      <c r="A147">
        <v>1999</v>
      </c>
      <c r="B147" t="s">
        <v>8</v>
      </c>
      <c r="C147">
        <v>1613</v>
      </c>
    </row>
    <row r="148" spans="1:3" x14ac:dyDescent="0.35">
      <c r="A148">
        <v>2000</v>
      </c>
      <c r="B148" t="s">
        <v>8</v>
      </c>
      <c r="C148">
        <v>2206</v>
      </c>
    </row>
    <row r="149" spans="1:3" x14ac:dyDescent="0.35">
      <c r="A149">
        <v>2001</v>
      </c>
      <c r="B149" t="s">
        <v>8</v>
      </c>
      <c r="C149">
        <v>3397</v>
      </c>
    </row>
    <row r="150" spans="1:3" x14ac:dyDescent="0.35">
      <c r="A150">
        <v>2002</v>
      </c>
      <c r="B150" t="s">
        <v>8</v>
      </c>
      <c r="C150">
        <v>4891</v>
      </c>
    </row>
    <row r="151" spans="1:3" x14ac:dyDescent="0.35">
      <c r="A151">
        <v>2003</v>
      </c>
      <c r="B151" t="s">
        <v>8</v>
      </c>
      <c r="C151">
        <v>5945</v>
      </c>
    </row>
    <row r="152" spans="1:3" x14ac:dyDescent="0.35">
      <c r="A152">
        <v>2004</v>
      </c>
      <c r="B152" t="s">
        <v>8</v>
      </c>
      <c r="C152">
        <v>8317</v>
      </c>
    </row>
    <row r="153" spans="1:3" x14ac:dyDescent="0.35">
      <c r="A153">
        <v>2005</v>
      </c>
      <c r="B153" t="s">
        <v>8</v>
      </c>
      <c r="C153">
        <v>9918</v>
      </c>
    </row>
    <row r="154" spans="1:3" x14ac:dyDescent="0.35">
      <c r="A154">
        <v>2006</v>
      </c>
      <c r="B154" t="s">
        <v>8</v>
      </c>
      <c r="C154">
        <v>11722</v>
      </c>
    </row>
    <row r="155" spans="1:3" x14ac:dyDescent="0.35">
      <c r="A155">
        <v>2007</v>
      </c>
      <c r="B155" t="s">
        <v>8</v>
      </c>
      <c r="C155">
        <v>14820</v>
      </c>
    </row>
    <row r="156" spans="1:3" x14ac:dyDescent="0.35">
      <c r="A156">
        <v>2008</v>
      </c>
      <c r="B156" t="s">
        <v>8</v>
      </c>
      <c r="C156">
        <v>16555</v>
      </c>
    </row>
    <row r="157" spans="1:3" x14ac:dyDescent="0.35">
      <c r="A157">
        <v>2009</v>
      </c>
      <c r="B157" t="s">
        <v>8</v>
      </c>
      <c r="C157">
        <v>19176</v>
      </c>
    </row>
    <row r="158" spans="1:3" x14ac:dyDescent="0.35">
      <c r="A158">
        <v>2010</v>
      </c>
      <c r="B158" t="s">
        <v>8</v>
      </c>
      <c r="C158">
        <v>20693</v>
      </c>
    </row>
    <row r="159" spans="1:3" x14ac:dyDescent="0.35">
      <c r="A159">
        <v>2011</v>
      </c>
      <c r="B159" t="s">
        <v>8</v>
      </c>
      <c r="C159">
        <v>21529</v>
      </c>
    </row>
    <row r="160" spans="1:3" x14ac:dyDescent="0.35">
      <c r="A160">
        <v>2012</v>
      </c>
      <c r="B160" t="s">
        <v>8</v>
      </c>
      <c r="C160">
        <v>22789</v>
      </c>
    </row>
    <row r="161" spans="1:3" x14ac:dyDescent="0.35">
      <c r="A161">
        <v>2013</v>
      </c>
      <c r="B161" t="s">
        <v>8</v>
      </c>
      <c r="C161">
        <v>22958</v>
      </c>
    </row>
    <row r="162" spans="1:3" x14ac:dyDescent="0.35">
      <c r="A162">
        <v>2014</v>
      </c>
      <c r="B162" t="s">
        <v>8</v>
      </c>
      <c r="C162">
        <v>22925</v>
      </c>
    </row>
    <row r="163" spans="1:3" x14ac:dyDescent="0.35">
      <c r="A163">
        <v>2015</v>
      </c>
      <c r="B163" t="s">
        <v>8</v>
      </c>
      <c r="C163">
        <v>22943</v>
      </c>
    </row>
    <row r="164" spans="1:3" x14ac:dyDescent="0.35">
      <c r="A164">
        <v>2016</v>
      </c>
      <c r="B164" t="s">
        <v>8</v>
      </c>
      <c r="C164">
        <v>22990</v>
      </c>
    </row>
    <row r="165" spans="1:3" x14ac:dyDescent="0.35">
      <c r="A165">
        <v>2017</v>
      </c>
      <c r="B165" t="s">
        <v>8</v>
      </c>
      <c r="C165">
        <v>23124.478999999999</v>
      </c>
    </row>
    <row r="166" spans="1:3" x14ac:dyDescent="0.35">
      <c r="A166">
        <v>2018</v>
      </c>
      <c r="B166" t="s">
        <v>8</v>
      </c>
      <c r="C166">
        <v>23405.055</v>
      </c>
    </row>
    <row r="167" spans="1:3" x14ac:dyDescent="0.35">
      <c r="A167">
        <v>2019</v>
      </c>
      <c r="B167" t="s">
        <v>8</v>
      </c>
      <c r="C167">
        <v>25590.076000000001</v>
      </c>
    </row>
    <row r="168" spans="1:3" x14ac:dyDescent="0.35">
      <c r="A168">
        <v>2020</v>
      </c>
      <c r="B168" t="s">
        <v>8</v>
      </c>
      <c r="C168">
        <v>26819.19</v>
      </c>
    </row>
    <row r="169" spans="1:3" x14ac:dyDescent="0.35">
      <c r="A169">
        <v>2021</v>
      </c>
      <c r="B169" t="s">
        <v>8</v>
      </c>
      <c r="C169">
        <v>27907.651000000002</v>
      </c>
    </row>
    <row r="170" spans="1:3" x14ac:dyDescent="0.35">
      <c r="A170">
        <v>2022</v>
      </c>
      <c r="B170" t="s">
        <v>8</v>
      </c>
      <c r="C170">
        <v>30113.763999999999</v>
      </c>
    </row>
    <row r="171" spans="1:3" x14ac:dyDescent="0.35">
      <c r="A171">
        <v>2023</v>
      </c>
      <c r="B171" t="s">
        <v>8</v>
      </c>
      <c r="C171">
        <v>30868.494999999999</v>
      </c>
    </row>
    <row r="172" spans="1:3" x14ac:dyDescent="0.35">
      <c r="A172">
        <v>1990</v>
      </c>
      <c r="B172" t="s">
        <v>25</v>
      </c>
      <c r="C172">
        <v>0</v>
      </c>
    </row>
    <row r="173" spans="1:3" x14ac:dyDescent="0.35">
      <c r="A173">
        <v>1991</v>
      </c>
      <c r="B173" t="s">
        <v>25</v>
      </c>
      <c r="C173">
        <v>1</v>
      </c>
    </row>
    <row r="174" spans="1:3" x14ac:dyDescent="0.35">
      <c r="A174">
        <v>1992</v>
      </c>
      <c r="B174" t="s">
        <v>25</v>
      </c>
      <c r="C174">
        <v>1</v>
      </c>
    </row>
    <row r="175" spans="1:3" x14ac:dyDescent="0.35">
      <c r="A175">
        <v>1993</v>
      </c>
      <c r="B175" t="s">
        <v>25</v>
      </c>
      <c r="C175">
        <v>5</v>
      </c>
    </row>
    <row r="176" spans="1:3" x14ac:dyDescent="0.35">
      <c r="A176">
        <v>1994</v>
      </c>
      <c r="B176" t="s">
        <v>25</v>
      </c>
      <c r="C176">
        <v>5</v>
      </c>
    </row>
    <row r="177" spans="1:3" x14ac:dyDescent="0.35">
      <c r="A177">
        <v>1995</v>
      </c>
      <c r="B177" t="s">
        <v>25</v>
      </c>
      <c r="C177">
        <v>6</v>
      </c>
    </row>
    <row r="178" spans="1:3" x14ac:dyDescent="0.35">
      <c r="A178">
        <v>1996</v>
      </c>
      <c r="B178" t="s">
        <v>25</v>
      </c>
      <c r="C178">
        <v>7</v>
      </c>
    </row>
    <row r="179" spans="1:3" x14ac:dyDescent="0.35">
      <c r="A179">
        <v>1997</v>
      </c>
      <c r="B179" t="s">
        <v>25</v>
      </c>
      <c r="C179">
        <v>12</v>
      </c>
    </row>
    <row r="180" spans="1:3" x14ac:dyDescent="0.35">
      <c r="A180">
        <v>1998</v>
      </c>
      <c r="B180" t="s">
        <v>25</v>
      </c>
      <c r="C180">
        <v>17</v>
      </c>
    </row>
    <row r="181" spans="1:3" x14ac:dyDescent="0.35">
      <c r="A181">
        <v>1999</v>
      </c>
      <c r="B181" t="s">
        <v>25</v>
      </c>
      <c r="C181">
        <v>38</v>
      </c>
    </row>
    <row r="182" spans="1:3" x14ac:dyDescent="0.35">
      <c r="A182">
        <v>2000</v>
      </c>
      <c r="B182" t="s">
        <v>25</v>
      </c>
      <c r="C182">
        <v>38</v>
      </c>
    </row>
    <row r="183" spans="1:3" x14ac:dyDescent="0.35">
      <c r="A183">
        <v>2001</v>
      </c>
      <c r="B183" t="s">
        <v>25</v>
      </c>
      <c r="C183">
        <v>39</v>
      </c>
    </row>
    <row r="184" spans="1:3" x14ac:dyDescent="0.35">
      <c r="A184">
        <v>2002</v>
      </c>
      <c r="B184" t="s">
        <v>25</v>
      </c>
      <c r="C184">
        <v>43</v>
      </c>
    </row>
    <row r="185" spans="1:3" x14ac:dyDescent="0.35">
      <c r="A185">
        <v>2003</v>
      </c>
      <c r="B185" t="s">
        <v>25</v>
      </c>
      <c r="C185">
        <v>52</v>
      </c>
    </row>
    <row r="186" spans="1:3" x14ac:dyDescent="0.35">
      <c r="A186">
        <v>2004</v>
      </c>
      <c r="B186" t="s">
        <v>25</v>
      </c>
      <c r="C186">
        <v>82</v>
      </c>
    </row>
    <row r="187" spans="1:3" x14ac:dyDescent="0.35">
      <c r="A187">
        <v>2005</v>
      </c>
      <c r="B187" t="s">
        <v>25</v>
      </c>
      <c r="C187">
        <v>82</v>
      </c>
    </row>
    <row r="188" spans="1:3" x14ac:dyDescent="0.35">
      <c r="A188">
        <v>2006</v>
      </c>
      <c r="B188" t="s">
        <v>25</v>
      </c>
      <c r="C188">
        <v>86</v>
      </c>
    </row>
    <row r="189" spans="1:3" x14ac:dyDescent="0.35">
      <c r="A189">
        <v>2007</v>
      </c>
      <c r="B189" t="s">
        <v>25</v>
      </c>
      <c r="C189">
        <v>110</v>
      </c>
    </row>
    <row r="190" spans="1:3" x14ac:dyDescent="0.35">
      <c r="A190">
        <v>2008</v>
      </c>
      <c r="B190" t="s">
        <v>25</v>
      </c>
      <c r="C190">
        <v>143</v>
      </c>
    </row>
    <row r="191" spans="1:3" x14ac:dyDescent="0.35">
      <c r="A191">
        <v>2009</v>
      </c>
      <c r="B191" t="s">
        <v>25</v>
      </c>
      <c r="C191">
        <v>147</v>
      </c>
    </row>
    <row r="192" spans="1:3" x14ac:dyDescent="0.35">
      <c r="A192">
        <v>2010</v>
      </c>
      <c r="B192" t="s">
        <v>25</v>
      </c>
      <c r="C192">
        <v>197</v>
      </c>
    </row>
    <row r="193" spans="1:3" x14ac:dyDescent="0.35">
      <c r="A193">
        <v>2011</v>
      </c>
      <c r="B193" t="s">
        <v>25</v>
      </c>
      <c r="C193">
        <v>199</v>
      </c>
    </row>
    <row r="194" spans="1:3" x14ac:dyDescent="0.35">
      <c r="A194">
        <v>2012</v>
      </c>
      <c r="B194" t="s">
        <v>25</v>
      </c>
      <c r="C194">
        <v>257</v>
      </c>
    </row>
    <row r="195" spans="1:3" x14ac:dyDescent="0.35">
      <c r="A195">
        <v>2013</v>
      </c>
      <c r="B195" t="s">
        <v>25</v>
      </c>
      <c r="C195">
        <v>447</v>
      </c>
    </row>
    <row r="196" spans="1:3" x14ac:dyDescent="0.35">
      <c r="A196">
        <v>2014</v>
      </c>
      <c r="B196" t="s">
        <v>25</v>
      </c>
      <c r="C196">
        <v>627</v>
      </c>
    </row>
    <row r="197" spans="1:3" x14ac:dyDescent="0.35">
      <c r="A197">
        <v>2015</v>
      </c>
      <c r="B197" t="s">
        <v>25</v>
      </c>
      <c r="C197">
        <v>1005</v>
      </c>
    </row>
    <row r="198" spans="1:3" x14ac:dyDescent="0.35">
      <c r="A198">
        <v>2016</v>
      </c>
      <c r="B198" t="s">
        <v>25</v>
      </c>
      <c r="C198">
        <v>1565</v>
      </c>
    </row>
    <row r="199" spans="1:3" x14ac:dyDescent="0.35">
      <c r="A199">
        <v>2017</v>
      </c>
      <c r="B199" t="s">
        <v>25</v>
      </c>
      <c r="C199">
        <v>2044</v>
      </c>
    </row>
    <row r="200" spans="1:3" x14ac:dyDescent="0.35">
      <c r="A200">
        <v>2018</v>
      </c>
      <c r="B200" t="s">
        <v>25</v>
      </c>
      <c r="C200">
        <v>2041</v>
      </c>
    </row>
    <row r="201" spans="1:3" x14ac:dyDescent="0.35">
      <c r="A201">
        <v>2019</v>
      </c>
      <c r="B201" t="s">
        <v>25</v>
      </c>
      <c r="C201">
        <v>2284</v>
      </c>
    </row>
    <row r="202" spans="1:3" x14ac:dyDescent="0.35">
      <c r="A202">
        <v>2020</v>
      </c>
      <c r="B202" t="s">
        <v>25</v>
      </c>
      <c r="C202">
        <v>2586</v>
      </c>
    </row>
    <row r="203" spans="1:3" x14ac:dyDescent="0.35">
      <c r="A203">
        <v>2021</v>
      </c>
      <c r="B203" t="s">
        <v>25</v>
      </c>
      <c r="C203">
        <v>3257</v>
      </c>
    </row>
    <row r="204" spans="1:3" x14ac:dyDescent="0.35">
      <c r="A204">
        <v>2022</v>
      </c>
      <c r="B204" t="s">
        <v>25</v>
      </c>
      <c r="C204">
        <v>5677</v>
      </c>
    </row>
    <row r="205" spans="1:3" x14ac:dyDescent="0.35">
      <c r="A205">
        <v>2023</v>
      </c>
      <c r="B205" t="s">
        <v>25</v>
      </c>
      <c r="C205">
        <v>6946</v>
      </c>
    </row>
    <row r="206" spans="1:3" x14ac:dyDescent="0.35">
      <c r="A206">
        <v>1990</v>
      </c>
      <c r="B206" t="s">
        <v>16</v>
      </c>
      <c r="C206">
        <v>0</v>
      </c>
    </row>
    <row r="207" spans="1:3" x14ac:dyDescent="0.35">
      <c r="A207">
        <v>1991</v>
      </c>
      <c r="B207" t="s">
        <v>16</v>
      </c>
      <c r="C207">
        <v>1</v>
      </c>
    </row>
    <row r="208" spans="1:3" x14ac:dyDescent="0.35">
      <c r="A208">
        <v>1992</v>
      </c>
      <c r="B208" t="s">
        <v>16</v>
      </c>
      <c r="C208">
        <v>1</v>
      </c>
    </row>
    <row r="209" spans="1:3" x14ac:dyDescent="0.35">
      <c r="A209">
        <v>1993</v>
      </c>
      <c r="B209" t="s">
        <v>16</v>
      </c>
      <c r="C209">
        <v>3</v>
      </c>
    </row>
    <row r="210" spans="1:3" x14ac:dyDescent="0.35">
      <c r="A210">
        <v>1994</v>
      </c>
      <c r="B210" t="s">
        <v>16</v>
      </c>
      <c r="C210">
        <v>3</v>
      </c>
    </row>
    <row r="211" spans="1:3" x14ac:dyDescent="0.35">
      <c r="A211">
        <v>1995</v>
      </c>
      <c r="B211" t="s">
        <v>16</v>
      </c>
      <c r="C211">
        <v>3</v>
      </c>
    </row>
    <row r="212" spans="1:3" x14ac:dyDescent="0.35">
      <c r="A212">
        <v>1996</v>
      </c>
      <c r="B212" t="s">
        <v>16</v>
      </c>
      <c r="C212">
        <v>6</v>
      </c>
    </row>
    <row r="213" spans="1:3" x14ac:dyDescent="0.35">
      <c r="A213">
        <v>1997</v>
      </c>
      <c r="B213" t="s">
        <v>16</v>
      </c>
      <c r="C213">
        <v>7</v>
      </c>
    </row>
    <row r="214" spans="1:3" x14ac:dyDescent="0.35">
      <c r="A214">
        <v>1998</v>
      </c>
      <c r="B214" t="s">
        <v>16</v>
      </c>
      <c r="C214">
        <v>15</v>
      </c>
    </row>
    <row r="215" spans="1:3" x14ac:dyDescent="0.35">
      <c r="A215">
        <v>1999</v>
      </c>
      <c r="B215" t="s">
        <v>16</v>
      </c>
      <c r="C215">
        <v>18</v>
      </c>
    </row>
    <row r="216" spans="1:3" x14ac:dyDescent="0.35">
      <c r="A216">
        <v>2000</v>
      </c>
      <c r="B216" t="s">
        <v>16</v>
      </c>
      <c r="C216">
        <v>38</v>
      </c>
    </row>
    <row r="217" spans="1:3" x14ac:dyDescent="0.35">
      <c r="A217">
        <v>2001</v>
      </c>
      <c r="B217" t="s">
        <v>16</v>
      </c>
      <c r="C217">
        <v>66</v>
      </c>
    </row>
    <row r="218" spans="1:3" x14ac:dyDescent="0.35">
      <c r="A218">
        <v>2002</v>
      </c>
      <c r="B218" t="s">
        <v>16</v>
      </c>
      <c r="C218">
        <v>138</v>
      </c>
    </row>
    <row r="219" spans="1:3" x14ac:dyDescent="0.35">
      <c r="A219">
        <v>2003</v>
      </c>
      <c r="B219" t="s">
        <v>16</v>
      </c>
      <c r="C219">
        <v>218</v>
      </c>
    </row>
    <row r="220" spans="1:3" x14ac:dyDescent="0.35">
      <c r="A220">
        <v>2004</v>
      </c>
      <c r="B220" t="s">
        <v>16</v>
      </c>
      <c r="C220">
        <v>358</v>
      </c>
    </row>
    <row r="221" spans="1:3" x14ac:dyDescent="0.35">
      <c r="A221">
        <v>2005</v>
      </c>
      <c r="B221" t="s">
        <v>16</v>
      </c>
      <c r="C221">
        <v>690</v>
      </c>
    </row>
    <row r="222" spans="1:3" x14ac:dyDescent="0.35">
      <c r="A222">
        <v>2006</v>
      </c>
      <c r="B222" t="s">
        <v>16</v>
      </c>
      <c r="C222">
        <v>1412</v>
      </c>
    </row>
    <row r="223" spans="1:3" x14ac:dyDescent="0.35">
      <c r="A223">
        <v>2007</v>
      </c>
      <c r="B223" t="s">
        <v>16</v>
      </c>
      <c r="C223">
        <v>2223</v>
      </c>
    </row>
    <row r="224" spans="1:3" x14ac:dyDescent="0.35">
      <c r="A224">
        <v>2008</v>
      </c>
      <c r="B224" t="s">
        <v>16</v>
      </c>
      <c r="C224">
        <v>3403</v>
      </c>
    </row>
    <row r="225" spans="1:3" x14ac:dyDescent="0.35">
      <c r="A225">
        <v>2009</v>
      </c>
      <c r="B225" t="s">
        <v>16</v>
      </c>
      <c r="C225">
        <v>4582</v>
      </c>
    </row>
    <row r="226" spans="1:3" x14ac:dyDescent="0.35">
      <c r="A226">
        <v>2010</v>
      </c>
      <c r="B226" t="s">
        <v>16</v>
      </c>
      <c r="C226">
        <v>5912</v>
      </c>
    </row>
    <row r="227" spans="1:3" x14ac:dyDescent="0.35">
      <c r="A227">
        <v>2011</v>
      </c>
      <c r="B227" t="s">
        <v>16</v>
      </c>
      <c r="C227">
        <v>6758.0159999999996</v>
      </c>
    </row>
    <row r="228" spans="1:3" x14ac:dyDescent="0.35">
      <c r="A228">
        <v>2012</v>
      </c>
      <c r="B228" t="s">
        <v>16</v>
      </c>
      <c r="C228">
        <v>7607.4960000000001</v>
      </c>
    </row>
    <row r="229" spans="1:3" x14ac:dyDescent="0.35">
      <c r="A229">
        <v>2013</v>
      </c>
      <c r="B229" t="s">
        <v>16</v>
      </c>
      <c r="C229">
        <v>8160.1310000000003</v>
      </c>
    </row>
    <row r="230" spans="1:3" x14ac:dyDescent="0.35">
      <c r="A230">
        <v>2014</v>
      </c>
      <c r="B230" t="s">
        <v>16</v>
      </c>
      <c r="C230">
        <v>9201.3950000000004</v>
      </c>
    </row>
    <row r="231" spans="1:3" x14ac:dyDescent="0.35">
      <c r="A231">
        <v>2015</v>
      </c>
      <c r="B231" t="s">
        <v>16</v>
      </c>
      <c r="C231">
        <v>10298.147000000001</v>
      </c>
    </row>
    <row r="232" spans="1:3" x14ac:dyDescent="0.35">
      <c r="A232">
        <v>2016</v>
      </c>
      <c r="B232" t="s">
        <v>16</v>
      </c>
      <c r="C232">
        <v>11566.562</v>
      </c>
    </row>
    <row r="233" spans="1:3" x14ac:dyDescent="0.35">
      <c r="A233">
        <v>2017</v>
      </c>
      <c r="B233" t="s">
        <v>16</v>
      </c>
      <c r="C233">
        <v>13499.352000000001</v>
      </c>
    </row>
    <row r="234" spans="1:3" x14ac:dyDescent="0.35">
      <c r="A234">
        <v>2018</v>
      </c>
      <c r="B234" t="s">
        <v>16</v>
      </c>
      <c r="C234">
        <v>14900.143</v>
      </c>
    </row>
    <row r="235" spans="1:3" x14ac:dyDescent="0.35">
      <c r="A235">
        <v>2019</v>
      </c>
      <c r="B235" t="s">
        <v>16</v>
      </c>
      <c r="C235">
        <v>16426.851999999999</v>
      </c>
    </row>
    <row r="236" spans="1:3" x14ac:dyDescent="0.35">
      <c r="A236">
        <v>2020</v>
      </c>
      <c r="B236" t="s">
        <v>16</v>
      </c>
      <c r="C236">
        <v>17438.273000000001</v>
      </c>
    </row>
    <row r="237" spans="1:3" x14ac:dyDescent="0.35">
      <c r="A237">
        <v>2021</v>
      </c>
      <c r="B237" t="s">
        <v>16</v>
      </c>
      <c r="C237">
        <v>18433.920999999998</v>
      </c>
    </row>
    <row r="238" spans="1:3" x14ac:dyDescent="0.35">
      <c r="A238">
        <v>2022</v>
      </c>
      <c r="B238" t="s">
        <v>16</v>
      </c>
      <c r="C238">
        <v>20835.174999999999</v>
      </c>
    </row>
    <row r="239" spans="1:3" x14ac:dyDescent="0.35">
      <c r="A239">
        <v>2023</v>
      </c>
      <c r="B239" t="s">
        <v>16</v>
      </c>
      <c r="C239">
        <v>23131.614000000001</v>
      </c>
    </row>
    <row r="240" spans="1:3" x14ac:dyDescent="0.35">
      <c r="A240">
        <v>1990</v>
      </c>
      <c r="B240" t="s">
        <v>10</v>
      </c>
      <c r="C240">
        <v>10</v>
      </c>
    </row>
    <row r="241" spans="1:3" x14ac:dyDescent="0.35">
      <c r="A241">
        <v>1991</v>
      </c>
      <c r="B241" t="s">
        <v>10</v>
      </c>
      <c r="C241">
        <v>14</v>
      </c>
    </row>
    <row r="242" spans="1:3" x14ac:dyDescent="0.35">
      <c r="A242">
        <v>1992</v>
      </c>
      <c r="B242" t="s">
        <v>10</v>
      </c>
      <c r="C242">
        <v>50</v>
      </c>
    </row>
    <row r="243" spans="1:3" x14ac:dyDescent="0.35">
      <c r="A243">
        <v>1993</v>
      </c>
      <c r="B243" t="s">
        <v>10</v>
      </c>
      <c r="C243">
        <v>131</v>
      </c>
    </row>
    <row r="244" spans="1:3" x14ac:dyDescent="0.35">
      <c r="A244">
        <v>1994</v>
      </c>
      <c r="B244" t="s">
        <v>10</v>
      </c>
      <c r="C244">
        <v>153</v>
      </c>
    </row>
    <row r="245" spans="1:3" x14ac:dyDescent="0.35">
      <c r="A245">
        <v>1995</v>
      </c>
      <c r="B245" t="s">
        <v>10</v>
      </c>
      <c r="C245">
        <v>200</v>
      </c>
    </row>
    <row r="246" spans="1:3" x14ac:dyDescent="0.35">
      <c r="A246">
        <v>1996</v>
      </c>
      <c r="B246" t="s">
        <v>10</v>
      </c>
      <c r="C246">
        <v>238</v>
      </c>
    </row>
    <row r="247" spans="1:3" x14ac:dyDescent="0.35">
      <c r="A247">
        <v>1997</v>
      </c>
      <c r="B247" t="s">
        <v>10</v>
      </c>
      <c r="C247">
        <v>322</v>
      </c>
    </row>
    <row r="248" spans="1:3" x14ac:dyDescent="0.35">
      <c r="A248">
        <v>1998</v>
      </c>
      <c r="B248" t="s">
        <v>10</v>
      </c>
      <c r="C248">
        <v>331</v>
      </c>
    </row>
    <row r="249" spans="1:3" x14ac:dyDescent="0.35">
      <c r="A249">
        <v>1999</v>
      </c>
      <c r="B249" t="s">
        <v>10</v>
      </c>
      <c r="C249">
        <v>357</v>
      </c>
    </row>
    <row r="250" spans="1:3" x14ac:dyDescent="0.35">
      <c r="A250">
        <v>2000</v>
      </c>
      <c r="B250" t="s">
        <v>10</v>
      </c>
      <c r="C250">
        <v>412</v>
      </c>
    </row>
    <row r="251" spans="1:3" x14ac:dyDescent="0.35">
      <c r="A251">
        <v>2001</v>
      </c>
      <c r="B251" t="s">
        <v>10</v>
      </c>
      <c r="C251">
        <v>493</v>
      </c>
    </row>
    <row r="252" spans="1:3" x14ac:dyDescent="0.35">
      <c r="A252">
        <v>2002</v>
      </c>
      <c r="B252" t="s">
        <v>10</v>
      </c>
      <c r="C252">
        <v>534</v>
      </c>
    </row>
    <row r="253" spans="1:3" x14ac:dyDescent="0.35">
      <c r="A253">
        <v>2003</v>
      </c>
      <c r="B253" t="s">
        <v>10</v>
      </c>
      <c r="C253">
        <v>742</v>
      </c>
    </row>
    <row r="254" spans="1:3" x14ac:dyDescent="0.35">
      <c r="A254">
        <v>2004</v>
      </c>
      <c r="B254" t="s">
        <v>10</v>
      </c>
      <c r="C254">
        <v>933</v>
      </c>
    </row>
    <row r="255" spans="1:3" x14ac:dyDescent="0.35">
      <c r="A255">
        <v>2005</v>
      </c>
      <c r="B255" t="s">
        <v>10</v>
      </c>
      <c r="C255">
        <v>1565</v>
      </c>
    </row>
    <row r="256" spans="1:3" x14ac:dyDescent="0.35">
      <c r="A256">
        <v>2006</v>
      </c>
      <c r="B256" t="s">
        <v>10</v>
      </c>
      <c r="C256">
        <v>1955</v>
      </c>
    </row>
    <row r="257" spans="1:3" x14ac:dyDescent="0.35">
      <c r="A257">
        <v>2007</v>
      </c>
      <c r="B257" t="s">
        <v>10</v>
      </c>
      <c r="C257">
        <v>2477</v>
      </c>
    </row>
    <row r="258" spans="1:3" x14ac:dyDescent="0.35">
      <c r="A258">
        <v>2008</v>
      </c>
      <c r="B258" t="s">
        <v>10</v>
      </c>
      <c r="C258">
        <v>3446</v>
      </c>
    </row>
    <row r="259" spans="1:3" x14ac:dyDescent="0.35">
      <c r="A259">
        <v>2009</v>
      </c>
      <c r="B259" t="s">
        <v>10</v>
      </c>
      <c r="C259">
        <v>4422</v>
      </c>
    </row>
    <row r="260" spans="1:3" x14ac:dyDescent="0.35">
      <c r="A260">
        <v>2010</v>
      </c>
      <c r="B260" t="s">
        <v>10</v>
      </c>
      <c r="C260">
        <v>5421.232</v>
      </c>
    </row>
    <row r="261" spans="1:3" x14ac:dyDescent="0.35">
      <c r="A261">
        <v>2011</v>
      </c>
      <c r="B261" t="s">
        <v>10</v>
      </c>
      <c r="C261">
        <v>6596.2849999999999</v>
      </c>
    </row>
    <row r="262" spans="1:3" x14ac:dyDescent="0.35">
      <c r="A262">
        <v>2012</v>
      </c>
      <c r="B262" t="s">
        <v>10</v>
      </c>
      <c r="C262">
        <v>9030.42</v>
      </c>
    </row>
    <row r="263" spans="1:3" x14ac:dyDescent="0.35">
      <c r="A263">
        <v>2013</v>
      </c>
      <c r="B263" t="s">
        <v>10</v>
      </c>
      <c r="C263">
        <v>11282.272000000001</v>
      </c>
    </row>
    <row r="264" spans="1:3" x14ac:dyDescent="0.35">
      <c r="A264">
        <v>2014</v>
      </c>
      <c r="B264" t="s">
        <v>10</v>
      </c>
      <c r="C264">
        <v>13073.953</v>
      </c>
    </row>
    <row r="265" spans="1:3" x14ac:dyDescent="0.35">
      <c r="A265">
        <v>2015</v>
      </c>
      <c r="B265" t="s">
        <v>10</v>
      </c>
      <c r="C265">
        <v>14305.634</v>
      </c>
    </row>
    <row r="266" spans="1:3" x14ac:dyDescent="0.35">
      <c r="A266">
        <v>2016</v>
      </c>
      <c r="B266" t="s">
        <v>10</v>
      </c>
      <c r="C266">
        <v>16125.934999999999</v>
      </c>
    </row>
    <row r="267" spans="1:3" x14ac:dyDescent="0.35">
      <c r="A267">
        <v>2017</v>
      </c>
      <c r="B267" t="s">
        <v>10</v>
      </c>
      <c r="C267">
        <v>19584.998</v>
      </c>
    </row>
    <row r="268" spans="1:3" x14ac:dyDescent="0.35">
      <c r="A268">
        <v>2018</v>
      </c>
      <c r="B268" t="s">
        <v>10</v>
      </c>
      <c r="C268">
        <v>21767.221000000001</v>
      </c>
    </row>
    <row r="269" spans="1:3" x14ac:dyDescent="0.35">
      <c r="A269">
        <v>2019</v>
      </c>
      <c r="B269" t="s">
        <v>10</v>
      </c>
      <c r="C269">
        <v>24095.381000000001</v>
      </c>
    </row>
    <row r="270" spans="1:3" x14ac:dyDescent="0.35">
      <c r="A270">
        <v>2020</v>
      </c>
      <c r="B270" t="s">
        <v>10</v>
      </c>
      <c r="C270">
        <v>24671.3711985964</v>
      </c>
    </row>
    <row r="271" spans="1:3" x14ac:dyDescent="0.35">
      <c r="A271">
        <v>2021</v>
      </c>
      <c r="B271" t="s">
        <v>10</v>
      </c>
      <c r="C271">
        <v>25972.9357279451</v>
      </c>
    </row>
    <row r="272" spans="1:3" x14ac:dyDescent="0.35">
      <c r="A272">
        <v>2022</v>
      </c>
      <c r="B272" t="s">
        <v>10</v>
      </c>
      <c r="C272">
        <v>29012.2827409614</v>
      </c>
    </row>
    <row r="273" spans="1:3" x14ac:dyDescent="0.35">
      <c r="A273">
        <v>2023</v>
      </c>
      <c r="B273" t="s">
        <v>10</v>
      </c>
      <c r="C273">
        <v>30426.181130483499</v>
      </c>
    </row>
    <row r="274" spans="1:3" x14ac:dyDescent="0.35">
      <c r="A274">
        <v>1992</v>
      </c>
      <c r="B274" t="s">
        <v>32</v>
      </c>
      <c r="C274">
        <v>16</v>
      </c>
    </row>
    <row r="275" spans="1:3" x14ac:dyDescent="0.35">
      <c r="A275">
        <v>1993</v>
      </c>
      <c r="B275" t="s">
        <v>32</v>
      </c>
      <c r="C275">
        <v>27</v>
      </c>
    </row>
    <row r="276" spans="1:3" x14ac:dyDescent="0.35">
      <c r="A276">
        <v>1994</v>
      </c>
      <c r="B276" t="s">
        <v>32</v>
      </c>
      <c r="C276">
        <v>27</v>
      </c>
    </row>
    <row r="277" spans="1:3" x14ac:dyDescent="0.35">
      <c r="A277">
        <v>1995</v>
      </c>
      <c r="B277" t="s">
        <v>32</v>
      </c>
      <c r="C277">
        <v>27</v>
      </c>
    </row>
    <row r="278" spans="1:3" x14ac:dyDescent="0.35">
      <c r="A278">
        <v>1996</v>
      </c>
      <c r="B278" t="s">
        <v>32</v>
      </c>
      <c r="C278">
        <v>27</v>
      </c>
    </row>
    <row r="279" spans="1:3" x14ac:dyDescent="0.35">
      <c r="A279">
        <v>1997</v>
      </c>
      <c r="B279" t="s">
        <v>32</v>
      </c>
      <c r="C279">
        <v>27</v>
      </c>
    </row>
    <row r="280" spans="1:3" x14ac:dyDescent="0.35">
      <c r="A280">
        <v>1998</v>
      </c>
      <c r="B280" t="s">
        <v>32</v>
      </c>
      <c r="C280">
        <v>38</v>
      </c>
    </row>
    <row r="281" spans="1:3" x14ac:dyDescent="0.35">
      <c r="A281">
        <v>1999</v>
      </c>
      <c r="B281" t="s">
        <v>32</v>
      </c>
      <c r="C281">
        <v>109</v>
      </c>
    </row>
    <row r="282" spans="1:3" x14ac:dyDescent="0.35">
      <c r="A282">
        <v>2000</v>
      </c>
      <c r="B282" t="s">
        <v>32</v>
      </c>
      <c r="C282">
        <v>226</v>
      </c>
    </row>
    <row r="283" spans="1:3" x14ac:dyDescent="0.35">
      <c r="A283">
        <v>2001</v>
      </c>
      <c r="B283" t="s">
        <v>32</v>
      </c>
      <c r="C283">
        <v>270</v>
      </c>
    </row>
    <row r="284" spans="1:3" x14ac:dyDescent="0.35">
      <c r="A284">
        <v>2002</v>
      </c>
      <c r="B284" t="s">
        <v>32</v>
      </c>
      <c r="C284">
        <v>287</v>
      </c>
    </row>
    <row r="285" spans="1:3" x14ac:dyDescent="0.35">
      <c r="A285">
        <v>2003</v>
      </c>
      <c r="B285" t="s">
        <v>32</v>
      </c>
      <c r="C285">
        <v>371</v>
      </c>
    </row>
    <row r="286" spans="1:3" x14ac:dyDescent="0.35">
      <c r="A286">
        <v>2004</v>
      </c>
      <c r="B286" t="s">
        <v>32</v>
      </c>
      <c r="C286">
        <v>470</v>
      </c>
    </row>
    <row r="287" spans="1:3" x14ac:dyDescent="0.35">
      <c r="A287">
        <v>2005</v>
      </c>
      <c r="B287" t="s">
        <v>32</v>
      </c>
      <c r="C287">
        <v>491</v>
      </c>
    </row>
    <row r="288" spans="1:3" x14ac:dyDescent="0.35">
      <c r="A288">
        <v>2006</v>
      </c>
      <c r="B288" t="s">
        <v>32</v>
      </c>
      <c r="C288">
        <v>749</v>
      </c>
    </row>
    <row r="289" spans="1:3" x14ac:dyDescent="0.35">
      <c r="A289">
        <v>2007</v>
      </c>
      <c r="B289" t="s">
        <v>32</v>
      </c>
      <c r="C289">
        <v>846</v>
      </c>
    </row>
    <row r="290" spans="1:3" x14ac:dyDescent="0.35">
      <c r="A290">
        <v>2008</v>
      </c>
      <c r="B290" t="s">
        <v>32</v>
      </c>
      <c r="C290">
        <v>1022</v>
      </c>
    </row>
    <row r="291" spans="1:3" x14ac:dyDescent="0.35">
      <c r="A291">
        <v>2009</v>
      </c>
      <c r="B291" t="s">
        <v>32</v>
      </c>
      <c r="C291">
        <v>1171</v>
      </c>
    </row>
    <row r="292" spans="1:3" x14ac:dyDescent="0.35">
      <c r="A292">
        <v>2010</v>
      </c>
      <c r="B292" t="s">
        <v>32</v>
      </c>
      <c r="C292">
        <v>1298</v>
      </c>
    </row>
    <row r="293" spans="1:3" x14ac:dyDescent="0.35">
      <c r="A293">
        <v>2011</v>
      </c>
      <c r="B293" t="s">
        <v>32</v>
      </c>
      <c r="C293">
        <v>1640</v>
      </c>
    </row>
    <row r="294" spans="1:3" x14ac:dyDescent="0.35">
      <c r="A294">
        <v>2012</v>
      </c>
      <c r="B294" t="s">
        <v>32</v>
      </c>
      <c r="C294">
        <v>1753</v>
      </c>
    </row>
    <row r="295" spans="1:3" x14ac:dyDescent="0.35">
      <c r="A295">
        <v>2013</v>
      </c>
      <c r="B295" t="s">
        <v>32</v>
      </c>
      <c r="C295">
        <v>1809</v>
      </c>
    </row>
    <row r="296" spans="1:3" x14ac:dyDescent="0.35">
      <c r="A296">
        <v>2014</v>
      </c>
      <c r="B296" t="s">
        <v>32</v>
      </c>
      <c r="C296">
        <v>1978</v>
      </c>
    </row>
    <row r="297" spans="1:3" x14ac:dyDescent="0.35">
      <c r="A297">
        <v>2015</v>
      </c>
      <c r="B297" t="s">
        <v>32</v>
      </c>
      <c r="C297">
        <v>2091</v>
      </c>
    </row>
    <row r="298" spans="1:3" x14ac:dyDescent="0.35">
      <c r="A298">
        <v>2016</v>
      </c>
      <c r="B298" t="s">
        <v>32</v>
      </c>
      <c r="C298">
        <v>2370</v>
      </c>
    </row>
    <row r="299" spans="1:3" x14ac:dyDescent="0.35">
      <c r="A299">
        <v>2017</v>
      </c>
      <c r="B299" t="s">
        <v>32</v>
      </c>
      <c r="C299">
        <v>2624</v>
      </c>
    </row>
    <row r="300" spans="1:3" x14ac:dyDescent="0.35">
      <c r="A300">
        <v>2018</v>
      </c>
      <c r="B300" t="s">
        <v>32</v>
      </c>
      <c r="C300">
        <v>2877.4949999999999</v>
      </c>
    </row>
    <row r="301" spans="1:3" x14ac:dyDescent="0.35">
      <c r="A301">
        <v>2019</v>
      </c>
      <c r="B301" t="s">
        <v>32</v>
      </c>
      <c r="C301">
        <v>3589</v>
      </c>
    </row>
    <row r="302" spans="1:3" x14ac:dyDescent="0.35">
      <c r="A302">
        <v>2020</v>
      </c>
      <c r="B302" t="s">
        <v>32</v>
      </c>
      <c r="C302">
        <v>4119.25</v>
      </c>
    </row>
    <row r="303" spans="1:3" x14ac:dyDescent="0.35">
      <c r="A303">
        <v>2021</v>
      </c>
      <c r="B303" t="s">
        <v>32</v>
      </c>
      <c r="C303">
        <v>4649.13</v>
      </c>
    </row>
    <row r="304" spans="1:3" x14ac:dyDescent="0.35">
      <c r="A304">
        <v>2022</v>
      </c>
      <c r="B304" t="s">
        <v>32</v>
      </c>
      <c r="C304">
        <v>4702.33</v>
      </c>
    </row>
    <row r="305" spans="1:3" x14ac:dyDescent="0.35">
      <c r="A305">
        <v>2023</v>
      </c>
      <c r="B305" t="s">
        <v>32</v>
      </c>
      <c r="C305">
        <v>5231.7030000000004</v>
      </c>
    </row>
    <row r="306" spans="1:3" x14ac:dyDescent="0.35">
      <c r="A306">
        <v>1990</v>
      </c>
      <c r="B306" t="s">
        <v>33</v>
      </c>
      <c r="C306">
        <v>0</v>
      </c>
    </row>
    <row r="307" spans="1:3" x14ac:dyDescent="0.35">
      <c r="A307">
        <v>1991</v>
      </c>
      <c r="B307" t="s">
        <v>33</v>
      </c>
      <c r="C307">
        <v>0</v>
      </c>
    </row>
    <row r="308" spans="1:3" x14ac:dyDescent="0.35">
      <c r="A308">
        <v>1992</v>
      </c>
      <c r="B308" t="s">
        <v>33</v>
      </c>
      <c r="C308">
        <v>6.5</v>
      </c>
    </row>
    <row r="309" spans="1:3" x14ac:dyDescent="0.35">
      <c r="A309">
        <v>1993</v>
      </c>
      <c r="B309" t="s">
        <v>33</v>
      </c>
      <c r="C309">
        <v>6.5</v>
      </c>
    </row>
    <row r="310" spans="1:3" x14ac:dyDescent="0.35">
      <c r="A310">
        <v>1994</v>
      </c>
      <c r="B310" t="s">
        <v>33</v>
      </c>
      <c r="C310">
        <v>6.5</v>
      </c>
    </row>
    <row r="311" spans="1:3" x14ac:dyDescent="0.35">
      <c r="A311">
        <v>1995</v>
      </c>
      <c r="B311" t="s">
        <v>33</v>
      </c>
      <c r="C311">
        <v>6.5</v>
      </c>
    </row>
    <row r="312" spans="1:3" x14ac:dyDescent="0.35">
      <c r="A312">
        <v>1996</v>
      </c>
      <c r="B312" t="s">
        <v>33</v>
      </c>
      <c r="C312">
        <v>6.5</v>
      </c>
    </row>
    <row r="313" spans="1:3" x14ac:dyDescent="0.35">
      <c r="A313">
        <v>1997</v>
      </c>
      <c r="B313" t="s">
        <v>33</v>
      </c>
      <c r="C313">
        <v>57.2</v>
      </c>
    </row>
    <row r="314" spans="1:3" x14ac:dyDescent="0.35">
      <c r="A314">
        <v>1998</v>
      </c>
      <c r="B314" t="s">
        <v>33</v>
      </c>
      <c r="C314">
        <v>62.2</v>
      </c>
    </row>
    <row r="315" spans="1:3" x14ac:dyDescent="0.35">
      <c r="A315">
        <v>1999</v>
      </c>
      <c r="B315" t="s">
        <v>33</v>
      </c>
      <c r="C315">
        <v>70.2</v>
      </c>
    </row>
    <row r="316" spans="1:3" x14ac:dyDescent="0.35">
      <c r="A316">
        <v>2000</v>
      </c>
      <c r="B316" t="s">
        <v>33</v>
      </c>
      <c r="C316">
        <v>116.5</v>
      </c>
    </row>
    <row r="317" spans="1:3" x14ac:dyDescent="0.35">
      <c r="A317">
        <v>2001</v>
      </c>
      <c r="B317" t="s">
        <v>33</v>
      </c>
      <c r="C317">
        <v>122.9</v>
      </c>
    </row>
    <row r="318" spans="1:3" x14ac:dyDescent="0.35">
      <c r="A318">
        <v>2002</v>
      </c>
      <c r="B318" t="s">
        <v>33</v>
      </c>
      <c r="C318">
        <v>134.80000000000001</v>
      </c>
    </row>
    <row r="319" spans="1:3" x14ac:dyDescent="0.35">
      <c r="A319">
        <v>2003</v>
      </c>
      <c r="B319" t="s">
        <v>33</v>
      </c>
      <c r="C319">
        <v>210.3</v>
      </c>
    </row>
    <row r="320" spans="1:3" x14ac:dyDescent="0.35">
      <c r="A320">
        <v>2004</v>
      </c>
      <c r="B320" t="s">
        <v>33</v>
      </c>
      <c r="C320">
        <v>336.4</v>
      </c>
    </row>
    <row r="321" spans="1:3" x14ac:dyDescent="0.35">
      <c r="A321">
        <v>2005</v>
      </c>
      <c r="B321" t="s">
        <v>33</v>
      </c>
      <c r="C321">
        <v>493.3</v>
      </c>
    </row>
    <row r="322" spans="1:3" x14ac:dyDescent="0.35">
      <c r="A322">
        <v>2006</v>
      </c>
      <c r="B322" t="s">
        <v>33</v>
      </c>
      <c r="C322">
        <v>676.5</v>
      </c>
    </row>
    <row r="323" spans="1:3" x14ac:dyDescent="0.35">
      <c r="A323">
        <v>2007</v>
      </c>
      <c r="B323" t="s">
        <v>33</v>
      </c>
      <c r="C323">
        <v>740.5</v>
      </c>
    </row>
    <row r="324" spans="1:3" x14ac:dyDescent="0.35">
      <c r="A324">
        <v>2008</v>
      </c>
      <c r="B324" t="s">
        <v>33</v>
      </c>
      <c r="C324">
        <v>942.3</v>
      </c>
    </row>
    <row r="325" spans="1:3" x14ac:dyDescent="0.35">
      <c r="A325">
        <v>2009</v>
      </c>
      <c r="B325" t="s">
        <v>33</v>
      </c>
      <c r="C325">
        <v>1251.3</v>
      </c>
    </row>
    <row r="326" spans="1:3" x14ac:dyDescent="0.35">
      <c r="A326">
        <v>2010</v>
      </c>
      <c r="B326" t="s">
        <v>33</v>
      </c>
      <c r="C326">
        <v>1390.4</v>
      </c>
    </row>
    <row r="327" spans="1:3" x14ac:dyDescent="0.35">
      <c r="A327">
        <v>2011</v>
      </c>
      <c r="B327" t="s">
        <v>33</v>
      </c>
      <c r="C327">
        <v>1584.6</v>
      </c>
    </row>
    <row r="328" spans="1:3" x14ac:dyDescent="0.35">
      <c r="A328">
        <v>2012</v>
      </c>
      <c r="B328" t="s">
        <v>33</v>
      </c>
      <c r="C328">
        <v>1704.35</v>
      </c>
    </row>
    <row r="329" spans="1:3" x14ac:dyDescent="0.35">
      <c r="A329">
        <v>2013</v>
      </c>
      <c r="B329" t="s">
        <v>33</v>
      </c>
      <c r="C329">
        <v>1923.3</v>
      </c>
    </row>
    <row r="330" spans="1:3" x14ac:dyDescent="0.35">
      <c r="A330">
        <v>2014</v>
      </c>
      <c r="B330" t="s">
        <v>33</v>
      </c>
      <c r="C330">
        <v>2283.25</v>
      </c>
    </row>
    <row r="331" spans="1:3" x14ac:dyDescent="0.35">
      <c r="A331">
        <v>2015</v>
      </c>
      <c r="B331" t="s">
        <v>33</v>
      </c>
      <c r="C331">
        <v>2451.15</v>
      </c>
    </row>
    <row r="332" spans="1:3" x14ac:dyDescent="0.35">
      <c r="A332">
        <v>2016</v>
      </c>
      <c r="B332" t="s">
        <v>33</v>
      </c>
      <c r="C332">
        <v>2801.65</v>
      </c>
    </row>
    <row r="333" spans="1:3" x14ac:dyDescent="0.35">
      <c r="A333">
        <v>2017</v>
      </c>
      <c r="B333" t="s">
        <v>33</v>
      </c>
      <c r="C333">
        <v>3319.15</v>
      </c>
    </row>
    <row r="334" spans="1:3" x14ac:dyDescent="0.35">
      <c r="A334">
        <v>2018</v>
      </c>
      <c r="B334" t="s">
        <v>33</v>
      </c>
      <c r="C334">
        <v>3673.85</v>
      </c>
    </row>
    <row r="335" spans="1:3" x14ac:dyDescent="0.35">
      <c r="A335">
        <v>2019</v>
      </c>
      <c r="B335" t="s">
        <v>33</v>
      </c>
      <c r="C335">
        <v>4126.45</v>
      </c>
    </row>
    <row r="336" spans="1:3" x14ac:dyDescent="0.35">
      <c r="A336">
        <v>2020</v>
      </c>
      <c r="B336" t="s">
        <v>33</v>
      </c>
      <c r="C336">
        <v>4306.7</v>
      </c>
    </row>
    <row r="337" spans="1:3" x14ac:dyDescent="0.35">
      <c r="A337">
        <v>2021</v>
      </c>
      <c r="B337" t="s">
        <v>33</v>
      </c>
      <c r="C337">
        <v>4339.0410000000002</v>
      </c>
    </row>
    <row r="338" spans="1:3" x14ac:dyDescent="0.35">
      <c r="A338">
        <v>2022</v>
      </c>
      <c r="B338" t="s">
        <v>33</v>
      </c>
      <c r="C338">
        <v>4536.1310000000003</v>
      </c>
    </row>
    <row r="339" spans="1:3" x14ac:dyDescent="0.35">
      <c r="A339">
        <v>2023</v>
      </c>
      <c r="B339" t="s">
        <v>33</v>
      </c>
      <c r="C339">
        <v>4739.2510000000002</v>
      </c>
    </row>
    <row r="340" spans="1:3" x14ac:dyDescent="0.35">
      <c r="A340">
        <v>1990</v>
      </c>
      <c r="B340" t="s">
        <v>12</v>
      </c>
      <c r="C340">
        <v>3</v>
      </c>
    </row>
    <row r="341" spans="1:3" x14ac:dyDescent="0.35">
      <c r="A341">
        <v>1991</v>
      </c>
      <c r="B341" t="s">
        <v>12</v>
      </c>
      <c r="C341">
        <v>4</v>
      </c>
    </row>
    <row r="342" spans="1:3" x14ac:dyDescent="0.35">
      <c r="A342">
        <v>1992</v>
      </c>
      <c r="B342" t="s">
        <v>12</v>
      </c>
      <c r="C342">
        <v>7</v>
      </c>
    </row>
    <row r="343" spans="1:3" x14ac:dyDescent="0.35">
      <c r="A343">
        <v>1993</v>
      </c>
      <c r="B343" t="s">
        <v>12</v>
      </c>
      <c r="C343">
        <v>18</v>
      </c>
    </row>
    <row r="344" spans="1:3" x14ac:dyDescent="0.35">
      <c r="A344">
        <v>1994</v>
      </c>
      <c r="B344" t="s">
        <v>12</v>
      </c>
      <c r="C344">
        <v>21</v>
      </c>
    </row>
    <row r="345" spans="1:3" x14ac:dyDescent="0.35">
      <c r="A345">
        <v>1995</v>
      </c>
      <c r="B345" t="s">
        <v>12</v>
      </c>
      <c r="C345">
        <v>22</v>
      </c>
    </row>
    <row r="346" spans="1:3" x14ac:dyDescent="0.35">
      <c r="A346">
        <v>1996</v>
      </c>
      <c r="B346" t="s">
        <v>12</v>
      </c>
      <c r="C346">
        <v>34</v>
      </c>
    </row>
    <row r="347" spans="1:3" x14ac:dyDescent="0.35">
      <c r="A347">
        <v>1997</v>
      </c>
      <c r="B347" t="s">
        <v>12</v>
      </c>
      <c r="C347">
        <v>119</v>
      </c>
    </row>
    <row r="348" spans="1:3" x14ac:dyDescent="0.35">
      <c r="A348">
        <v>1998</v>
      </c>
      <c r="B348" t="s">
        <v>12</v>
      </c>
      <c r="C348">
        <v>164</v>
      </c>
    </row>
    <row r="349" spans="1:3" x14ac:dyDescent="0.35">
      <c r="A349">
        <v>1999</v>
      </c>
      <c r="B349" t="s">
        <v>12</v>
      </c>
      <c r="C349">
        <v>232</v>
      </c>
    </row>
    <row r="350" spans="1:3" x14ac:dyDescent="0.35">
      <c r="A350">
        <v>2000</v>
      </c>
      <c r="B350" t="s">
        <v>12</v>
      </c>
      <c r="C350">
        <v>363</v>
      </c>
    </row>
    <row r="351" spans="1:3" x14ac:dyDescent="0.35">
      <c r="A351">
        <v>2001</v>
      </c>
      <c r="B351" t="s">
        <v>12</v>
      </c>
      <c r="C351">
        <v>664</v>
      </c>
    </row>
    <row r="352" spans="1:3" x14ac:dyDescent="0.35">
      <c r="A352">
        <v>2002</v>
      </c>
      <c r="B352" t="s">
        <v>12</v>
      </c>
      <c r="C352">
        <v>780</v>
      </c>
    </row>
    <row r="353" spans="1:3" x14ac:dyDescent="0.35">
      <c r="A353">
        <v>2003</v>
      </c>
      <c r="B353" t="s">
        <v>12</v>
      </c>
      <c r="C353">
        <v>874</v>
      </c>
    </row>
    <row r="354" spans="1:3" x14ac:dyDescent="0.35">
      <c r="A354">
        <v>2004</v>
      </c>
      <c r="B354" t="s">
        <v>12</v>
      </c>
      <c r="C354">
        <v>1127</v>
      </c>
    </row>
    <row r="355" spans="1:3" x14ac:dyDescent="0.35">
      <c r="A355">
        <v>2005</v>
      </c>
      <c r="B355" t="s">
        <v>12</v>
      </c>
      <c r="C355">
        <v>1635</v>
      </c>
    </row>
    <row r="356" spans="1:3" x14ac:dyDescent="0.35">
      <c r="A356">
        <v>2006</v>
      </c>
      <c r="B356" t="s">
        <v>12</v>
      </c>
      <c r="C356">
        <v>1902</v>
      </c>
    </row>
    <row r="357" spans="1:3" x14ac:dyDescent="0.35">
      <c r="A357">
        <v>2007</v>
      </c>
      <c r="B357" t="s">
        <v>12</v>
      </c>
      <c r="C357">
        <v>2702</v>
      </c>
    </row>
    <row r="358" spans="1:3" x14ac:dyDescent="0.35">
      <c r="A358">
        <v>2008</v>
      </c>
      <c r="B358" t="s">
        <v>12</v>
      </c>
      <c r="C358">
        <v>3525</v>
      </c>
    </row>
    <row r="359" spans="1:3" x14ac:dyDescent="0.35">
      <c r="A359">
        <v>2009</v>
      </c>
      <c r="B359" t="s">
        <v>12</v>
      </c>
      <c r="C359">
        <v>4879</v>
      </c>
    </row>
    <row r="360" spans="1:3" x14ac:dyDescent="0.35">
      <c r="A360">
        <v>2010</v>
      </c>
      <c r="B360" t="s">
        <v>12</v>
      </c>
      <c r="C360">
        <v>5794</v>
      </c>
    </row>
    <row r="361" spans="1:3" x14ac:dyDescent="0.35">
      <c r="A361">
        <v>2011</v>
      </c>
      <c r="B361" t="s">
        <v>12</v>
      </c>
      <c r="C361">
        <v>6918</v>
      </c>
    </row>
    <row r="362" spans="1:3" x14ac:dyDescent="0.35">
      <c r="A362">
        <v>2012</v>
      </c>
      <c r="B362" t="s">
        <v>12</v>
      </c>
      <c r="C362">
        <v>8102</v>
      </c>
    </row>
    <row r="363" spans="1:3" x14ac:dyDescent="0.35">
      <c r="A363">
        <v>2013</v>
      </c>
      <c r="B363" t="s">
        <v>12</v>
      </c>
      <c r="C363">
        <v>8542</v>
      </c>
    </row>
    <row r="364" spans="1:3" x14ac:dyDescent="0.35">
      <c r="A364">
        <v>2014</v>
      </c>
      <c r="B364" t="s">
        <v>12</v>
      </c>
      <c r="C364">
        <v>8683</v>
      </c>
    </row>
    <row r="365" spans="1:3" x14ac:dyDescent="0.35">
      <c r="A365">
        <v>2015</v>
      </c>
      <c r="B365" t="s">
        <v>12</v>
      </c>
      <c r="C365">
        <v>9137</v>
      </c>
    </row>
    <row r="366" spans="1:3" x14ac:dyDescent="0.35">
      <c r="A366">
        <v>2016</v>
      </c>
      <c r="B366" t="s">
        <v>12</v>
      </c>
      <c r="C366">
        <v>9384</v>
      </c>
    </row>
    <row r="367" spans="1:3" x14ac:dyDescent="0.35">
      <c r="A367">
        <v>2017</v>
      </c>
      <c r="B367" t="s">
        <v>12</v>
      </c>
      <c r="C367">
        <v>9736.5779999999995</v>
      </c>
    </row>
    <row r="368" spans="1:3" x14ac:dyDescent="0.35">
      <c r="A368">
        <v>2018</v>
      </c>
      <c r="B368" t="s">
        <v>12</v>
      </c>
      <c r="C368">
        <v>10230.245999999999</v>
      </c>
    </row>
    <row r="369" spans="1:3" x14ac:dyDescent="0.35">
      <c r="A369">
        <v>2019</v>
      </c>
      <c r="B369" t="s">
        <v>12</v>
      </c>
      <c r="C369">
        <v>10679.46</v>
      </c>
    </row>
    <row r="370" spans="1:3" x14ac:dyDescent="0.35">
      <c r="A370">
        <v>2020</v>
      </c>
      <c r="B370" t="s">
        <v>12</v>
      </c>
      <c r="C370">
        <v>10870.621999999999</v>
      </c>
    </row>
    <row r="371" spans="1:3" x14ac:dyDescent="0.35">
      <c r="A371">
        <v>2021</v>
      </c>
      <c r="B371" t="s">
        <v>12</v>
      </c>
      <c r="C371">
        <v>11253.733</v>
      </c>
    </row>
    <row r="372" spans="1:3" x14ac:dyDescent="0.35">
      <c r="A372">
        <v>2022</v>
      </c>
      <c r="B372" t="s">
        <v>12</v>
      </c>
      <c r="C372">
        <v>11820.508</v>
      </c>
    </row>
    <row r="373" spans="1:3" x14ac:dyDescent="0.35">
      <c r="A373">
        <v>2023</v>
      </c>
      <c r="B373" t="s">
        <v>12</v>
      </c>
      <c r="C373">
        <v>12307.3</v>
      </c>
    </row>
    <row r="374" spans="1:3" x14ac:dyDescent="0.35">
      <c r="A374">
        <v>2001</v>
      </c>
      <c r="B374" t="s">
        <v>34</v>
      </c>
      <c r="C374">
        <v>0</v>
      </c>
    </row>
    <row r="375" spans="1:3" x14ac:dyDescent="0.35">
      <c r="A375">
        <v>2002</v>
      </c>
      <c r="B375" t="s">
        <v>34</v>
      </c>
      <c r="C375">
        <v>0</v>
      </c>
    </row>
    <row r="376" spans="1:3" x14ac:dyDescent="0.35">
      <c r="A376">
        <v>2003</v>
      </c>
      <c r="B376" t="s">
        <v>34</v>
      </c>
      <c r="C376">
        <v>0</v>
      </c>
    </row>
    <row r="377" spans="1:3" x14ac:dyDescent="0.35">
      <c r="A377">
        <v>2004</v>
      </c>
      <c r="B377" t="s">
        <v>34</v>
      </c>
      <c r="C377">
        <v>1</v>
      </c>
    </row>
    <row r="378" spans="1:3" x14ac:dyDescent="0.35">
      <c r="A378">
        <v>2005</v>
      </c>
      <c r="B378" t="s">
        <v>34</v>
      </c>
      <c r="C378">
        <v>1</v>
      </c>
    </row>
    <row r="379" spans="1:3" x14ac:dyDescent="0.35">
      <c r="A379">
        <v>2006</v>
      </c>
      <c r="B379" t="s">
        <v>34</v>
      </c>
      <c r="C379">
        <v>31</v>
      </c>
    </row>
    <row r="380" spans="1:3" x14ac:dyDescent="0.35">
      <c r="A380">
        <v>2007</v>
      </c>
      <c r="B380" t="s">
        <v>34</v>
      </c>
      <c r="C380">
        <v>47</v>
      </c>
    </row>
    <row r="381" spans="1:3" x14ac:dyDescent="0.35">
      <c r="A381">
        <v>2008</v>
      </c>
      <c r="B381" t="s">
        <v>34</v>
      </c>
      <c r="C381">
        <v>54</v>
      </c>
    </row>
    <row r="382" spans="1:3" x14ac:dyDescent="0.35">
      <c r="A382">
        <v>2009</v>
      </c>
      <c r="B382" t="s">
        <v>34</v>
      </c>
      <c r="C382">
        <v>98</v>
      </c>
    </row>
    <row r="383" spans="1:3" x14ac:dyDescent="0.35">
      <c r="A383">
        <v>2010</v>
      </c>
      <c r="B383" t="s">
        <v>34</v>
      </c>
      <c r="C383">
        <v>133</v>
      </c>
    </row>
    <row r="384" spans="1:3" x14ac:dyDescent="0.35">
      <c r="A384">
        <v>2011</v>
      </c>
      <c r="B384" t="s">
        <v>34</v>
      </c>
      <c r="C384">
        <v>202</v>
      </c>
    </row>
    <row r="385" spans="1:3" x14ac:dyDescent="0.35">
      <c r="A385">
        <v>2012</v>
      </c>
      <c r="B385" t="s">
        <v>34</v>
      </c>
      <c r="C385">
        <v>275</v>
      </c>
    </row>
    <row r="386" spans="1:3" x14ac:dyDescent="0.35">
      <c r="A386">
        <v>2013</v>
      </c>
      <c r="B386" t="s">
        <v>34</v>
      </c>
      <c r="C386">
        <v>279</v>
      </c>
    </row>
    <row r="387" spans="1:3" x14ac:dyDescent="0.35">
      <c r="A387">
        <v>2014</v>
      </c>
      <c r="B387" t="s">
        <v>34</v>
      </c>
      <c r="C387">
        <v>288</v>
      </c>
    </row>
    <row r="388" spans="1:3" x14ac:dyDescent="0.35">
      <c r="A388">
        <v>2015</v>
      </c>
      <c r="B388" t="s">
        <v>34</v>
      </c>
      <c r="C388">
        <v>436</v>
      </c>
    </row>
    <row r="389" spans="1:3" x14ac:dyDescent="0.35">
      <c r="A389">
        <v>2016</v>
      </c>
      <c r="B389" t="s">
        <v>34</v>
      </c>
      <c r="C389">
        <v>509</v>
      </c>
    </row>
    <row r="390" spans="1:3" x14ac:dyDescent="0.35">
      <c r="A390">
        <v>2017</v>
      </c>
      <c r="B390" t="s">
        <v>34</v>
      </c>
      <c r="C390">
        <v>518</v>
      </c>
    </row>
    <row r="391" spans="1:3" x14ac:dyDescent="0.35">
      <c r="A391">
        <v>2018</v>
      </c>
      <c r="B391" t="s">
        <v>34</v>
      </c>
      <c r="C391">
        <v>533</v>
      </c>
    </row>
    <row r="392" spans="1:3" x14ac:dyDescent="0.35">
      <c r="A392">
        <v>2019</v>
      </c>
      <c r="B392" t="s">
        <v>34</v>
      </c>
      <c r="C392">
        <v>534</v>
      </c>
    </row>
    <row r="393" spans="1:3" x14ac:dyDescent="0.35">
      <c r="A393">
        <v>2020</v>
      </c>
      <c r="B393" t="s">
        <v>34</v>
      </c>
      <c r="C393">
        <v>540</v>
      </c>
    </row>
    <row r="394" spans="1:3" x14ac:dyDescent="0.35">
      <c r="A394">
        <v>2021</v>
      </c>
      <c r="B394" t="s">
        <v>34</v>
      </c>
      <c r="C394">
        <v>671</v>
      </c>
    </row>
    <row r="395" spans="1:3" x14ac:dyDescent="0.35">
      <c r="A395">
        <v>2022</v>
      </c>
      <c r="B395" t="s">
        <v>34</v>
      </c>
      <c r="C395">
        <v>946</v>
      </c>
    </row>
    <row r="396" spans="1:3" x14ac:dyDescent="0.35">
      <c r="A396">
        <v>2023</v>
      </c>
      <c r="B396" t="s">
        <v>34</v>
      </c>
      <c r="C396">
        <v>1284</v>
      </c>
    </row>
    <row r="397" spans="1:3" x14ac:dyDescent="0.35">
      <c r="A397">
        <v>1990</v>
      </c>
      <c r="B397" t="s">
        <v>27</v>
      </c>
      <c r="C397">
        <v>50</v>
      </c>
    </row>
    <row r="398" spans="1:3" x14ac:dyDescent="0.35">
      <c r="A398">
        <v>1991</v>
      </c>
      <c r="B398" t="s">
        <v>27</v>
      </c>
      <c r="C398">
        <v>83</v>
      </c>
    </row>
    <row r="399" spans="1:3" x14ac:dyDescent="0.35">
      <c r="A399">
        <v>1992</v>
      </c>
      <c r="B399" t="s">
        <v>27</v>
      </c>
      <c r="C399">
        <v>101</v>
      </c>
    </row>
    <row r="400" spans="1:3" x14ac:dyDescent="0.35">
      <c r="A400">
        <v>1993</v>
      </c>
      <c r="B400" t="s">
        <v>27</v>
      </c>
      <c r="C400">
        <v>131</v>
      </c>
    </row>
    <row r="401" spans="1:3" x14ac:dyDescent="0.35">
      <c r="A401">
        <v>1994</v>
      </c>
      <c r="B401" t="s">
        <v>27</v>
      </c>
      <c r="C401">
        <v>152</v>
      </c>
    </row>
    <row r="402" spans="1:3" x14ac:dyDescent="0.35">
      <c r="A402">
        <v>1995</v>
      </c>
      <c r="B402" t="s">
        <v>27</v>
      </c>
      <c r="C402">
        <v>250</v>
      </c>
    </row>
    <row r="403" spans="1:3" x14ac:dyDescent="0.35">
      <c r="A403">
        <v>1996</v>
      </c>
      <c r="B403" t="s">
        <v>27</v>
      </c>
      <c r="C403">
        <v>296</v>
      </c>
    </row>
    <row r="404" spans="1:3" x14ac:dyDescent="0.35">
      <c r="A404">
        <v>1997</v>
      </c>
      <c r="B404" t="s">
        <v>27</v>
      </c>
      <c r="C404">
        <v>325</v>
      </c>
    </row>
    <row r="405" spans="1:3" x14ac:dyDescent="0.35">
      <c r="A405">
        <v>1998</v>
      </c>
      <c r="B405" t="s">
        <v>27</v>
      </c>
      <c r="C405">
        <v>364</v>
      </c>
    </row>
    <row r="406" spans="1:3" x14ac:dyDescent="0.35">
      <c r="A406">
        <v>1999</v>
      </c>
      <c r="B406" t="s">
        <v>27</v>
      </c>
      <c r="C406">
        <v>411</v>
      </c>
    </row>
    <row r="407" spans="1:3" x14ac:dyDescent="0.35">
      <c r="A407">
        <v>2000</v>
      </c>
      <c r="B407" t="s">
        <v>27</v>
      </c>
      <c r="C407">
        <v>447</v>
      </c>
    </row>
    <row r="408" spans="1:3" x14ac:dyDescent="0.35">
      <c r="A408">
        <v>2001</v>
      </c>
      <c r="B408" t="s">
        <v>27</v>
      </c>
      <c r="C408">
        <v>486</v>
      </c>
    </row>
    <row r="409" spans="1:3" x14ac:dyDescent="0.35">
      <c r="A409">
        <v>2002</v>
      </c>
      <c r="B409" t="s">
        <v>27</v>
      </c>
      <c r="C409">
        <v>672</v>
      </c>
    </row>
    <row r="410" spans="1:3" x14ac:dyDescent="0.35">
      <c r="A410">
        <v>2003</v>
      </c>
      <c r="B410" t="s">
        <v>27</v>
      </c>
      <c r="C410">
        <v>905</v>
      </c>
    </row>
    <row r="411" spans="1:3" x14ac:dyDescent="0.35">
      <c r="A411">
        <v>2004</v>
      </c>
      <c r="B411" t="s">
        <v>27</v>
      </c>
      <c r="C411">
        <v>1075</v>
      </c>
    </row>
    <row r="412" spans="1:3" x14ac:dyDescent="0.35">
      <c r="A412">
        <v>2005</v>
      </c>
      <c r="B412" t="s">
        <v>27</v>
      </c>
      <c r="C412">
        <v>1224</v>
      </c>
    </row>
    <row r="413" spans="1:3" x14ac:dyDescent="0.35">
      <c r="A413">
        <v>2006</v>
      </c>
      <c r="B413" t="s">
        <v>27</v>
      </c>
      <c r="C413">
        <v>1561</v>
      </c>
    </row>
    <row r="414" spans="1:3" x14ac:dyDescent="0.35">
      <c r="A414">
        <v>2007</v>
      </c>
      <c r="B414" t="s">
        <v>27</v>
      </c>
      <c r="C414">
        <v>1749</v>
      </c>
    </row>
    <row r="415" spans="1:3" x14ac:dyDescent="0.35">
      <c r="A415">
        <v>2008</v>
      </c>
      <c r="B415" t="s">
        <v>27</v>
      </c>
      <c r="C415">
        <v>2149</v>
      </c>
    </row>
    <row r="416" spans="1:3" x14ac:dyDescent="0.35">
      <c r="A416">
        <v>2009</v>
      </c>
      <c r="B416" t="s">
        <v>27</v>
      </c>
      <c r="C416">
        <v>2222</v>
      </c>
    </row>
    <row r="417" spans="1:3" x14ac:dyDescent="0.35">
      <c r="A417">
        <v>2010</v>
      </c>
      <c r="B417" t="s">
        <v>27</v>
      </c>
      <c r="C417">
        <v>2237</v>
      </c>
    </row>
    <row r="418" spans="1:3" x14ac:dyDescent="0.35">
      <c r="A418">
        <v>2011</v>
      </c>
      <c r="B418" t="s">
        <v>27</v>
      </c>
      <c r="C418">
        <v>2316</v>
      </c>
    </row>
    <row r="419" spans="1:3" x14ac:dyDescent="0.35">
      <c r="A419">
        <v>2012</v>
      </c>
      <c r="B419" t="s">
        <v>27</v>
      </c>
      <c r="C419">
        <v>2433</v>
      </c>
    </row>
    <row r="420" spans="1:3" x14ac:dyDescent="0.35">
      <c r="A420">
        <v>2013</v>
      </c>
      <c r="B420" t="s">
        <v>27</v>
      </c>
      <c r="C420">
        <v>2713</v>
      </c>
    </row>
    <row r="421" spans="1:3" x14ac:dyDescent="0.35">
      <c r="A421">
        <v>2014</v>
      </c>
      <c r="B421" t="s">
        <v>27</v>
      </c>
      <c r="C421">
        <v>2865</v>
      </c>
    </row>
    <row r="422" spans="1:3" x14ac:dyDescent="0.35">
      <c r="A422">
        <v>2015</v>
      </c>
      <c r="B422" t="s">
        <v>27</v>
      </c>
      <c r="C422">
        <v>3390.84</v>
      </c>
    </row>
    <row r="423" spans="1:3" x14ac:dyDescent="0.35">
      <c r="A423">
        <v>2016</v>
      </c>
      <c r="B423" t="s">
        <v>27</v>
      </c>
      <c r="C423">
        <v>4257.12</v>
      </c>
    </row>
    <row r="424" spans="1:3" x14ac:dyDescent="0.35">
      <c r="A424">
        <v>2017</v>
      </c>
      <c r="B424" t="s">
        <v>27</v>
      </c>
      <c r="C424">
        <v>4202</v>
      </c>
    </row>
    <row r="425" spans="1:3" x14ac:dyDescent="0.35">
      <c r="A425">
        <v>2018</v>
      </c>
      <c r="B425" t="s">
        <v>27</v>
      </c>
      <c r="C425">
        <v>4393.1099999999997</v>
      </c>
    </row>
    <row r="426" spans="1:3" x14ac:dyDescent="0.35">
      <c r="A426">
        <v>2019</v>
      </c>
      <c r="B426" t="s">
        <v>27</v>
      </c>
      <c r="C426">
        <v>4484.1580000000004</v>
      </c>
    </row>
    <row r="427" spans="1:3" x14ac:dyDescent="0.35">
      <c r="A427">
        <v>2020</v>
      </c>
      <c r="B427" t="s">
        <v>27</v>
      </c>
      <c r="C427">
        <v>6647.875</v>
      </c>
    </row>
    <row r="428" spans="1:3" x14ac:dyDescent="0.35">
      <c r="A428">
        <v>2021</v>
      </c>
      <c r="B428" t="s">
        <v>27</v>
      </c>
      <c r="C428">
        <v>7645.52</v>
      </c>
    </row>
    <row r="429" spans="1:3" x14ac:dyDescent="0.35">
      <c r="A429">
        <v>2022</v>
      </c>
      <c r="B429" t="s">
        <v>27</v>
      </c>
      <c r="C429">
        <v>8700.1090000000004</v>
      </c>
    </row>
    <row r="430" spans="1:3" x14ac:dyDescent="0.35">
      <c r="A430">
        <v>2023</v>
      </c>
      <c r="B430" t="s">
        <v>27</v>
      </c>
      <c r="C430">
        <v>10734.118</v>
      </c>
    </row>
    <row r="431" spans="1:3" x14ac:dyDescent="0.35">
      <c r="A431">
        <v>1999</v>
      </c>
      <c r="B431" t="s">
        <v>18</v>
      </c>
      <c r="C431">
        <v>3</v>
      </c>
    </row>
    <row r="432" spans="1:3" x14ac:dyDescent="0.35">
      <c r="A432">
        <v>2000</v>
      </c>
      <c r="B432" t="s">
        <v>18</v>
      </c>
      <c r="C432">
        <v>4</v>
      </c>
    </row>
    <row r="433" spans="1:3" x14ac:dyDescent="0.35">
      <c r="A433">
        <v>2001</v>
      </c>
      <c r="B433" t="s">
        <v>18</v>
      </c>
      <c r="C433">
        <v>19</v>
      </c>
    </row>
    <row r="434" spans="1:3" x14ac:dyDescent="0.35">
      <c r="A434">
        <v>2002</v>
      </c>
      <c r="B434" t="s">
        <v>18</v>
      </c>
      <c r="C434">
        <v>32</v>
      </c>
    </row>
    <row r="435" spans="1:3" x14ac:dyDescent="0.35">
      <c r="A435">
        <v>2003</v>
      </c>
      <c r="B435" t="s">
        <v>18</v>
      </c>
      <c r="C435">
        <v>35</v>
      </c>
    </row>
    <row r="436" spans="1:3" x14ac:dyDescent="0.35">
      <c r="A436">
        <v>2004</v>
      </c>
      <c r="B436" t="s">
        <v>18</v>
      </c>
      <c r="C436">
        <v>40</v>
      </c>
    </row>
    <row r="437" spans="1:3" x14ac:dyDescent="0.35">
      <c r="A437">
        <v>2005</v>
      </c>
      <c r="B437" t="s">
        <v>18</v>
      </c>
      <c r="C437">
        <v>121</v>
      </c>
    </row>
    <row r="438" spans="1:3" x14ac:dyDescent="0.35">
      <c r="A438">
        <v>2006</v>
      </c>
      <c r="B438" t="s">
        <v>18</v>
      </c>
      <c r="C438">
        <v>172</v>
      </c>
    </row>
    <row r="439" spans="1:3" x14ac:dyDescent="0.35">
      <c r="A439">
        <v>2007</v>
      </c>
      <c r="B439" t="s">
        <v>18</v>
      </c>
      <c r="C439">
        <v>306</v>
      </c>
    </row>
    <row r="440" spans="1:3" x14ac:dyDescent="0.35">
      <c r="A440">
        <v>2008</v>
      </c>
      <c r="B440" t="s">
        <v>18</v>
      </c>
      <c r="C440">
        <v>526</v>
      </c>
    </row>
    <row r="441" spans="1:3" x14ac:dyDescent="0.35">
      <c r="A441">
        <v>2009</v>
      </c>
      <c r="B441" t="s">
        <v>18</v>
      </c>
      <c r="C441">
        <v>709</v>
      </c>
    </row>
    <row r="442" spans="1:3" x14ac:dyDescent="0.35">
      <c r="A442">
        <v>2010</v>
      </c>
      <c r="B442" t="s">
        <v>18</v>
      </c>
      <c r="C442">
        <v>1108</v>
      </c>
    </row>
    <row r="443" spans="1:3" x14ac:dyDescent="0.35">
      <c r="A443">
        <v>2011</v>
      </c>
      <c r="B443" t="s">
        <v>18</v>
      </c>
      <c r="C443">
        <v>1800</v>
      </c>
    </row>
    <row r="444" spans="1:3" x14ac:dyDescent="0.35">
      <c r="A444">
        <v>2012</v>
      </c>
      <c r="B444" t="s">
        <v>18</v>
      </c>
      <c r="C444">
        <v>2564</v>
      </c>
    </row>
    <row r="445" spans="1:3" x14ac:dyDescent="0.35">
      <c r="A445">
        <v>2013</v>
      </c>
      <c r="B445" t="s">
        <v>18</v>
      </c>
      <c r="C445">
        <v>3429</v>
      </c>
    </row>
    <row r="446" spans="1:3" x14ac:dyDescent="0.35">
      <c r="A446">
        <v>2014</v>
      </c>
      <c r="B446" t="s">
        <v>18</v>
      </c>
      <c r="C446">
        <v>3836</v>
      </c>
    </row>
    <row r="447" spans="1:3" x14ac:dyDescent="0.35">
      <c r="A447">
        <v>2015</v>
      </c>
      <c r="B447" t="s">
        <v>18</v>
      </c>
      <c r="C447">
        <v>4886</v>
      </c>
    </row>
    <row r="448" spans="1:3" x14ac:dyDescent="0.35">
      <c r="A448">
        <v>2016</v>
      </c>
      <c r="B448" t="s">
        <v>18</v>
      </c>
      <c r="C448">
        <v>5747</v>
      </c>
    </row>
    <row r="449" spans="1:3" x14ac:dyDescent="0.35">
      <c r="A449">
        <v>2017</v>
      </c>
      <c r="B449" t="s">
        <v>18</v>
      </c>
      <c r="C449">
        <v>5759.357</v>
      </c>
    </row>
    <row r="450" spans="1:3" x14ac:dyDescent="0.35">
      <c r="A450">
        <v>2018</v>
      </c>
      <c r="B450" t="s">
        <v>18</v>
      </c>
      <c r="C450">
        <v>5766.0780000000004</v>
      </c>
    </row>
    <row r="451" spans="1:3" x14ac:dyDescent="0.35">
      <c r="A451">
        <v>2019</v>
      </c>
      <c r="B451" t="s">
        <v>18</v>
      </c>
      <c r="C451">
        <v>5837.7610000000004</v>
      </c>
    </row>
    <row r="452" spans="1:3" x14ac:dyDescent="0.35">
      <c r="A452">
        <v>2020</v>
      </c>
      <c r="B452" t="s">
        <v>18</v>
      </c>
      <c r="C452">
        <v>6298.25</v>
      </c>
    </row>
    <row r="453" spans="1:3" x14ac:dyDescent="0.35">
      <c r="A453">
        <v>2021</v>
      </c>
      <c r="B453" t="s">
        <v>18</v>
      </c>
      <c r="C453">
        <v>6967.3389999999999</v>
      </c>
    </row>
    <row r="454" spans="1:3" x14ac:dyDescent="0.35">
      <c r="A454">
        <v>2022</v>
      </c>
      <c r="B454" t="s">
        <v>18</v>
      </c>
      <c r="C454">
        <v>8150.2349999999997</v>
      </c>
    </row>
    <row r="455" spans="1:3" x14ac:dyDescent="0.35">
      <c r="A455">
        <v>2023</v>
      </c>
      <c r="B455" t="s">
        <v>18</v>
      </c>
      <c r="C455">
        <v>9343.3209999999999</v>
      </c>
    </row>
    <row r="456" spans="1:3" x14ac:dyDescent="0.35">
      <c r="A456">
        <v>1990</v>
      </c>
      <c r="B456" t="s">
        <v>14</v>
      </c>
      <c r="C456">
        <v>1</v>
      </c>
    </row>
    <row r="457" spans="1:3" x14ac:dyDescent="0.35">
      <c r="A457">
        <v>1991</v>
      </c>
      <c r="B457" t="s">
        <v>14</v>
      </c>
      <c r="C457">
        <v>1</v>
      </c>
    </row>
    <row r="458" spans="1:3" x14ac:dyDescent="0.35">
      <c r="A458">
        <v>1992</v>
      </c>
      <c r="B458" t="s">
        <v>14</v>
      </c>
      <c r="C458">
        <v>3</v>
      </c>
    </row>
    <row r="459" spans="1:3" x14ac:dyDescent="0.35">
      <c r="A459">
        <v>1993</v>
      </c>
      <c r="B459" t="s">
        <v>14</v>
      </c>
      <c r="C459">
        <v>8</v>
      </c>
    </row>
    <row r="460" spans="1:3" x14ac:dyDescent="0.35">
      <c r="A460">
        <v>1994</v>
      </c>
      <c r="B460" t="s">
        <v>14</v>
      </c>
      <c r="C460">
        <v>8</v>
      </c>
    </row>
    <row r="461" spans="1:3" x14ac:dyDescent="0.35">
      <c r="A461">
        <v>1995</v>
      </c>
      <c r="B461" t="s">
        <v>14</v>
      </c>
      <c r="C461">
        <v>8</v>
      </c>
    </row>
    <row r="462" spans="1:3" x14ac:dyDescent="0.35">
      <c r="A462">
        <v>1996</v>
      </c>
      <c r="B462" t="s">
        <v>14</v>
      </c>
      <c r="C462">
        <v>18</v>
      </c>
    </row>
    <row r="463" spans="1:3" x14ac:dyDescent="0.35">
      <c r="A463">
        <v>1997</v>
      </c>
      <c r="B463" t="s">
        <v>14</v>
      </c>
      <c r="C463">
        <v>29</v>
      </c>
    </row>
    <row r="464" spans="1:3" x14ac:dyDescent="0.35">
      <c r="A464">
        <v>1998</v>
      </c>
      <c r="B464" t="s">
        <v>14</v>
      </c>
      <c r="C464">
        <v>48</v>
      </c>
    </row>
    <row r="465" spans="1:3" x14ac:dyDescent="0.35">
      <c r="A465">
        <v>1999</v>
      </c>
      <c r="B465" t="s">
        <v>14</v>
      </c>
      <c r="C465">
        <v>57</v>
      </c>
    </row>
    <row r="466" spans="1:3" x14ac:dyDescent="0.35">
      <c r="A466">
        <v>2000</v>
      </c>
      <c r="B466" t="s">
        <v>14</v>
      </c>
      <c r="C466">
        <v>83</v>
      </c>
    </row>
    <row r="467" spans="1:3" x14ac:dyDescent="0.35">
      <c r="A467">
        <v>2001</v>
      </c>
      <c r="B467" t="s">
        <v>14</v>
      </c>
      <c r="C467">
        <v>125</v>
      </c>
    </row>
    <row r="468" spans="1:3" x14ac:dyDescent="0.35">
      <c r="A468">
        <v>2002</v>
      </c>
      <c r="B468" t="s">
        <v>14</v>
      </c>
      <c r="C468">
        <v>190</v>
      </c>
    </row>
    <row r="469" spans="1:3" x14ac:dyDescent="0.35">
      <c r="A469">
        <v>2003</v>
      </c>
      <c r="B469" t="s">
        <v>14</v>
      </c>
      <c r="C469">
        <v>268</v>
      </c>
    </row>
    <row r="470" spans="1:3" x14ac:dyDescent="0.35">
      <c r="A470">
        <v>2004</v>
      </c>
      <c r="B470" t="s">
        <v>14</v>
      </c>
      <c r="C470">
        <v>553</v>
      </c>
    </row>
    <row r="471" spans="1:3" x14ac:dyDescent="0.35">
      <c r="A471">
        <v>2005</v>
      </c>
      <c r="B471" t="s">
        <v>14</v>
      </c>
      <c r="C471">
        <v>1064</v>
      </c>
    </row>
    <row r="472" spans="1:3" x14ac:dyDescent="0.35">
      <c r="A472">
        <v>2006</v>
      </c>
      <c r="B472" t="s">
        <v>14</v>
      </c>
      <c r="C472">
        <v>1681</v>
      </c>
    </row>
    <row r="473" spans="1:3" x14ac:dyDescent="0.35">
      <c r="A473">
        <v>2007</v>
      </c>
      <c r="B473" t="s">
        <v>14</v>
      </c>
      <c r="C473">
        <v>2201</v>
      </c>
    </row>
    <row r="474" spans="1:3" x14ac:dyDescent="0.35">
      <c r="A474">
        <v>2008</v>
      </c>
      <c r="B474" t="s">
        <v>14</v>
      </c>
      <c r="C474">
        <v>2857</v>
      </c>
    </row>
    <row r="475" spans="1:3" x14ac:dyDescent="0.35">
      <c r="A475">
        <v>2009</v>
      </c>
      <c r="B475" t="s">
        <v>14</v>
      </c>
      <c r="C475">
        <v>3326</v>
      </c>
    </row>
    <row r="476" spans="1:3" x14ac:dyDescent="0.35">
      <c r="A476">
        <v>2010</v>
      </c>
      <c r="B476" t="s">
        <v>14</v>
      </c>
      <c r="C476">
        <v>3796</v>
      </c>
    </row>
    <row r="477" spans="1:3" x14ac:dyDescent="0.35">
      <c r="A477">
        <v>2011</v>
      </c>
      <c r="B477" t="s">
        <v>14</v>
      </c>
      <c r="C477">
        <v>4256.2150000000001</v>
      </c>
    </row>
    <row r="478" spans="1:3" x14ac:dyDescent="0.35">
      <c r="A478">
        <v>2012</v>
      </c>
      <c r="B478" t="s">
        <v>14</v>
      </c>
      <c r="C478">
        <v>4411.5519999999997</v>
      </c>
    </row>
    <row r="479" spans="1:3" x14ac:dyDescent="0.35">
      <c r="A479">
        <v>2013</v>
      </c>
      <c r="B479" t="s">
        <v>14</v>
      </c>
      <c r="C479">
        <v>4609.9489999999996</v>
      </c>
    </row>
    <row r="480" spans="1:3" x14ac:dyDescent="0.35">
      <c r="A480">
        <v>2014</v>
      </c>
      <c r="B480" t="s">
        <v>14</v>
      </c>
      <c r="C480">
        <v>4856.5559999999996</v>
      </c>
    </row>
    <row r="481" spans="1:3" x14ac:dyDescent="0.35">
      <c r="A481">
        <v>2015</v>
      </c>
      <c r="B481" t="s">
        <v>14</v>
      </c>
      <c r="C481">
        <v>4936.8379999999997</v>
      </c>
    </row>
    <row r="482" spans="1:3" x14ac:dyDescent="0.35">
      <c r="A482">
        <v>2016</v>
      </c>
      <c r="B482" t="s">
        <v>14</v>
      </c>
      <c r="C482">
        <v>5124.1030000000001</v>
      </c>
    </row>
    <row r="483" spans="1:3" x14ac:dyDescent="0.35">
      <c r="A483">
        <v>2017</v>
      </c>
      <c r="B483" t="s">
        <v>14</v>
      </c>
      <c r="C483">
        <v>5124.1049999999996</v>
      </c>
    </row>
    <row r="484" spans="1:3" x14ac:dyDescent="0.35">
      <c r="A484">
        <v>2018</v>
      </c>
      <c r="B484" t="s">
        <v>14</v>
      </c>
      <c r="C484">
        <v>5172.3590000000004</v>
      </c>
    </row>
    <row r="485" spans="1:3" x14ac:dyDescent="0.35">
      <c r="A485">
        <v>2019</v>
      </c>
      <c r="B485" t="s">
        <v>14</v>
      </c>
      <c r="C485">
        <v>5222.7449999999999</v>
      </c>
    </row>
    <row r="486" spans="1:3" x14ac:dyDescent="0.35">
      <c r="A486">
        <v>2020</v>
      </c>
      <c r="B486" t="s">
        <v>14</v>
      </c>
      <c r="C486">
        <v>5122.259</v>
      </c>
    </row>
    <row r="487" spans="1:3" x14ac:dyDescent="0.35">
      <c r="A487">
        <v>2021</v>
      </c>
      <c r="B487" t="s">
        <v>14</v>
      </c>
      <c r="C487">
        <v>5427.326</v>
      </c>
    </row>
    <row r="488" spans="1:3" x14ac:dyDescent="0.35">
      <c r="A488">
        <v>2022</v>
      </c>
      <c r="B488" t="s">
        <v>14</v>
      </c>
      <c r="C488">
        <v>5538.1390000000001</v>
      </c>
    </row>
    <row r="489" spans="1:3" x14ac:dyDescent="0.35">
      <c r="A489">
        <v>2023</v>
      </c>
      <c r="B489" t="s">
        <v>14</v>
      </c>
      <c r="C489">
        <v>5538.14</v>
      </c>
    </row>
    <row r="490" spans="1:3" x14ac:dyDescent="0.35">
      <c r="A490">
        <v>1990</v>
      </c>
      <c r="B490" t="s">
        <v>22</v>
      </c>
      <c r="C490">
        <v>8</v>
      </c>
    </row>
    <row r="491" spans="1:3" x14ac:dyDescent="0.35">
      <c r="A491">
        <v>1991</v>
      </c>
      <c r="B491" t="s">
        <v>22</v>
      </c>
      <c r="C491">
        <v>12</v>
      </c>
    </row>
    <row r="492" spans="1:3" x14ac:dyDescent="0.35">
      <c r="A492">
        <v>1992</v>
      </c>
      <c r="B492" t="s">
        <v>22</v>
      </c>
      <c r="C492">
        <v>20</v>
      </c>
    </row>
    <row r="493" spans="1:3" x14ac:dyDescent="0.35">
      <c r="A493">
        <v>1993</v>
      </c>
      <c r="B493" t="s">
        <v>22</v>
      </c>
      <c r="C493">
        <v>29</v>
      </c>
    </row>
    <row r="494" spans="1:3" x14ac:dyDescent="0.35">
      <c r="A494">
        <v>1994</v>
      </c>
      <c r="B494" t="s">
        <v>22</v>
      </c>
      <c r="C494">
        <v>40</v>
      </c>
    </row>
    <row r="495" spans="1:3" x14ac:dyDescent="0.35">
      <c r="A495">
        <v>1995</v>
      </c>
      <c r="B495" t="s">
        <v>22</v>
      </c>
      <c r="C495">
        <v>67</v>
      </c>
    </row>
    <row r="496" spans="1:3" x14ac:dyDescent="0.35">
      <c r="A496">
        <v>1996</v>
      </c>
      <c r="B496" t="s">
        <v>22</v>
      </c>
      <c r="C496">
        <v>105</v>
      </c>
    </row>
    <row r="497" spans="1:3" x14ac:dyDescent="0.35">
      <c r="A497">
        <v>1997</v>
      </c>
      <c r="B497" t="s">
        <v>22</v>
      </c>
      <c r="C497">
        <v>123</v>
      </c>
    </row>
    <row r="498" spans="1:3" x14ac:dyDescent="0.35">
      <c r="A498">
        <v>1998</v>
      </c>
      <c r="B498" t="s">
        <v>22</v>
      </c>
      <c r="C498">
        <v>174</v>
      </c>
    </row>
    <row r="499" spans="1:3" x14ac:dyDescent="0.35">
      <c r="A499">
        <v>1999</v>
      </c>
      <c r="B499" t="s">
        <v>22</v>
      </c>
      <c r="C499">
        <v>196</v>
      </c>
    </row>
    <row r="500" spans="1:3" x14ac:dyDescent="0.35">
      <c r="A500">
        <v>2000</v>
      </c>
      <c r="B500" t="s">
        <v>22</v>
      </c>
      <c r="C500">
        <v>209</v>
      </c>
    </row>
    <row r="501" spans="1:3" x14ac:dyDescent="0.35">
      <c r="A501">
        <v>2001</v>
      </c>
      <c r="B501" t="s">
        <v>22</v>
      </c>
      <c r="C501">
        <v>295</v>
      </c>
    </row>
    <row r="502" spans="1:3" x14ac:dyDescent="0.35">
      <c r="A502">
        <v>2002</v>
      </c>
      <c r="B502" t="s">
        <v>22</v>
      </c>
      <c r="C502">
        <v>357</v>
      </c>
    </row>
    <row r="503" spans="1:3" x14ac:dyDescent="0.35">
      <c r="A503">
        <v>2003</v>
      </c>
      <c r="B503" t="s">
        <v>22</v>
      </c>
      <c r="C503">
        <v>417</v>
      </c>
    </row>
    <row r="504" spans="1:3" x14ac:dyDescent="0.35">
      <c r="A504">
        <v>2004</v>
      </c>
      <c r="B504" t="s">
        <v>22</v>
      </c>
      <c r="C504">
        <v>475</v>
      </c>
    </row>
    <row r="505" spans="1:3" x14ac:dyDescent="0.35">
      <c r="A505">
        <v>2005</v>
      </c>
      <c r="B505" t="s">
        <v>22</v>
      </c>
      <c r="C505">
        <v>522</v>
      </c>
    </row>
    <row r="506" spans="1:3" x14ac:dyDescent="0.35">
      <c r="A506">
        <v>2006</v>
      </c>
      <c r="B506" t="s">
        <v>22</v>
      </c>
      <c r="C506">
        <v>585</v>
      </c>
    </row>
    <row r="507" spans="1:3" x14ac:dyDescent="0.35">
      <c r="A507">
        <v>2007</v>
      </c>
      <c r="B507" t="s">
        <v>22</v>
      </c>
      <c r="C507">
        <v>823</v>
      </c>
    </row>
    <row r="508" spans="1:3" x14ac:dyDescent="0.35">
      <c r="A508">
        <v>2008</v>
      </c>
      <c r="B508" t="s">
        <v>22</v>
      </c>
      <c r="C508">
        <v>1089</v>
      </c>
    </row>
    <row r="509" spans="1:3" x14ac:dyDescent="0.35">
      <c r="A509">
        <v>2009</v>
      </c>
      <c r="B509" t="s">
        <v>22</v>
      </c>
      <c r="C509">
        <v>1475</v>
      </c>
    </row>
    <row r="510" spans="1:3" x14ac:dyDescent="0.35">
      <c r="A510">
        <v>2010</v>
      </c>
      <c r="B510" t="s">
        <v>22</v>
      </c>
      <c r="C510">
        <v>2017</v>
      </c>
    </row>
    <row r="511" spans="1:3" x14ac:dyDescent="0.35">
      <c r="A511">
        <v>2011</v>
      </c>
      <c r="B511" t="s">
        <v>22</v>
      </c>
      <c r="C511">
        <v>2764</v>
      </c>
    </row>
    <row r="512" spans="1:3" x14ac:dyDescent="0.35">
      <c r="A512">
        <v>2012</v>
      </c>
      <c r="B512" t="s">
        <v>22</v>
      </c>
      <c r="C512">
        <v>3606</v>
      </c>
    </row>
    <row r="513" spans="1:3" x14ac:dyDescent="0.35">
      <c r="A513">
        <v>2013</v>
      </c>
      <c r="B513" t="s">
        <v>22</v>
      </c>
      <c r="C513">
        <v>4194</v>
      </c>
    </row>
    <row r="514" spans="1:3" x14ac:dyDescent="0.35">
      <c r="A514">
        <v>2014</v>
      </c>
      <c r="B514" t="s">
        <v>22</v>
      </c>
      <c r="C514">
        <v>5088</v>
      </c>
    </row>
    <row r="515" spans="1:3" x14ac:dyDescent="0.35">
      <c r="A515">
        <v>2015</v>
      </c>
      <c r="B515" t="s">
        <v>22</v>
      </c>
      <c r="C515">
        <v>5819</v>
      </c>
    </row>
    <row r="516" spans="1:3" x14ac:dyDescent="0.35">
      <c r="A516">
        <v>2016</v>
      </c>
      <c r="B516" t="s">
        <v>22</v>
      </c>
      <c r="C516">
        <v>6435</v>
      </c>
    </row>
    <row r="517" spans="1:3" x14ac:dyDescent="0.35">
      <c r="A517">
        <v>2017</v>
      </c>
      <c r="B517" t="s">
        <v>22</v>
      </c>
      <c r="C517">
        <v>6611</v>
      </c>
    </row>
    <row r="518" spans="1:3" x14ac:dyDescent="0.35">
      <c r="A518">
        <v>2018</v>
      </c>
      <c r="B518" t="s">
        <v>22</v>
      </c>
      <c r="C518">
        <v>7300</v>
      </c>
    </row>
    <row r="519" spans="1:3" x14ac:dyDescent="0.35">
      <c r="A519">
        <v>2019</v>
      </c>
      <c r="B519" t="s">
        <v>22</v>
      </c>
      <c r="C519">
        <v>8681</v>
      </c>
    </row>
    <row r="520" spans="1:3" x14ac:dyDescent="0.35">
      <c r="A520">
        <v>2020</v>
      </c>
      <c r="B520" t="s">
        <v>22</v>
      </c>
      <c r="C520">
        <v>9976</v>
      </c>
    </row>
    <row r="521" spans="1:3" x14ac:dyDescent="0.35">
      <c r="A521">
        <v>2021</v>
      </c>
      <c r="B521" t="s">
        <v>22</v>
      </c>
      <c r="C521">
        <v>12116</v>
      </c>
    </row>
    <row r="522" spans="1:3" x14ac:dyDescent="0.35">
      <c r="A522">
        <v>2022</v>
      </c>
      <c r="B522" t="s">
        <v>22</v>
      </c>
      <c r="C522">
        <v>14279</v>
      </c>
    </row>
    <row r="523" spans="1:3" x14ac:dyDescent="0.35">
      <c r="A523">
        <v>2023</v>
      </c>
      <c r="B523" t="s">
        <v>22</v>
      </c>
      <c r="C523">
        <v>16224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3BDE-9D43-4539-A56F-794E1006A178}">
  <dimension ref="A1:K507"/>
  <sheetViews>
    <sheetView workbookViewId="0">
      <selection activeCell="G2" sqref="G2"/>
    </sheetView>
  </sheetViews>
  <sheetFormatPr defaultRowHeight="14.5" x14ac:dyDescent="0.35"/>
  <cols>
    <col min="10" max="10" width="14.6328125" bestFit="1" customWidth="1"/>
  </cols>
  <sheetData>
    <row r="1" spans="1:11" x14ac:dyDescent="0.35">
      <c r="A1" t="s">
        <v>0</v>
      </c>
      <c r="B1" t="s">
        <v>1</v>
      </c>
      <c r="C1" t="s">
        <v>36</v>
      </c>
      <c r="G1" s="2" t="s">
        <v>58</v>
      </c>
      <c r="H1" s="2"/>
      <c r="I1" s="2"/>
      <c r="J1" s="5" t="s">
        <v>55</v>
      </c>
      <c r="K1" s="8">
        <v>2023</v>
      </c>
    </row>
    <row r="2" spans="1:11" x14ac:dyDescent="0.35">
      <c r="A2" t="s">
        <v>30</v>
      </c>
      <c r="B2">
        <v>1991</v>
      </c>
      <c r="C2">
        <v>-8.2265578069234806</v>
      </c>
      <c r="G2" s="7">
        <f>SUMIF($B$2:$B$507,$K$1,$C$2:$C$507)/1000</f>
        <v>241.69640143052567</v>
      </c>
      <c r="H2" s="2"/>
      <c r="I2" s="2"/>
      <c r="J2" s="2"/>
    </row>
    <row r="3" spans="1:11" x14ac:dyDescent="0.35">
      <c r="A3" t="s">
        <v>30</v>
      </c>
      <c r="B3">
        <v>1992</v>
      </c>
      <c r="C3">
        <v>-12.430992428873999</v>
      </c>
    </row>
    <row r="4" spans="1:11" x14ac:dyDescent="0.35">
      <c r="A4" t="s">
        <v>30</v>
      </c>
      <c r="B4">
        <v>1993</v>
      </c>
      <c r="C4">
        <v>-10.517071791362101</v>
      </c>
    </row>
    <row r="5" spans="1:11" x14ac:dyDescent="0.35">
      <c r="A5" t="s">
        <v>30</v>
      </c>
      <c r="B5">
        <v>1994</v>
      </c>
      <c r="C5">
        <v>-4.4677335153495497</v>
      </c>
    </row>
    <row r="6" spans="1:11" x14ac:dyDescent="0.35">
      <c r="A6" t="s">
        <v>30</v>
      </c>
      <c r="B6">
        <v>1995</v>
      </c>
      <c r="C6">
        <v>13.6259843162994</v>
      </c>
    </row>
    <row r="7" spans="1:11" x14ac:dyDescent="0.35">
      <c r="A7" t="s">
        <v>30</v>
      </c>
      <c r="B7">
        <v>1996</v>
      </c>
      <c r="C7">
        <v>41.366119809449401</v>
      </c>
    </row>
    <row r="8" spans="1:11" x14ac:dyDescent="0.35">
      <c r="A8" t="s">
        <v>30</v>
      </c>
      <c r="B8">
        <v>1997</v>
      </c>
      <c r="C8">
        <v>81.797646871028107</v>
      </c>
    </row>
    <row r="9" spans="1:11" x14ac:dyDescent="0.35">
      <c r="A9" t="s">
        <v>30</v>
      </c>
      <c r="B9">
        <v>1998</v>
      </c>
      <c r="C9">
        <v>125.663317138167</v>
      </c>
    </row>
    <row r="10" spans="1:11" x14ac:dyDescent="0.35">
      <c r="A10" t="s">
        <v>30</v>
      </c>
      <c r="B10">
        <v>1999</v>
      </c>
      <c r="C10">
        <v>181.79522052697001</v>
      </c>
    </row>
    <row r="11" spans="1:11" x14ac:dyDescent="0.35">
      <c r="A11" t="s">
        <v>30</v>
      </c>
      <c r="B11">
        <v>2000</v>
      </c>
      <c r="C11">
        <v>239.55534445135601</v>
      </c>
    </row>
    <row r="12" spans="1:11" x14ac:dyDescent="0.35">
      <c r="A12" t="s">
        <v>30</v>
      </c>
      <c r="B12">
        <v>2001</v>
      </c>
      <c r="C12">
        <v>311.97932183110697</v>
      </c>
    </row>
    <row r="13" spans="1:11" x14ac:dyDescent="0.35">
      <c r="A13" t="s">
        <v>30</v>
      </c>
      <c r="B13">
        <v>2002</v>
      </c>
      <c r="C13">
        <v>386.63778912785801</v>
      </c>
    </row>
    <row r="14" spans="1:11" x14ac:dyDescent="0.35">
      <c r="A14" t="s">
        <v>30</v>
      </c>
      <c r="B14">
        <v>2003</v>
      </c>
      <c r="C14">
        <v>478.87439765896301</v>
      </c>
    </row>
    <row r="15" spans="1:11" x14ac:dyDescent="0.35">
      <c r="A15" t="s">
        <v>30</v>
      </c>
      <c r="B15">
        <v>2004</v>
      </c>
      <c r="C15">
        <v>568.16094759425505</v>
      </c>
    </row>
    <row r="16" spans="1:11" x14ac:dyDescent="0.35">
      <c r="A16" t="s">
        <v>30</v>
      </c>
      <c r="B16">
        <v>2005</v>
      </c>
      <c r="C16">
        <v>676.09798365981806</v>
      </c>
    </row>
    <row r="17" spans="1:3" x14ac:dyDescent="0.35">
      <c r="A17" t="s">
        <v>30</v>
      </c>
      <c r="B17">
        <v>2006</v>
      </c>
      <c r="C17">
        <v>775.93113545534095</v>
      </c>
    </row>
    <row r="18" spans="1:3" x14ac:dyDescent="0.35">
      <c r="A18" t="s">
        <v>30</v>
      </c>
      <c r="B18">
        <v>2007</v>
      </c>
      <c r="C18">
        <v>871.23780978655702</v>
      </c>
    </row>
    <row r="19" spans="1:3" x14ac:dyDescent="0.35">
      <c r="A19" t="s">
        <v>30</v>
      </c>
      <c r="B19">
        <v>2008</v>
      </c>
      <c r="C19">
        <v>953.60674092909801</v>
      </c>
    </row>
    <row r="20" spans="1:3" x14ac:dyDescent="0.35">
      <c r="A20" t="s">
        <v>30</v>
      </c>
      <c r="B20">
        <v>2009</v>
      </c>
      <c r="C20">
        <v>1034.0548867929999</v>
      </c>
    </row>
    <row r="21" spans="1:3" x14ac:dyDescent="0.35">
      <c r="A21" t="s">
        <v>30</v>
      </c>
      <c r="B21">
        <v>2010</v>
      </c>
      <c r="C21">
        <v>1131.01278776854</v>
      </c>
    </row>
    <row r="22" spans="1:3" x14ac:dyDescent="0.35">
      <c r="A22" t="s">
        <v>30</v>
      </c>
      <c r="B22">
        <v>2011</v>
      </c>
      <c r="C22">
        <v>1229.86854561479</v>
      </c>
    </row>
    <row r="23" spans="1:3" x14ac:dyDescent="0.35">
      <c r="A23" t="s">
        <v>30</v>
      </c>
      <c r="B23">
        <v>2012</v>
      </c>
      <c r="C23">
        <v>1352.1793404074999</v>
      </c>
    </row>
    <row r="24" spans="1:3" x14ac:dyDescent="0.35">
      <c r="A24" t="s">
        <v>30</v>
      </c>
      <c r="B24">
        <v>2013</v>
      </c>
      <c r="C24">
        <v>1470.24333279354</v>
      </c>
    </row>
    <row r="25" spans="1:3" x14ac:dyDescent="0.35">
      <c r="A25" t="s">
        <v>30</v>
      </c>
      <c r="B25">
        <v>2014</v>
      </c>
      <c r="C25">
        <v>1604.7093076085901</v>
      </c>
    </row>
    <row r="26" spans="1:3" x14ac:dyDescent="0.35">
      <c r="A26" t="s">
        <v>30</v>
      </c>
      <c r="B26">
        <v>2015</v>
      </c>
      <c r="C26">
        <v>1781.08181825924</v>
      </c>
    </row>
    <row r="27" spans="1:3" x14ac:dyDescent="0.35">
      <c r="A27" t="s">
        <v>30</v>
      </c>
      <c r="B27">
        <v>2016</v>
      </c>
      <c r="C27">
        <v>1966.44609014614</v>
      </c>
    </row>
    <row r="28" spans="1:3" x14ac:dyDescent="0.35">
      <c r="A28" t="s">
        <v>30</v>
      </c>
      <c r="B28">
        <v>2017</v>
      </c>
      <c r="C28">
        <v>2146.3396303507402</v>
      </c>
    </row>
    <row r="29" spans="1:3" x14ac:dyDescent="0.35">
      <c r="A29" t="s">
        <v>30</v>
      </c>
      <c r="B29">
        <v>2018</v>
      </c>
      <c r="C29">
        <v>2342.0630908839098</v>
      </c>
    </row>
    <row r="30" spans="1:3" x14ac:dyDescent="0.35">
      <c r="A30" t="s">
        <v>30</v>
      </c>
      <c r="B30">
        <v>2019</v>
      </c>
      <c r="C30">
        <v>2576.0418308916101</v>
      </c>
    </row>
    <row r="31" spans="1:3" x14ac:dyDescent="0.35">
      <c r="A31" t="s">
        <v>30</v>
      </c>
      <c r="B31">
        <v>2020</v>
      </c>
      <c r="C31">
        <v>2869.9739318009902</v>
      </c>
    </row>
    <row r="32" spans="1:3" x14ac:dyDescent="0.35">
      <c r="A32" t="s">
        <v>30</v>
      </c>
      <c r="B32">
        <v>2021</v>
      </c>
      <c r="C32">
        <v>3184.6480966184099</v>
      </c>
    </row>
    <row r="33" spans="1:3" x14ac:dyDescent="0.35">
      <c r="A33" t="s">
        <v>30</v>
      </c>
      <c r="B33">
        <v>2022</v>
      </c>
      <c r="C33">
        <v>3490.9743935710799</v>
      </c>
    </row>
    <row r="34" spans="1:3" x14ac:dyDescent="0.35">
      <c r="A34" t="s">
        <v>30</v>
      </c>
      <c r="B34">
        <v>2023</v>
      </c>
      <c r="C34">
        <v>3836.56548010498</v>
      </c>
    </row>
    <row r="35" spans="1:3" x14ac:dyDescent="0.35">
      <c r="A35" t="s">
        <v>31</v>
      </c>
      <c r="B35">
        <v>1991</v>
      </c>
      <c r="C35">
        <v>2.36304009915861</v>
      </c>
    </row>
    <row r="36" spans="1:3" x14ac:dyDescent="0.35">
      <c r="A36" t="s">
        <v>31</v>
      </c>
      <c r="B36">
        <v>1992</v>
      </c>
      <c r="C36">
        <v>7.8625886161356098</v>
      </c>
    </row>
    <row r="37" spans="1:3" x14ac:dyDescent="0.35">
      <c r="A37" t="s">
        <v>31</v>
      </c>
      <c r="B37">
        <v>1993</v>
      </c>
      <c r="C37">
        <v>21.679653256683299</v>
      </c>
    </row>
    <row r="38" spans="1:3" x14ac:dyDescent="0.35">
      <c r="A38" t="s">
        <v>31</v>
      </c>
      <c r="B38">
        <v>1994</v>
      </c>
      <c r="C38">
        <v>39.446623392243303</v>
      </c>
    </row>
    <row r="39" spans="1:3" x14ac:dyDescent="0.35">
      <c r="A39" t="s">
        <v>31</v>
      </c>
      <c r="B39">
        <v>1995</v>
      </c>
      <c r="C39">
        <v>71.635675030147894</v>
      </c>
    </row>
    <row r="40" spans="1:3" x14ac:dyDescent="0.35">
      <c r="A40" t="s">
        <v>31</v>
      </c>
      <c r="B40">
        <v>1996</v>
      </c>
      <c r="C40">
        <v>115.132549645578</v>
      </c>
    </row>
    <row r="41" spans="1:3" x14ac:dyDescent="0.35">
      <c r="A41" t="s">
        <v>31</v>
      </c>
      <c r="B41">
        <v>1997</v>
      </c>
      <c r="C41">
        <v>173.198667765794</v>
      </c>
    </row>
    <row r="42" spans="1:3" x14ac:dyDescent="0.35">
      <c r="A42" t="s">
        <v>31</v>
      </c>
      <c r="B42">
        <v>1998</v>
      </c>
      <c r="C42">
        <v>235.060800086603</v>
      </c>
    </row>
    <row r="43" spans="1:3" x14ac:dyDescent="0.35">
      <c r="A43" t="s">
        <v>31</v>
      </c>
      <c r="B43">
        <v>1999</v>
      </c>
      <c r="C43">
        <v>310.70788766353701</v>
      </c>
    </row>
    <row r="44" spans="1:3" x14ac:dyDescent="0.35">
      <c r="A44" t="s">
        <v>31</v>
      </c>
      <c r="B44">
        <v>2000</v>
      </c>
      <c r="C44">
        <v>388.70054845411897</v>
      </c>
    </row>
    <row r="45" spans="1:3" x14ac:dyDescent="0.35">
      <c r="A45" t="s">
        <v>31</v>
      </c>
      <c r="B45">
        <v>2001</v>
      </c>
      <c r="C45">
        <v>483.22013445543899</v>
      </c>
    </row>
    <row r="46" spans="1:3" x14ac:dyDescent="0.35">
      <c r="A46" t="s">
        <v>31</v>
      </c>
      <c r="B46">
        <v>2002</v>
      </c>
      <c r="C46">
        <v>580.25810676325102</v>
      </c>
    </row>
    <row r="47" spans="1:3" x14ac:dyDescent="0.35">
      <c r="A47" t="s">
        <v>31</v>
      </c>
      <c r="B47">
        <v>2003</v>
      </c>
      <c r="C47">
        <v>696.41361444201198</v>
      </c>
    </row>
    <row r="48" spans="1:3" x14ac:dyDescent="0.35">
      <c r="A48" t="s">
        <v>31</v>
      </c>
      <c r="B48">
        <v>2004</v>
      </c>
      <c r="C48">
        <v>809.25482026720101</v>
      </c>
    </row>
    <row r="49" spans="1:3" x14ac:dyDescent="0.35">
      <c r="A49" t="s">
        <v>31</v>
      </c>
      <c r="B49">
        <v>2005</v>
      </c>
      <c r="C49">
        <v>943.79946971391598</v>
      </c>
    </row>
    <row r="50" spans="1:3" x14ac:dyDescent="0.35">
      <c r="A50" t="s">
        <v>31</v>
      </c>
      <c r="B50">
        <v>2006</v>
      </c>
      <c r="C50">
        <v>1069.2106202713301</v>
      </c>
    </row>
    <row r="51" spans="1:3" x14ac:dyDescent="0.35">
      <c r="A51" t="s">
        <v>31</v>
      </c>
      <c r="B51">
        <v>2007</v>
      </c>
      <c r="C51">
        <v>1189.52019539713</v>
      </c>
    </row>
    <row r="52" spans="1:3" x14ac:dyDescent="0.35">
      <c r="A52" t="s">
        <v>31</v>
      </c>
      <c r="B52">
        <v>2008</v>
      </c>
      <c r="C52">
        <v>1295.2482613223799</v>
      </c>
    </row>
    <row r="53" spans="1:3" x14ac:dyDescent="0.35">
      <c r="A53" t="s">
        <v>31</v>
      </c>
      <c r="B53">
        <v>2009</v>
      </c>
      <c r="C53">
        <v>1398.8115023779201</v>
      </c>
    </row>
    <row r="54" spans="1:3" x14ac:dyDescent="0.35">
      <c r="A54" t="s">
        <v>31</v>
      </c>
      <c r="B54">
        <v>2010</v>
      </c>
      <c r="C54">
        <v>1518.50687709114</v>
      </c>
    </row>
    <row r="55" spans="1:3" x14ac:dyDescent="0.35">
      <c r="A55" t="s">
        <v>31</v>
      </c>
      <c r="B55">
        <v>2011</v>
      </c>
      <c r="C55">
        <v>1635.9441973611299</v>
      </c>
    </row>
    <row r="56" spans="1:3" x14ac:dyDescent="0.35">
      <c r="A56" t="s">
        <v>31</v>
      </c>
      <c r="B56">
        <v>2012</v>
      </c>
      <c r="C56">
        <v>1780.2798053850499</v>
      </c>
    </row>
    <row r="57" spans="1:3" x14ac:dyDescent="0.35">
      <c r="A57" t="s">
        <v>31</v>
      </c>
      <c r="B57">
        <v>2013</v>
      </c>
      <c r="C57">
        <v>1921.4686162052601</v>
      </c>
    </row>
    <row r="58" spans="1:3" x14ac:dyDescent="0.35">
      <c r="A58" t="s">
        <v>31</v>
      </c>
      <c r="B58">
        <v>2014</v>
      </c>
      <c r="C58">
        <v>2082.8437609750799</v>
      </c>
    </row>
    <row r="59" spans="1:3" x14ac:dyDescent="0.35">
      <c r="A59" t="s">
        <v>31</v>
      </c>
      <c r="B59">
        <v>2015</v>
      </c>
      <c r="C59">
        <v>2294.5187482059</v>
      </c>
    </row>
    <row r="60" spans="1:3" x14ac:dyDescent="0.35">
      <c r="A60" t="s">
        <v>31</v>
      </c>
      <c r="B60">
        <v>2016</v>
      </c>
      <c r="C60">
        <v>2513.3590817310501</v>
      </c>
    </row>
    <row r="61" spans="1:3" x14ac:dyDescent="0.35">
      <c r="A61" t="s">
        <v>31</v>
      </c>
      <c r="B61">
        <v>2017</v>
      </c>
      <c r="C61">
        <v>2726.36011122632</v>
      </c>
    </row>
    <row r="62" spans="1:3" x14ac:dyDescent="0.35">
      <c r="A62" t="s">
        <v>31</v>
      </c>
      <c r="B62">
        <v>2018</v>
      </c>
      <c r="C62">
        <v>2957.1772210447798</v>
      </c>
    </row>
    <row r="63" spans="1:3" x14ac:dyDescent="0.35">
      <c r="A63" t="s">
        <v>31</v>
      </c>
      <c r="B63">
        <v>2019</v>
      </c>
      <c r="C63">
        <v>3229.6772480916702</v>
      </c>
    </row>
    <row r="64" spans="1:3" x14ac:dyDescent="0.35">
      <c r="A64" t="s">
        <v>31</v>
      </c>
      <c r="B64">
        <v>2020</v>
      </c>
      <c r="C64">
        <v>3567.9473198283699</v>
      </c>
    </row>
    <row r="65" spans="1:3" x14ac:dyDescent="0.35">
      <c r="A65" t="s">
        <v>31</v>
      </c>
      <c r="B65">
        <v>2021</v>
      </c>
      <c r="C65">
        <v>3929.71123797882</v>
      </c>
    </row>
    <row r="66" spans="1:3" x14ac:dyDescent="0.35">
      <c r="A66" t="s">
        <v>31</v>
      </c>
      <c r="B66">
        <v>2022</v>
      </c>
      <c r="C66">
        <v>4287.8508986055804</v>
      </c>
    </row>
    <row r="67" spans="1:3" x14ac:dyDescent="0.35">
      <c r="A67" t="s">
        <v>31</v>
      </c>
      <c r="B67">
        <v>2023</v>
      </c>
      <c r="C67">
        <v>4690.2440184475099</v>
      </c>
    </row>
    <row r="68" spans="1:3" x14ac:dyDescent="0.35">
      <c r="A68" t="s">
        <v>6</v>
      </c>
      <c r="B68">
        <v>1991</v>
      </c>
      <c r="C68">
        <v>88.425537825931301</v>
      </c>
    </row>
    <row r="69" spans="1:3" x14ac:dyDescent="0.35">
      <c r="A69" t="s">
        <v>6</v>
      </c>
      <c r="B69">
        <v>1992</v>
      </c>
      <c r="C69">
        <v>182.77566345580399</v>
      </c>
    </row>
    <row r="70" spans="1:3" x14ac:dyDescent="0.35">
      <c r="A70" t="s">
        <v>6</v>
      </c>
      <c r="B70">
        <v>1993</v>
      </c>
      <c r="C70">
        <v>343.949994043716</v>
      </c>
    </row>
    <row r="71" spans="1:3" x14ac:dyDescent="0.35">
      <c r="A71" t="s">
        <v>6</v>
      </c>
      <c r="B71">
        <v>1994</v>
      </c>
      <c r="C71">
        <v>582.14430471694902</v>
      </c>
    </row>
    <row r="72" spans="1:3" x14ac:dyDescent="0.35">
      <c r="A72" t="s">
        <v>6</v>
      </c>
      <c r="B72">
        <v>1995</v>
      </c>
      <c r="C72">
        <v>953.45562541411402</v>
      </c>
    </row>
    <row r="73" spans="1:3" x14ac:dyDescent="0.35">
      <c r="A73" t="s">
        <v>6</v>
      </c>
      <c r="B73">
        <v>1996</v>
      </c>
      <c r="C73">
        <v>1486.2065528043299</v>
      </c>
    </row>
    <row r="74" spans="1:3" x14ac:dyDescent="0.35">
      <c r="A74" t="s">
        <v>6</v>
      </c>
      <c r="B74">
        <v>1997</v>
      </c>
      <c r="C74">
        <v>2253.02302048295</v>
      </c>
    </row>
    <row r="75" spans="1:3" x14ac:dyDescent="0.35">
      <c r="A75" t="s">
        <v>6</v>
      </c>
      <c r="B75">
        <v>1998</v>
      </c>
      <c r="C75">
        <v>3260.41031595409</v>
      </c>
    </row>
    <row r="76" spans="1:3" x14ac:dyDescent="0.35">
      <c r="A76" t="s">
        <v>6</v>
      </c>
      <c r="B76">
        <v>1999</v>
      </c>
      <c r="C76">
        <v>4662.0933365503897</v>
      </c>
    </row>
    <row r="77" spans="1:3" x14ac:dyDescent="0.35">
      <c r="A77" t="s">
        <v>6</v>
      </c>
      <c r="B77">
        <v>2000</v>
      </c>
      <c r="C77">
        <v>6457.0135437089302</v>
      </c>
    </row>
    <row r="78" spans="1:3" x14ac:dyDescent="0.35">
      <c r="A78" t="s">
        <v>6</v>
      </c>
      <c r="B78">
        <v>2001</v>
      </c>
      <c r="C78">
        <v>8938.3690164915206</v>
      </c>
    </row>
    <row r="79" spans="1:3" x14ac:dyDescent="0.35">
      <c r="A79" t="s">
        <v>6</v>
      </c>
      <c r="B79">
        <v>2002</v>
      </c>
      <c r="C79">
        <v>11373.5125511442</v>
      </c>
    </row>
    <row r="80" spans="1:3" x14ac:dyDescent="0.35">
      <c r="A80" t="s">
        <v>6</v>
      </c>
      <c r="B80">
        <v>2003</v>
      </c>
      <c r="C80">
        <v>13969.3592759435</v>
      </c>
    </row>
    <row r="81" spans="1:3" x14ac:dyDescent="0.35">
      <c r="A81" t="s">
        <v>6</v>
      </c>
      <c r="B81">
        <v>2004</v>
      </c>
      <c r="C81">
        <v>16458.977521707999</v>
      </c>
    </row>
    <row r="82" spans="1:3" x14ac:dyDescent="0.35">
      <c r="A82" t="s">
        <v>6</v>
      </c>
      <c r="B82">
        <v>2005</v>
      </c>
      <c r="C82">
        <v>19114.215933598502</v>
      </c>
    </row>
    <row r="83" spans="1:3" x14ac:dyDescent="0.35">
      <c r="A83" t="s">
        <v>6</v>
      </c>
      <c r="B83">
        <v>2006</v>
      </c>
      <c r="C83">
        <v>21589.414976510099</v>
      </c>
    </row>
    <row r="84" spans="1:3" x14ac:dyDescent="0.35">
      <c r="A84" t="s">
        <v>6</v>
      </c>
      <c r="B84">
        <v>2007</v>
      </c>
      <c r="C84">
        <v>23944.622626467601</v>
      </c>
    </row>
    <row r="85" spans="1:3" x14ac:dyDescent="0.35">
      <c r="A85" t="s">
        <v>6</v>
      </c>
      <c r="B85">
        <v>2008</v>
      </c>
      <c r="C85">
        <v>26096.0782717814</v>
      </c>
    </row>
    <row r="86" spans="1:3" x14ac:dyDescent="0.35">
      <c r="A86" t="s">
        <v>6</v>
      </c>
      <c r="B86">
        <v>2009</v>
      </c>
      <c r="C86">
        <v>28189.201254913401</v>
      </c>
    </row>
    <row r="87" spans="1:3" x14ac:dyDescent="0.35">
      <c r="A87" t="s">
        <v>6</v>
      </c>
      <c r="B87">
        <v>2010</v>
      </c>
      <c r="C87">
        <v>30404.198422581099</v>
      </c>
    </row>
    <row r="88" spans="1:3" x14ac:dyDescent="0.35">
      <c r="A88" t="s">
        <v>6</v>
      </c>
      <c r="B88">
        <v>2011</v>
      </c>
      <c r="C88">
        <v>32595.147292744099</v>
      </c>
    </row>
    <row r="89" spans="1:3" x14ac:dyDescent="0.35">
      <c r="A89" t="s">
        <v>6</v>
      </c>
      <c r="B89">
        <v>2012</v>
      </c>
      <c r="C89">
        <v>35030.937328708802</v>
      </c>
    </row>
    <row r="90" spans="1:3" x14ac:dyDescent="0.35">
      <c r="A90" t="s">
        <v>6</v>
      </c>
      <c r="B90">
        <v>2013</v>
      </c>
      <c r="C90">
        <v>37289.063901123103</v>
      </c>
    </row>
    <row r="91" spans="1:3" x14ac:dyDescent="0.35">
      <c r="A91" t="s">
        <v>6</v>
      </c>
      <c r="B91">
        <v>2014</v>
      </c>
      <c r="C91">
        <v>39646.181041658703</v>
      </c>
    </row>
    <row r="92" spans="1:3" x14ac:dyDescent="0.35">
      <c r="A92" t="s">
        <v>6</v>
      </c>
      <c r="B92">
        <v>2015</v>
      </c>
      <c r="C92">
        <v>42377.280324405503</v>
      </c>
    </row>
    <row r="93" spans="1:3" x14ac:dyDescent="0.35">
      <c r="A93" t="s">
        <v>6</v>
      </c>
      <c r="B93">
        <v>2016</v>
      </c>
      <c r="C93">
        <v>45135.546192907001</v>
      </c>
    </row>
    <row r="94" spans="1:3" x14ac:dyDescent="0.35">
      <c r="A94" t="s">
        <v>6</v>
      </c>
      <c r="B94">
        <v>2017</v>
      </c>
      <c r="C94">
        <v>47752.942530647699</v>
      </c>
    </row>
    <row r="95" spans="1:3" x14ac:dyDescent="0.35">
      <c r="A95" t="s">
        <v>6</v>
      </c>
      <c r="B95">
        <v>2018</v>
      </c>
      <c r="C95">
        <v>50440.005984493597</v>
      </c>
    </row>
    <row r="96" spans="1:3" x14ac:dyDescent="0.35">
      <c r="A96" t="s">
        <v>6</v>
      </c>
      <c r="B96">
        <v>2019</v>
      </c>
      <c r="C96">
        <v>53432.6426124766</v>
      </c>
    </row>
    <row r="97" spans="1:3" x14ac:dyDescent="0.35">
      <c r="A97" t="s">
        <v>6</v>
      </c>
      <c r="B97">
        <v>2020</v>
      </c>
      <c r="C97">
        <v>56912.3613627675</v>
      </c>
    </row>
    <row r="98" spans="1:3" x14ac:dyDescent="0.35">
      <c r="A98" t="s">
        <v>6</v>
      </c>
      <c r="B98">
        <v>2021</v>
      </c>
      <c r="C98">
        <v>60461.6441592146</v>
      </c>
    </row>
    <row r="99" spans="1:3" x14ac:dyDescent="0.35">
      <c r="A99" t="s">
        <v>6</v>
      </c>
      <c r="B99">
        <v>2022</v>
      </c>
      <c r="C99">
        <v>63817.7441616039</v>
      </c>
    </row>
    <row r="100" spans="1:3" x14ac:dyDescent="0.35">
      <c r="A100" t="s">
        <v>6</v>
      </c>
      <c r="B100">
        <v>2023</v>
      </c>
      <c r="C100">
        <v>67373.7052671805</v>
      </c>
    </row>
    <row r="101" spans="1:3" x14ac:dyDescent="0.35">
      <c r="A101" t="s">
        <v>20</v>
      </c>
      <c r="B101">
        <v>1991</v>
      </c>
      <c r="C101">
        <v>102.89493763413</v>
      </c>
    </row>
    <row r="102" spans="1:3" x14ac:dyDescent="0.35">
      <c r="A102" t="s">
        <v>20</v>
      </c>
      <c r="B102">
        <v>1992</v>
      </c>
      <c r="C102">
        <v>210.86781492253201</v>
      </c>
    </row>
    <row r="103" spans="1:3" x14ac:dyDescent="0.35">
      <c r="A103" t="s">
        <v>20</v>
      </c>
      <c r="B103">
        <v>1993</v>
      </c>
      <c r="C103">
        <v>335.83896826800202</v>
      </c>
    </row>
    <row r="104" spans="1:3" x14ac:dyDescent="0.35">
      <c r="A104" t="s">
        <v>20</v>
      </c>
      <c r="B104">
        <v>1994</v>
      </c>
      <c r="C104">
        <v>469.04973415710799</v>
      </c>
    </row>
    <row r="105" spans="1:3" x14ac:dyDescent="0.35">
      <c r="A105" t="s">
        <v>20</v>
      </c>
      <c r="B105">
        <v>1995</v>
      </c>
      <c r="C105">
        <v>626.645289397086</v>
      </c>
    </row>
    <row r="106" spans="1:3" x14ac:dyDescent="0.35">
      <c r="A106" t="s">
        <v>20</v>
      </c>
      <c r="B106">
        <v>1996</v>
      </c>
      <c r="C106">
        <v>806.22155083572602</v>
      </c>
    </row>
    <row r="107" spans="1:3" x14ac:dyDescent="0.35">
      <c r="A107" t="s">
        <v>20</v>
      </c>
      <c r="B107">
        <v>1997</v>
      </c>
      <c r="C107">
        <v>1015.0240406087599</v>
      </c>
    </row>
    <row r="108" spans="1:3" x14ac:dyDescent="0.35">
      <c r="A108" t="s">
        <v>20</v>
      </c>
      <c r="B108">
        <v>1998</v>
      </c>
      <c r="C108">
        <v>1234.1073585397701</v>
      </c>
    </row>
    <row r="109" spans="1:3" x14ac:dyDescent="0.35">
      <c r="A109" t="s">
        <v>20</v>
      </c>
      <c r="B109">
        <v>1999</v>
      </c>
      <c r="C109">
        <v>1480.2435337112099</v>
      </c>
    </row>
    <row r="110" spans="1:3" x14ac:dyDescent="0.35">
      <c r="A110" t="s">
        <v>20</v>
      </c>
      <c r="B110">
        <v>2000</v>
      </c>
      <c r="C110">
        <v>1731.9819539145401</v>
      </c>
    </row>
    <row r="111" spans="1:3" x14ac:dyDescent="0.35">
      <c r="A111" t="s">
        <v>20</v>
      </c>
      <c r="B111">
        <v>2001</v>
      </c>
      <c r="C111">
        <v>2016.24632204723</v>
      </c>
    </row>
    <row r="112" spans="1:3" x14ac:dyDescent="0.35">
      <c r="A112" t="s">
        <v>20</v>
      </c>
      <c r="B112">
        <v>2002</v>
      </c>
      <c r="C112">
        <v>2304.3956246093499</v>
      </c>
    </row>
    <row r="113" spans="1:3" x14ac:dyDescent="0.35">
      <c r="A113" t="s">
        <v>20</v>
      </c>
      <c r="B113">
        <v>2003</v>
      </c>
      <c r="C113">
        <v>2629.9030018788999</v>
      </c>
    </row>
    <row r="114" spans="1:3" x14ac:dyDescent="0.35">
      <c r="A114" t="s">
        <v>20</v>
      </c>
      <c r="B114">
        <v>2004</v>
      </c>
      <c r="C114">
        <v>2629.65417725935</v>
      </c>
    </row>
    <row r="115" spans="1:3" x14ac:dyDescent="0.35">
      <c r="A115" t="s">
        <v>20</v>
      </c>
      <c r="B115">
        <v>2005</v>
      </c>
      <c r="C115">
        <v>2640.0062323512998</v>
      </c>
    </row>
    <row r="116" spans="1:3" x14ac:dyDescent="0.35">
      <c r="A116" t="s">
        <v>20</v>
      </c>
      <c r="B116">
        <v>2006</v>
      </c>
      <c r="C116">
        <v>2646.0305751128399</v>
      </c>
    </row>
    <row r="117" spans="1:3" x14ac:dyDescent="0.35">
      <c r="A117" t="s">
        <v>20</v>
      </c>
      <c r="B117">
        <v>2007</v>
      </c>
      <c r="C117">
        <v>2649.63764589926</v>
      </c>
    </row>
    <row r="118" spans="1:3" x14ac:dyDescent="0.35">
      <c r="A118" t="s">
        <v>20</v>
      </c>
      <c r="B118">
        <v>2008</v>
      </c>
      <c r="C118">
        <v>2743.6467733211498</v>
      </c>
    </row>
    <row r="119" spans="1:3" x14ac:dyDescent="0.35">
      <c r="A119" t="s">
        <v>20</v>
      </c>
      <c r="B119">
        <v>2009</v>
      </c>
      <c r="C119">
        <v>3028.9412522873999</v>
      </c>
    </row>
    <row r="120" spans="1:3" x14ac:dyDescent="0.35">
      <c r="A120" t="s">
        <v>20</v>
      </c>
      <c r="B120">
        <v>2010</v>
      </c>
      <c r="C120">
        <v>3316.6757711458699</v>
      </c>
    </row>
    <row r="121" spans="1:3" x14ac:dyDescent="0.35">
      <c r="A121" t="s">
        <v>20</v>
      </c>
      <c r="B121">
        <v>2011</v>
      </c>
      <c r="C121">
        <v>3581.5665846670399</v>
      </c>
    </row>
    <row r="122" spans="1:3" x14ac:dyDescent="0.35">
      <c r="A122" t="s">
        <v>20</v>
      </c>
      <c r="B122">
        <v>2012</v>
      </c>
      <c r="C122">
        <v>3868.2685063858698</v>
      </c>
    </row>
    <row r="123" spans="1:3" x14ac:dyDescent="0.35">
      <c r="A123" t="s">
        <v>20</v>
      </c>
      <c r="B123">
        <v>2013</v>
      </c>
      <c r="C123">
        <v>4102.9040431184503</v>
      </c>
    </row>
    <row r="124" spans="1:3" x14ac:dyDescent="0.35">
      <c r="A124" t="s">
        <v>20</v>
      </c>
      <c r="B124">
        <v>2014</v>
      </c>
      <c r="C124">
        <v>4334.7675687759602</v>
      </c>
    </row>
    <row r="125" spans="1:3" x14ac:dyDescent="0.35">
      <c r="A125" t="s">
        <v>20</v>
      </c>
      <c r="B125">
        <v>2015</v>
      </c>
      <c r="C125">
        <v>4593.2822272753801</v>
      </c>
    </row>
    <row r="126" spans="1:3" x14ac:dyDescent="0.35">
      <c r="A126" t="s">
        <v>20</v>
      </c>
      <c r="B126">
        <v>2016</v>
      </c>
      <c r="C126">
        <v>4834.7268195483803</v>
      </c>
    </row>
    <row r="127" spans="1:3" x14ac:dyDescent="0.35">
      <c r="A127" t="s">
        <v>20</v>
      </c>
      <c r="B127">
        <v>2017</v>
      </c>
      <c r="C127">
        <v>5042.8056261524498</v>
      </c>
    </row>
    <row r="128" spans="1:3" x14ac:dyDescent="0.35">
      <c r="A128" t="s">
        <v>20</v>
      </c>
      <c r="B128">
        <v>2018</v>
      </c>
      <c r="C128">
        <v>5245.0412553406204</v>
      </c>
    </row>
    <row r="129" spans="1:3" x14ac:dyDescent="0.35">
      <c r="A129" t="s">
        <v>20</v>
      </c>
      <c r="B129">
        <v>2019</v>
      </c>
      <c r="C129">
        <v>5465.7766844221396</v>
      </c>
    </row>
    <row r="130" spans="1:3" x14ac:dyDescent="0.35">
      <c r="A130" t="s">
        <v>20</v>
      </c>
      <c r="B130">
        <v>2020</v>
      </c>
      <c r="C130">
        <v>5711.5982356832701</v>
      </c>
    </row>
    <row r="131" spans="1:3" x14ac:dyDescent="0.35">
      <c r="A131" t="s">
        <v>20</v>
      </c>
      <c r="B131">
        <v>2021</v>
      </c>
      <c r="C131">
        <v>5936.8427643882897</v>
      </c>
    </row>
    <row r="132" spans="1:3" x14ac:dyDescent="0.35">
      <c r="A132" t="s">
        <v>20</v>
      </c>
      <c r="B132">
        <v>2022</v>
      </c>
      <c r="C132">
        <v>6133.7239074642603</v>
      </c>
    </row>
    <row r="133" spans="1:3" x14ac:dyDescent="0.35">
      <c r="A133" t="s">
        <v>20</v>
      </c>
      <c r="B133">
        <v>2023</v>
      </c>
      <c r="C133">
        <v>6336.2846842398203</v>
      </c>
    </row>
    <row r="134" spans="1:3" x14ac:dyDescent="0.35">
      <c r="A134" t="s">
        <v>8</v>
      </c>
      <c r="B134">
        <v>1991</v>
      </c>
      <c r="C134">
        <v>2.63679788261175</v>
      </c>
    </row>
    <row r="135" spans="1:3" x14ac:dyDescent="0.35">
      <c r="A135" t="s">
        <v>8</v>
      </c>
      <c r="B135">
        <v>1992</v>
      </c>
      <c r="C135">
        <v>6.88318113951948</v>
      </c>
    </row>
    <row r="136" spans="1:3" x14ac:dyDescent="0.35">
      <c r="A136" t="s">
        <v>8</v>
      </c>
      <c r="B136">
        <v>1993</v>
      </c>
      <c r="C136">
        <v>18.564603227044</v>
      </c>
    </row>
    <row r="137" spans="1:3" x14ac:dyDescent="0.35">
      <c r="A137" t="s">
        <v>8</v>
      </c>
      <c r="B137">
        <v>1994</v>
      </c>
      <c r="C137">
        <v>64.471477216127695</v>
      </c>
    </row>
    <row r="138" spans="1:3" x14ac:dyDescent="0.35">
      <c r="A138" t="s">
        <v>8</v>
      </c>
      <c r="B138">
        <v>1995</v>
      </c>
      <c r="C138">
        <v>162.83423338009601</v>
      </c>
    </row>
    <row r="139" spans="1:3" x14ac:dyDescent="0.35">
      <c r="A139" t="s">
        <v>8</v>
      </c>
      <c r="B139">
        <v>1996</v>
      </c>
      <c r="C139">
        <v>335.55232828517899</v>
      </c>
    </row>
    <row r="140" spans="1:3" x14ac:dyDescent="0.35">
      <c r="A140" t="s">
        <v>8</v>
      </c>
      <c r="B140">
        <v>1997</v>
      </c>
      <c r="C140">
        <v>619.57781117161699</v>
      </c>
    </row>
    <row r="141" spans="1:3" x14ac:dyDescent="0.35">
      <c r="A141" t="s">
        <v>8</v>
      </c>
      <c r="B141">
        <v>1998</v>
      </c>
      <c r="C141">
        <v>1014.67199731774</v>
      </c>
    </row>
    <row r="142" spans="1:3" x14ac:dyDescent="0.35">
      <c r="A142" t="s">
        <v>8</v>
      </c>
      <c r="B142">
        <v>1999</v>
      </c>
      <c r="C142">
        <v>1583.06337492794</v>
      </c>
    </row>
    <row r="143" spans="1:3" x14ac:dyDescent="0.35">
      <c r="A143" t="s">
        <v>8</v>
      </c>
      <c r="B143">
        <v>2000</v>
      </c>
      <c r="C143">
        <v>2323.2383944048402</v>
      </c>
    </row>
    <row r="144" spans="1:3" x14ac:dyDescent="0.35">
      <c r="A144" t="s">
        <v>8</v>
      </c>
      <c r="B144">
        <v>2001</v>
      </c>
      <c r="C144">
        <v>3359.0011410962802</v>
      </c>
    </row>
    <row r="145" spans="1:3" x14ac:dyDescent="0.35">
      <c r="A145" t="s">
        <v>8</v>
      </c>
      <c r="B145">
        <v>2002</v>
      </c>
      <c r="C145">
        <v>4686.3122946473804</v>
      </c>
    </row>
    <row r="146" spans="1:3" x14ac:dyDescent="0.35">
      <c r="A146" t="s">
        <v>8</v>
      </c>
      <c r="B146">
        <v>2003</v>
      </c>
      <c r="C146">
        <v>6534.0086873130504</v>
      </c>
    </row>
    <row r="147" spans="1:3" x14ac:dyDescent="0.35">
      <c r="A147" t="s">
        <v>8</v>
      </c>
      <c r="B147">
        <v>2004</v>
      </c>
      <c r="C147">
        <v>8813.5186421105409</v>
      </c>
    </row>
    <row r="148" spans="1:3" x14ac:dyDescent="0.35">
      <c r="A148" t="s">
        <v>8</v>
      </c>
      <c r="B148">
        <v>2005</v>
      </c>
      <c r="C148">
        <v>11197.886820569</v>
      </c>
    </row>
    <row r="149" spans="1:3" x14ac:dyDescent="0.35">
      <c r="A149" t="s">
        <v>8</v>
      </c>
      <c r="B149">
        <v>2006</v>
      </c>
      <c r="C149">
        <v>13369.114439942001</v>
      </c>
    </row>
    <row r="150" spans="1:3" x14ac:dyDescent="0.35">
      <c r="A150" t="s">
        <v>8</v>
      </c>
      <c r="B150">
        <v>2007</v>
      </c>
      <c r="C150">
        <v>15380.5188649835</v>
      </c>
    </row>
    <row r="151" spans="1:3" x14ac:dyDescent="0.35">
      <c r="A151" t="s">
        <v>8</v>
      </c>
      <c r="B151">
        <v>2008</v>
      </c>
      <c r="C151">
        <v>17156.410996502102</v>
      </c>
    </row>
    <row r="152" spans="1:3" x14ac:dyDescent="0.35">
      <c r="A152" t="s">
        <v>8</v>
      </c>
      <c r="B152">
        <v>2009</v>
      </c>
      <c r="C152">
        <v>18815.951299795601</v>
      </c>
    </row>
    <row r="153" spans="1:3" x14ac:dyDescent="0.35">
      <c r="A153" t="s">
        <v>8</v>
      </c>
      <c r="B153">
        <v>2010</v>
      </c>
      <c r="C153">
        <v>20479.3026346595</v>
      </c>
    </row>
    <row r="154" spans="1:3" x14ac:dyDescent="0.35">
      <c r="A154" t="s">
        <v>8</v>
      </c>
      <c r="B154">
        <v>2011</v>
      </c>
      <c r="C154">
        <v>22026.458400977499</v>
      </c>
    </row>
    <row r="155" spans="1:3" x14ac:dyDescent="0.35">
      <c r="A155" t="s">
        <v>8</v>
      </c>
      <c r="B155">
        <v>2012</v>
      </c>
      <c r="C155">
        <v>23595.2797404353</v>
      </c>
    </row>
    <row r="156" spans="1:3" x14ac:dyDescent="0.35">
      <c r="A156" t="s">
        <v>8</v>
      </c>
      <c r="B156">
        <v>2013</v>
      </c>
      <c r="C156">
        <v>23666.0186666929</v>
      </c>
    </row>
    <row r="157" spans="1:3" x14ac:dyDescent="0.35">
      <c r="A157" t="s">
        <v>8</v>
      </c>
      <c r="B157">
        <v>2014</v>
      </c>
      <c r="C157">
        <v>23747.639742181502</v>
      </c>
    </row>
    <row r="158" spans="1:3" x14ac:dyDescent="0.35">
      <c r="A158" t="s">
        <v>8</v>
      </c>
      <c r="B158">
        <v>2015</v>
      </c>
      <c r="C158">
        <v>23851.4591140259</v>
      </c>
    </row>
    <row r="159" spans="1:3" x14ac:dyDescent="0.35">
      <c r="A159" t="s">
        <v>8</v>
      </c>
      <c r="B159">
        <v>2016</v>
      </c>
      <c r="C159">
        <v>23948.219843989002</v>
      </c>
    </row>
    <row r="160" spans="1:3" x14ac:dyDescent="0.35">
      <c r="A160" t="s">
        <v>8</v>
      </c>
      <c r="B160">
        <v>2017</v>
      </c>
      <c r="C160">
        <v>24032.796834872901</v>
      </c>
    </row>
    <row r="161" spans="1:3" x14ac:dyDescent="0.35">
      <c r="A161" t="s">
        <v>8</v>
      </c>
      <c r="B161">
        <v>2018</v>
      </c>
      <c r="C161">
        <v>24122.068323785399</v>
      </c>
    </row>
    <row r="162" spans="1:3" x14ac:dyDescent="0.35">
      <c r="A162" t="s">
        <v>8</v>
      </c>
      <c r="B162">
        <v>2019</v>
      </c>
      <c r="C162">
        <v>25480.165694362098</v>
      </c>
    </row>
    <row r="163" spans="1:3" x14ac:dyDescent="0.35">
      <c r="A163" t="s">
        <v>8</v>
      </c>
      <c r="B163">
        <v>2020</v>
      </c>
      <c r="C163">
        <v>26997.055662927101</v>
      </c>
    </row>
    <row r="164" spans="1:3" x14ac:dyDescent="0.35">
      <c r="A164" t="s">
        <v>8</v>
      </c>
      <c r="B164">
        <v>2021</v>
      </c>
      <c r="C164">
        <v>28553.2611433559</v>
      </c>
    </row>
    <row r="165" spans="1:3" x14ac:dyDescent="0.35">
      <c r="A165" t="s">
        <v>8</v>
      </c>
      <c r="B165">
        <v>2022</v>
      </c>
      <c r="C165">
        <v>30026.490472254602</v>
      </c>
    </row>
    <row r="166" spans="1:3" x14ac:dyDescent="0.35">
      <c r="A166" t="s">
        <v>8</v>
      </c>
      <c r="B166">
        <v>2023</v>
      </c>
      <c r="C166">
        <v>31585.202406200598</v>
      </c>
    </row>
    <row r="167" spans="1:3" x14ac:dyDescent="0.35">
      <c r="A167" t="s">
        <v>25</v>
      </c>
      <c r="B167">
        <v>1991</v>
      </c>
      <c r="C167">
        <v>-24.178306926821701</v>
      </c>
    </row>
    <row r="168" spans="1:3" x14ac:dyDescent="0.35">
      <c r="A168" t="s">
        <v>25</v>
      </c>
      <c r="B168">
        <v>1992</v>
      </c>
      <c r="C168">
        <v>-47.697631222512697</v>
      </c>
    </row>
    <row r="169" spans="1:3" x14ac:dyDescent="0.35">
      <c r="A169" t="s">
        <v>25</v>
      </c>
      <c r="B169">
        <v>1993</v>
      </c>
      <c r="C169">
        <v>-63.453664398730098</v>
      </c>
    </row>
    <row r="170" spans="1:3" x14ac:dyDescent="0.35">
      <c r="A170" t="s">
        <v>25</v>
      </c>
      <c r="B170">
        <v>1994</v>
      </c>
      <c r="C170">
        <v>-75.512767525596701</v>
      </c>
    </row>
    <row r="171" spans="1:3" x14ac:dyDescent="0.35">
      <c r="A171" t="s">
        <v>25</v>
      </c>
      <c r="B171">
        <v>1995</v>
      </c>
      <c r="C171">
        <v>-77.001012198139506</v>
      </c>
    </row>
    <row r="172" spans="1:3" x14ac:dyDescent="0.35">
      <c r="A172" t="s">
        <v>25</v>
      </c>
      <c r="B172">
        <v>1996</v>
      </c>
      <c r="C172">
        <v>-68.802263652906106</v>
      </c>
    </row>
    <row r="173" spans="1:3" x14ac:dyDescent="0.35">
      <c r="A173" t="s">
        <v>25</v>
      </c>
      <c r="B173">
        <v>1997</v>
      </c>
      <c r="C173">
        <v>-48.5940534764378</v>
      </c>
    </row>
    <row r="174" spans="1:3" x14ac:dyDescent="0.35">
      <c r="A174" t="s">
        <v>25</v>
      </c>
      <c r="B174">
        <v>1998</v>
      </c>
      <c r="C174">
        <v>-24.883390408506699</v>
      </c>
    </row>
    <row r="175" spans="1:3" x14ac:dyDescent="0.35">
      <c r="A175" t="s">
        <v>25</v>
      </c>
      <c r="B175">
        <v>1999</v>
      </c>
      <c r="C175">
        <v>9.7838796863319697</v>
      </c>
    </row>
    <row r="176" spans="1:3" x14ac:dyDescent="0.35">
      <c r="A176" t="s">
        <v>25</v>
      </c>
      <c r="B176">
        <v>2000</v>
      </c>
      <c r="C176">
        <v>46.2090288653283</v>
      </c>
    </row>
    <row r="177" spans="1:3" x14ac:dyDescent="0.35">
      <c r="A177" t="s">
        <v>25</v>
      </c>
      <c r="B177">
        <v>2001</v>
      </c>
      <c r="C177">
        <v>95.362779177425296</v>
      </c>
    </row>
    <row r="178" spans="1:3" x14ac:dyDescent="0.35">
      <c r="A178" t="s">
        <v>25</v>
      </c>
      <c r="B178">
        <v>2002</v>
      </c>
      <c r="C178">
        <v>146.03363900068399</v>
      </c>
    </row>
    <row r="179" spans="1:3" x14ac:dyDescent="0.35">
      <c r="A179" t="s">
        <v>25</v>
      </c>
      <c r="B179">
        <v>2003</v>
      </c>
      <c r="C179">
        <v>211.88882344563601</v>
      </c>
    </row>
    <row r="180" spans="1:3" x14ac:dyDescent="0.35">
      <c r="A180" t="s">
        <v>25</v>
      </c>
      <c r="B180">
        <v>2004</v>
      </c>
      <c r="C180">
        <v>275.19569252694203</v>
      </c>
    </row>
    <row r="181" spans="1:3" x14ac:dyDescent="0.35">
      <c r="A181" t="s">
        <v>25</v>
      </c>
      <c r="B181">
        <v>2005</v>
      </c>
      <c r="C181">
        <v>354.613197652118</v>
      </c>
    </row>
    <row r="182" spans="1:3" x14ac:dyDescent="0.35">
      <c r="A182" t="s">
        <v>25</v>
      </c>
      <c r="B182">
        <v>2006</v>
      </c>
      <c r="C182">
        <v>427.03041714911598</v>
      </c>
    </row>
    <row r="183" spans="1:3" x14ac:dyDescent="0.35">
      <c r="A183" t="s">
        <v>25</v>
      </c>
      <c r="B183">
        <v>2007</v>
      </c>
      <c r="C183">
        <v>495.53758140793798</v>
      </c>
    </row>
    <row r="184" spans="1:3" x14ac:dyDescent="0.35">
      <c r="A184" t="s">
        <v>25</v>
      </c>
      <c r="B184">
        <v>2008</v>
      </c>
      <c r="C184">
        <v>553.35792761444395</v>
      </c>
    </row>
    <row r="185" spans="1:3" x14ac:dyDescent="0.35">
      <c r="A185" t="s">
        <v>25</v>
      </c>
      <c r="B185">
        <v>2009</v>
      </c>
      <c r="C185">
        <v>610.10041745044202</v>
      </c>
    </row>
    <row r="186" spans="1:3" x14ac:dyDescent="0.35">
      <c r="A186" t="s">
        <v>25</v>
      </c>
      <c r="B186">
        <v>2010</v>
      </c>
      <c r="C186">
        <v>681.37989053875901</v>
      </c>
    </row>
    <row r="187" spans="1:3" x14ac:dyDescent="0.35">
      <c r="A187" t="s">
        <v>25</v>
      </c>
      <c r="B187">
        <v>2011</v>
      </c>
      <c r="C187">
        <v>754.97334388554805</v>
      </c>
    </row>
    <row r="188" spans="1:3" x14ac:dyDescent="0.35">
      <c r="A188" t="s">
        <v>25</v>
      </c>
      <c r="B188">
        <v>2012</v>
      </c>
      <c r="C188">
        <v>851.63699687615804</v>
      </c>
    </row>
    <row r="189" spans="1:3" x14ac:dyDescent="0.35">
      <c r="A189" t="s">
        <v>25</v>
      </c>
      <c r="B189">
        <v>2013</v>
      </c>
      <c r="C189">
        <v>940.79370717268</v>
      </c>
    </row>
    <row r="190" spans="1:3" x14ac:dyDescent="0.35">
      <c r="A190" t="s">
        <v>25</v>
      </c>
      <c r="B190">
        <v>2014</v>
      </c>
      <c r="C190">
        <v>1044.3739774574001</v>
      </c>
    </row>
    <row r="191" spans="1:3" x14ac:dyDescent="0.35">
      <c r="A191" t="s">
        <v>25</v>
      </c>
      <c r="B191">
        <v>2015</v>
      </c>
      <c r="C191">
        <v>1184.83395580805</v>
      </c>
    </row>
    <row r="192" spans="1:3" x14ac:dyDescent="0.35">
      <c r="A192" t="s">
        <v>25</v>
      </c>
      <c r="B192">
        <v>2016</v>
      </c>
      <c r="C192">
        <v>1331.13454416696</v>
      </c>
    </row>
    <row r="193" spans="1:3" x14ac:dyDescent="0.35">
      <c r="A193" t="s">
        <v>25</v>
      </c>
      <c r="B193">
        <v>2017</v>
      </c>
      <c r="C193">
        <v>1472.70941297027</v>
      </c>
    </row>
    <row r="194" spans="1:3" x14ac:dyDescent="0.35">
      <c r="A194" t="s">
        <v>25</v>
      </c>
      <c r="B194">
        <v>2018</v>
      </c>
      <c r="C194">
        <v>1627.9584607325401</v>
      </c>
    </row>
    <row r="195" spans="1:3" x14ac:dyDescent="0.35">
      <c r="A195" t="s">
        <v>25</v>
      </c>
      <c r="B195">
        <v>2019</v>
      </c>
      <c r="C195">
        <v>1928.9054513696201</v>
      </c>
    </row>
    <row r="196" spans="1:3" x14ac:dyDescent="0.35">
      <c r="A196" t="s">
        <v>25</v>
      </c>
      <c r="B196">
        <v>2020</v>
      </c>
      <c r="C196">
        <v>2486.17973763193</v>
      </c>
    </row>
    <row r="197" spans="1:3" x14ac:dyDescent="0.35">
      <c r="A197" t="s">
        <v>25</v>
      </c>
      <c r="B197">
        <v>2021</v>
      </c>
      <c r="C197">
        <v>3347.53687014867</v>
      </c>
    </row>
    <row r="198" spans="1:3" x14ac:dyDescent="0.35">
      <c r="A198" t="s">
        <v>25</v>
      </c>
      <c r="B198">
        <v>2022</v>
      </c>
      <c r="C198">
        <v>4556.3773394151804</v>
      </c>
    </row>
    <row r="199" spans="1:3" x14ac:dyDescent="0.35">
      <c r="A199" t="s">
        <v>25</v>
      </c>
      <c r="B199">
        <v>2023</v>
      </c>
      <c r="C199">
        <v>6457.71434442399</v>
      </c>
    </row>
    <row r="200" spans="1:3" x14ac:dyDescent="0.35">
      <c r="A200" t="s">
        <v>16</v>
      </c>
      <c r="B200">
        <v>1991</v>
      </c>
      <c r="C200">
        <v>-8.4167272682030205</v>
      </c>
    </row>
    <row r="201" spans="1:3" x14ac:dyDescent="0.35">
      <c r="A201" t="s">
        <v>16</v>
      </c>
      <c r="B201">
        <v>1992</v>
      </c>
      <c r="C201">
        <v>-14.1748425757178</v>
      </c>
    </row>
    <row r="202" spans="1:3" x14ac:dyDescent="0.35">
      <c r="A202" t="s">
        <v>16</v>
      </c>
      <c r="B202">
        <v>1993</v>
      </c>
      <c r="C202">
        <v>-11.7977823017443</v>
      </c>
    </row>
    <row r="203" spans="1:3" x14ac:dyDescent="0.35">
      <c r="A203" t="s">
        <v>16</v>
      </c>
      <c r="B203">
        <v>1994</v>
      </c>
      <c r="C203">
        <v>-5.4829015327997404</v>
      </c>
    </row>
    <row r="204" spans="1:3" x14ac:dyDescent="0.35">
      <c r="A204" t="s">
        <v>16</v>
      </c>
      <c r="B204">
        <v>1995</v>
      </c>
      <c r="C204">
        <v>12.4282956723696</v>
      </c>
    </row>
    <row r="205" spans="1:3" x14ac:dyDescent="0.35">
      <c r="A205" t="s">
        <v>16</v>
      </c>
      <c r="B205">
        <v>1996</v>
      </c>
      <c r="C205">
        <v>41.0305477710452</v>
      </c>
    </row>
    <row r="206" spans="1:3" x14ac:dyDescent="0.35">
      <c r="A206" t="s">
        <v>16</v>
      </c>
      <c r="B206">
        <v>1997</v>
      </c>
      <c r="C206">
        <v>82.768692135497602</v>
      </c>
    </row>
    <row r="207" spans="1:3" x14ac:dyDescent="0.35">
      <c r="A207" t="s">
        <v>16</v>
      </c>
      <c r="B207">
        <v>1998</v>
      </c>
      <c r="C207">
        <v>128.032612597125</v>
      </c>
    </row>
    <row r="208" spans="1:3" x14ac:dyDescent="0.35">
      <c r="A208" t="s">
        <v>16</v>
      </c>
      <c r="B208">
        <v>1999</v>
      </c>
      <c r="C208">
        <v>185.68076456885299</v>
      </c>
    </row>
    <row r="209" spans="1:3" x14ac:dyDescent="0.35">
      <c r="A209" t="s">
        <v>16</v>
      </c>
      <c r="B209">
        <v>2000</v>
      </c>
      <c r="C209">
        <v>245.329246804729</v>
      </c>
    </row>
    <row r="210" spans="1:3" x14ac:dyDescent="0.35">
      <c r="A210" t="s">
        <v>16</v>
      </c>
      <c r="B210">
        <v>2001</v>
      </c>
      <c r="C210">
        <v>319.88505739145501</v>
      </c>
    </row>
    <row r="211" spans="1:3" x14ac:dyDescent="0.35">
      <c r="A211" t="s">
        <v>16</v>
      </c>
      <c r="B211">
        <v>2002</v>
      </c>
      <c r="C211">
        <v>396.21380443519098</v>
      </c>
    </row>
    <row r="212" spans="1:3" x14ac:dyDescent="0.35">
      <c r="A212" t="s">
        <v>16</v>
      </c>
      <c r="B212">
        <v>2003</v>
      </c>
      <c r="C212">
        <v>489.74281002702202</v>
      </c>
    </row>
    <row r="213" spans="1:3" x14ac:dyDescent="0.35">
      <c r="A213" t="s">
        <v>16</v>
      </c>
      <c r="B213">
        <v>2004</v>
      </c>
      <c r="C213">
        <v>580.30207606227395</v>
      </c>
    </row>
    <row r="214" spans="1:3" x14ac:dyDescent="0.35">
      <c r="A214" t="s">
        <v>16</v>
      </c>
      <c r="B214">
        <v>2005</v>
      </c>
      <c r="C214">
        <v>689.63625270069895</v>
      </c>
    </row>
    <row r="215" spans="1:3" x14ac:dyDescent="0.35">
      <c r="A215" t="s">
        <v>16</v>
      </c>
      <c r="B215">
        <v>2006</v>
      </c>
      <c r="C215">
        <v>1627.0210044483799</v>
      </c>
    </row>
    <row r="216" spans="1:3" x14ac:dyDescent="0.35">
      <c r="A216" t="s">
        <v>16</v>
      </c>
      <c r="B216">
        <v>2007</v>
      </c>
      <c r="C216">
        <v>2541.0476951066298</v>
      </c>
    </row>
    <row r="217" spans="1:3" x14ac:dyDescent="0.35">
      <c r="A217" t="s">
        <v>16</v>
      </c>
      <c r="B217">
        <v>2008</v>
      </c>
      <c r="C217">
        <v>3394.21451846431</v>
      </c>
    </row>
    <row r="218" spans="1:3" x14ac:dyDescent="0.35">
      <c r="A218" t="s">
        <v>16</v>
      </c>
      <c r="B218">
        <v>2009</v>
      </c>
      <c r="C218">
        <v>4237.9608762048802</v>
      </c>
    </row>
    <row r="219" spans="1:3" x14ac:dyDescent="0.35">
      <c r="A219" t="s">
        <v>16</v>
      </c>
      <c r="B219">
        <v>2010</v>
      </c>
      <c r="C219">
        <v>5164.4771029965495</v>
      </c>
    </row>
    <row r="220" spans="1:3" x14ac:dyDescent="0.35">
      <c r="A220" t="s">
        <v>16</v>
      </c>
      <c r="B220">
        <v>2011</v>
      </c>
      <c r="C220">
        <v>6096.8181915965397</v>
      </c>
    </row>
    <row r="221" spans="1:3" x14ac:dyDescent="0.35">
      <c r="A221" t="s">
        <v>16</v>
      </c>
      <c r="B221">
        <v>2012</v>
      </c>
      <c r="C221">
        <v>7144.9478994200799</v>
      </c>
    </row>
    <row r="222" spans="1:3" x14ac:dyDescent="0.35">
      <c r="A222" t="s">
        <v>16</v>
      </c>
      <c r="B222">
        <v>2013</v>
      </c>
      <c r="C222">
        <v>8165.14256610545</v>
      </c>
    </row>
    <row r="223" spans="1:3" x14ac:dyDescent="0.35">
      <c r="A223" t="s">
        <v>16</v>
      </c>
      <c r="B223">
        <v>2014</v>
      </c>
      <c r="C223">
        <v>9267.1919758777003</v>
      </c>
    </row>
    <row r="224" spans="1:3" x14ac:dyDescent="0.35">
      <c r="A224" t="s">
        <v>16</v>
      </c>
      <c r="B224">
        <v>2015</v>
      </c>
      <c r="C224">
        <v>10599.5441242339</v>
      </c>
    </row>
    <row r="225" spans="1:3" x14ac:dyDescent="0.35">
      <c r="A225" t="s">
        <v>16</v>
      </c>
      <c r="B225">
        <v>2016</v>
      </c>
      <c r="C225">
        <v>11964.703510023501</v>
      </c>
    </row>
    <row r="226" spans="1:3" x14ac:dyDescent="0.35">
      <c r="A226" t="s">
        <v>16</v>
      </c>
      <c r="B226">
        <v>2017</v>
      </c>
      <c r="C226">
        <v>13291.660927294801</v>
      </c>
    </row>
    <row r="227" spans="1:3" x14ac:dyDescent="0.35">
      <c r="A227" t="s">
        <v>16</v>
      </c>
      <c r="B227">
        <v>2018</v>
      </c>
      <c r="C227">
        <v>14711.6571524223</v>
      </c>
    </row>
    <row r="228" spans="1:3" x14ac:dyDescent="0.35">
      <c r="A228" t="s">
        <v>16</v>
      </c>
      <c r="B228">
        <v>2019</v>
      </c>
      <c r="C228">
        <v>16341.2757370006</v>
      </c>
    </row>
    <row r="229" spans="1:3" x14ac:dyDescent="0.35">
      <c r="A229" t="s">
        <v>16</v>
      </c>
      <c r="B229">
        <v>2020</v>
      </c>
      <c r="C229">
        <v>18253.2558369863</v>
      </c>
    </row>
    <row r="230" spans="1:3" x14ac:dyDescent="0.35">
      <c r="A230" t="s">
        <v>16</v>
      </c>
      <c r="B230">
        <v>2021</v>
      </c>
      <c r="C230">
        <v>20272.804806062399</v>
      </c>
    </row>
    <row r="231" spans="1:3" x14ac:dyDescent="0.35">
      <c r="A231" t="s">
        <v>16</v>
      </c>
      <c r="B231">
        <v>2022</v>
      </c>
      <c r="C231">
        <v>22275.759758294698</v>
      </c>
    </row>
    <row r="232" spans="1:3" x14ac:dyDescent="0.35">
      <c r="A232" t="s">
        <v>16</v>
      </c>
      <c r="B232">
        <v>2023</v>
      </c>
      <c r="C232">
        <v>24490.471506080201</v>
      </c>
    </row>
    <row r="233" spans="1:3" x14ac:dyDescent="0.35">
      <c r="A233" t="s">
        <v>10</v>
      </c>
      <c r="B233">
        <v>1991</v>
      </c>
      <c r="C233">
        <v>10.364020171335699</v>
      </c>
    </row>
    <row r="234" spans="1:3" x14ac:dyDescent="0.35">
      <c r="A234" t="s">
        <v>10</v>
      </c>
      <c r="B234">
        <v>1992</v>
      </c>
      <c r="C234">
        <v>24.791992954177001</v>
      </c>
    </row>
    <row r="235" spans="1:3" x14ac:dyDescent="0.35">
      <c r="A235" t="s">
        <v>10</v>
      </c>
      <c r="B235">
        <v>1993</v>
      </c>
      <c r="C235">
        <v>48.085988355950398</v>
      </c>
    </row>
    <row r="236" spans="1:3" x14ac:dyDescent="0.35">
      <c r="A236" t="s">
        <v>10</v>
      </c>
      <c r="B236">
        <v>1994</v>
      </c>
      <c r="C236">
        <v>75.720472845770601</v>
      </c>
    </row>
    <row r="237" spans="1:3" x14ac:dyDescent="0.35">
      <c r="A237" t="s">
        <v>10</v>
      </c>
      <c r="B237">
        <v>1995</v>
      </c>
      <c r="C237">
        <v>117.854137913722</v>
      </c>
    </row>
    <row r="238" spans="1:3" x14ac:dyDescent="0.35">
      <c r="A238" t="s">
        <v>10</v>
      </c>
      <c r="B238">
        <v>1996</v>
      </c>
      <c r="C238">
        <v>170.019069235942</v>
      </c>
    </row>
    <row r="239" spans="1:3" x14ac:dyDescent="0.35">
      <c r="A239" t="s">
        <v>10</v>
      </c>
      <c r="B239">
        <v>1997</v>
      </c>
      <c r="C239">
        <v>237.544639409371</v>
      </c>
    </row>
    <row r="240" spans="1:3" x14ac:dyDescent="0.35">
      <c r="A240" t="s">
        <v>10</v>
      </c>
      <c r="B240">
        <v>1998</v>
      </c>
      <c r="C240">
        <v>310.47679549289501</v>
      </c>
    </row>
    <row r="241" spans="1:3" x14ac:dyDescent="0.35">
      <c r="A241" t="s">
        <v>10</v>
      </c>
      <c r="B241">
        <v>1999</v>
      </c>
      <c r="C241">
        <v>401.15559566807298</v>
      </c>
    </row>
    <row r="242" spans="1:3" x14ac:dyDescent="0.35">
      <c r="A242" t="s">
        <v>10</v>
      </c>
      <c r="B242">
        <v>2000</v>
      </c>
      <c r="C242">
        <v>497.00288662283702</v>
      </c>
    </row>
    <row r="243" spans="1:3" x14ac:dyDescent="0.35">
      <c r="A243" t="s">
        <v>10</v>
      </c>
      <c r="B243">
        <v>2001</v>
      </c>
      <c r="C243">
        <v>609.94233240341396</v>
      </c>
    </row>
    <row r="244" spans="1:3" x14ac:dyDescent="0.35">
      <c r="A244" t="s">
        <v>10</v>
      </c>
      <c r="B244">
        <v>2002</v>
      </c>
      <c r="C244">
        <v>725.64607947902903</v>
      </c>
    </row>
    <row r="245" spans="1:3" x14ac:dyDescent="0.35">
      <c r="A245" t="s">
        <v>10</v>
      </c>
      <c r="B245">
        <v>2003</v>
      </c>
      <c r="C245">
        <v>916.72144817708102</v>
      </c>
    </row>
    <row r="246" spans="1:3" x14ac:dyDescent="0.35">
      <c r="A246" t="s">
        <v>10</v>
      </c>
      <c r="B246">
        <v>2004</v>
      </c>
      <c r="C246">
        <v>1171.48976680994</v>
      </c>
    </row>
    <row r="247" spans="1:3" x14ac:dyDescent="0.35">
      <c r="A247" t="s">
        <v>10</v>
      </c>
      <c r="B247">
        <v>2005</v>
      </c>
      <c r="C247">
        <v>1551.77096994717</v>
      </c>
    </row>
    <row r="248" spans="1:3" x14ac:dyDescent="0.35">
      <c r="A248" t="s">
        <v>10</v>
      </c>
      <c r="B248">
        <v>2006</v>
      </c>
      <c r="C248">
        <v>2037.9066718527399</v>
      </c>
    </row>
    <row r="249" spans="1:3" x14ac:dyDescent="0.35">
      <c r="A249" t="s">
        <v>10</v>
      </c>
      <c r="B249">
        <v>2007</v>
      </c>
      <c r="C249">
        <v>2650.03488618867</v>
      </c>
    </row>
    <row r="250" spans="1:3" x14ac:dyDescent="0.35">
      <c r="A250" t="s">
        <v>10</v>
      </c>
      <c r="B250">
        <v>2008</v>
      </c>
      <c r="C250">
        <v>3397.0795121350502</v>
      </c>
    </row>
    <row r="251" spans="1:3" x14ac:dyDescent="0.35">
      <c r="A251" t="s">
        <v>10</v>
      </c>
      <c r="B251">
        <v>2009</v>
      </c>
      <c r="C251">
        <v>4364.5658630300604</v>
      </c>
    </row>
    <row r="252" spans="1:3" x14ac:dyDescent="0.35">
      <c r="A252" t="s">
        <v>10</v>
      </c>
      <c r="B252">
        <v>2010</v>
      </c>
      <c r="C252">
        <v>5681.49378131512</v>
      </c>
    </row>
    <row r="253" spans="1:3" x14ac:dyDescent="0.35">
      <c r="A253" t="s">
        <v>10</v>
      </c>
      <c r="B253">
        <v>2011</v>
      </c>
      <c r="C253">
        <v>7400.5074775965304</v>
      </c>
    </row>
    <row r="254" spans="1:3" x14ac:dyDescent="0.35">
      <c r="A254" t="s">
        <v>10</v>
      </c>
      <c r="B254">
        <v>2012</v>
      </c>
      <c r="C254">
        <v>9897.0375322783093</v>
      </c>
    </row>
    <row r="255" spans="1:3" x14ac:dyDescent="0.35">
      <c r="A255" t="s">
        <v>10</v>
      </c>
      <c r="B255">
        <v>2013</v>
      </c>
      <c r="C255">
        <v>12047.6962300745</v>
      </c>
    </row>
    <row r="256" spans="1:3" x14ac:dyDescent="0.35">
      <c r="A256" t="s">
        <v>10</v>
      </c>
      <c r="B256">
        <v>2014</v>
      </c>
      <c r="C256">
        <v>14090.939228736101</v>
      </c>
    </row>
    <row r="257" spans="1:3" x14ac:dyDescent="0.35">
      <c r="A257" t="s">
        <v>10</v>
      </c>
      <c r="B257">
        <v>2015</v>
      </c>
      <c r="C257">
        <v>16228.906369562401</v>
      </c>
    </row>
    <row r="258" spans="1:3" x14ac:dyDescent="0.35">
      <c r="A258" t="s">
        <v>10</v>
      </c>
      <c r="B258">
        <v>2016</v>
      </c>
      <c r="C258">
        <v>18247.986825138199</v>
      </c>
    </row>
    <row r="259" spans="1:3" x14ac:dyDescent="0.35">
      <c r="A259" t="s">
        <v>10</v>
      </c>
      <c r="B259">
        <v>2017</v>
      </c>
      <c r="C259">
        <v>20098.960033907599</v>
      </c>
    </row>
    <row r="260" spans="1:3" x14ac:dyDescent="0.35">
      <c r="A260" t="s">
        <v>10</v>
      </c>
      <c r="B260">
        <v>2018</v>
      </c>
      <c r="C260">
        <v>21864.6420986794</v>
      </c>
    </row>
    <row r="261" spans="1:3" x14ac:dyDescent="0.35">
      <c r="A261" t="s">
        <v>10</v>
      </c>
      <c r="B261">
        <v>2019</v>
      </c>
      <c r="C261">
        <v>23648.549871540901</v>
      </c>
    </row>
    <row r="262" spans="1:3" x14ac:dyDescent="0.35">
      <c r="A262" t="s">
        <v>10</v>
      </c>
      <c r="B262">
        <v>2020</v>
      </c>
      <c r="C262">
        <v>25611.4514004673</v>
      </c>
    </row>
    <row r="263" spans="1:3" x14ac:dyDescent="0.35">
      <c r="A263" t="s">
        <v>10</v>
      </c>
      <c r="B263">
        <v>2021</v>
      </c>
      <c r="C263">
        <v>27454.593300377401</v>
      </c>
    </row>
    <row r="264" spans="1:3" x14ac:dyDescent="0.35">
      <c r="A264" t="s">
        <v>10</v>
      </c>
      <c r="B264">
        <v>2022</v>
      </c>
      <c r="C264">
        <v>29179.592890368898</v>
      </c>
    </row>
    <row r="265" spans="1:3" x14ac:dyDescent="0.35">
      <c r="A265" t="s">
        <v>10</v>
      </c>
      <c r="B265">
        <v>2023</v>
      </c>
      <c r="C265">
        <v>30917.862730413399</v>
      </c>
    </row>
    <row r="266" spans="1:3" x14ac:dyDescent="0.35">
      <c r="A266" t="s">
        <v>32</v>
      </c>
      <c r="B266">
        <v>1993</v>
      </c>
      <c r="C266">
        <v>7.1697165343172502</v>
      </c>
    </row>
    <row r="267" spans="1:3" x14ac:dyDescent="0.35">
      <c r="A267" t="s">
        <v>32</v>
      </c>
      <c r="B267">
        <v>1994</v>
      </c>
      <c r="C267">
        <v>21.705936900237401</v>
      </c>
    </row>
    <row r="268" spans="1:3" x14ac:dyDescent="0.35">
      <c r="A268" t="s">
        <v>32</v>
      </c>
      <c r="B268">
        <v>1995</v>
      </c>
      <c r="C268">
        <v>53.818691339110799</v>
      </c>
    </row>
    <row r="269" spans="1:3" x14ac:dyDescent="0.35">
      <c r="A269" t="s">
        <v>32</v>
      </c>
      <c r="B269">
        <v>1996</v>
      </c>
      <c r="C269">
        <v>98.112925563477106</v>
      </c>
    </row>
    <row r="270" spans="1:3" x14ac:dyDescent="0.35">
      <c r="A270" t="s">
        <v>32</v>
      </c>
      <c r="B270">
        <v>1997</v>
      </c>
      <c r="C270">
        <v>164.167537442434</v>
      </c>
    </row>
    <row r="271" spans="1:3" x14ac:dyDescent="0.35">
      <c r="A271" t="s">
        <v>32</v>
      </c>
      <c r="B271">
        <v>1998</v>
      </c>
      <c r="C271">
        <v>233.70620836285801</v>
      </c>
    </row>
    <row r="272" spans="1:3" x14ac:dyDescent="0.35">
      <c r="A272" t="s">
        <v>32</v>
      </c>
      <c r="B272">
        <v>1999</v>
      </c>
      <c r="C272">
        <v>326.15327298511897</v>
      </c>
    </row>
    <row r="273" spans="1:3" x14ac:dyDescent="0.35">
      <c r="A273" t="s">
        <v>32</v>
      </c>
      <c r="B273">
        <v>2000</v>
      </c>
      <c r="C273">
        <v>426.37928323503399</v>
      </c>
    </row>
    <row r="274" spans="1:3" x14ac:dyDescent="0.35">
      <c r="A274" t="s">
        <v>32</v>
      </c>
      <c r="B274">
        <v>2001</v>
      </c>
      <c r="C274">
        <v>546.69825005119901</v>
      </c>
    </row>
    <row r="275" spans="1:3" x14ac:dyDescent="0.35">
      <c r="A275" t="s">
        <v>32</v>
      </c>
      <c r="B275">
        <v>2002</v>
      </c>
      <c r="C275">
        <v>670.45720006359397</v>
      </c>
    </row>
    <row r="276" spans="1:3" x14ac:dyDescent="0.35">
      <c r="A276" t="s">
        <v>32</v>
      </c>
      <c r="B276">
        <v>2003</v>
      </c>
      <c r="C276">
        <v>815.81254448559002</v>
      </c>
    </row>
    <row r="277" spans="1:3" x14ac:dyDescent="0.35">
      <c r="A277" t="s">
        <v>32</v>
      </c>
      <c r="B277">
        <v>2004</v>
      </c>
      <c r="C277">
        <v>957.40892429609698</v>
      </c>
    </row>
    <row r="278" spans="1:3" x14ac:dyDescent="0.35">
      <c r="A278" t="s">
        <v>32</v>
      </c>
      <c r="B278">
        <v>2005</v>
      </c>
      <c r="C278">
        <v>1122.5340124055001</v>
      </c>
    </row>
    <row r="279" spans="1:3" x14ac:dyDescent="0.35">
      <c r="A279" t="s">
        <v>32</v>
      </c>
      <c r="B279">
        <v>2006</v>
      </c>
      <c r="C279">
        <v>1276.64923664721</v>
      </c>
    </row>
    <row r="280" spans="1:3" x14ac:dyDescent="0.35">
      <c r="A280" t="s">
        <v>32</v>
      </c>
      <c r="B280">
        <v>2007</v>
      </c>
      <c r="C280">
        <v>1425.97012291294</v>
      </c>
    </row>
    <row r="281" spans="1:3" x14ac:dyDescent="0.35">
      <c r="A281" t="s">
        <v>32</v>
      </c>
      <c r="B281">
        <v>2008</v>
      </c>
      <c r="C281">
        <v>1557.4702298208299</v>
      </c>
    </row>
    <row r="282" spans="1:3" x14ac:dyDescent="0.35">
      <c r="A282" t="s">
        <v>32</v>
      </c>
      <c r="B282">
        <v>2009</v>
      </c>
      <c r="C282">
        <v>1680.39495436224</v>
      </c>
    </row>
    <row r="283" spans="1:3" x14ac:dyDescent="0.35">
      <c r="A283" t="s">
        <v>32</v>
      </c>
      <c r="B283">
        <v>2010</v>
      </c>
      <c r="C283">
        <v>1798.74014834337</v>
      </c>
    </row>
    <row r="284" spans="1:3" x14ac:dyDescent="0.35">
      <c r="A284" t="s">
        <v>32</v>
      </c>
      <c r="B284">
        <v>2011</v>
      </c>
      <c r="C284">
        <v>1901.2421644572501</v>
      </c>
    </row>
    <row r="285" spans="1:3" x14ac:dyDescent="0.35">
      <c r="A285" t="s">
        <v>32</v>
      </c>
      <c r="B285">
        <v>2012</v>
      </c>
      <c r="C285">
        <v>2006.72200167558</v>
      </c>
    </row>
    <row r="286" spans="1:3" x14ac:dyDescent="0.35">
      <c r="A286" t="s">
        <v>32</v>
      </c>
      <c r="B286">
        <v>2013</v>
      </c>
      <c r="C286">
        <v>2132.1786357232099</v>
      </c>
    </row>
    <row r="287" spans="1:3" x14ac:dyDescent="0.35">
      <c r="A287" t="s">
        <v>32</v>
      </c>
      <c r="B287">
        <v>2014</v>
      </c>
      <c r="C287">
        <v>2282.0997588448599</v>
      </c>
    </row>
    <row r="288" spans="1:3" x14ac:dyDescent="0.35">
      <c r="A288" t="s">
        <v>32</v>
      </c>
      <c r="B288">
        <v>2015</v>
      </c>
      <c r="C288">
        <v>2448.6244778802602</v>
      </c>
    </row>
    <row r="289" spans="1:3" x14ac:dyDescent="0.35">
      <c r="A289" t="s">
        <v>32</v>
      </c>
      <c r="B289">
        <v>2016</v>
      </c>
      <c r="C289">
        <v>2620.4748752558298</v>
      </c>
    </row>
    <row r="290" spans="1:3" x14ac:dyDescent="0.35">
      <c r="A290" t="s">
        <v>32</v>
      </c>
      <c r="B290">
        <v>2017</v>
      </c>
      <c r="C290">
        <v>2805.9601625856099</v>
      </c>
    </row>
    <row r="291" spans="1:3" x14ac:dyDescent="0.35">
      <c r="A291" t="s">
        <v>32</v>
      </c>
      <c r="B291">
        <v>2018</v>
      </c>
      <c r="C291">
        <v>3025.6026523507198</v>
      </c>
    </row>
    <row r="292" spans="1:3" x14ac:dyDescent="0.35">
      <c r="A292" t="s">
        <v>32</v>
      </c>
      <c r="B292">
        <v>2019</v>
      </c>
      <c r="C292">
        <v>3287.29863703297</v>
      </c>
    </row>
    <row r="293" spans="1:3" x14ac:dyDescent="0.35">
      <c r="A293" t="s">
        <v>32</v>
      </c>
      <c r="B293">
        <v>2020</v>
      </c>
      <c r="C293">
        <v>3627.4888961063398</v>
      </c>
    </row>
    <row r="294" spans="1:3" x14ac:dyDescent="0.35">
      <c r="A294" t="s">
        <v>32</v>
      </c>
      <c r="B294">
        <v>2021</v>
      </c>
      <c r="C294">
        <v>4010.3286234851098</v>
      </c>
    </row>
    <row r="295" spans="1:3" x14ac:dyDescent="0.35">
      <c r="A295" t="s">
        <v>32</v>
      </c>
      <c r="B295">
        <v>2022</v>
      </c>
      <c r="C295">
        <v>4391.4333563997197</v>
      </c>
    </row>
    <row r="296" spans="1:3" x14ac:dyDescent="0.35">
      <c r="A296" t="s">
        <v>32</v>
      </c>
      <c r="B296">
        <v>2023</v>
      </c>
      <c r="C296">
        <v>4845.0882544839396</v>
      </c>
    </row>
    <row r="297" spans="1:3" x14ac:dyDescent="0.35">
      <c r="A297" t="s">
        <v>33</v>
      </c>
      <c r="B297">
        <v>1991</v>
      </c>
      <c r="C297">
        <v>4.7486128390569</v>
      </c>
    </row>
    <row r="298" spans="1:3" x14ac:dyDescent="0.35">
      <c r="A298" t="s">
        <v>33</v>
      </c>
      <c r="B298">
        <v>1992</v>
      </c>
      <c r="C298">
        <v>11.7695261592854</v>
      </c>
    </row>
    <row r="299" spans="1:3" x14ac:dyDescent="0.35">
      <c r="A299" t="s">
        <v>33</v>
      </c>
      <c r="B299">
        <v>1993</v>
      </c>
      <c r="C299">
        <v>26.860533571128801</v>
      </c>
    </row>
    <row r="300" spans="1:3" x14ac:dyDescent="0.35">
      <c r="A300" t="s">
        <v>33</v>
      </c>
      <c r="B300">
        <v>1994</v>
      </c>
      <c r="C300">
        <v>46.9289429438616</v>
      </c>
    </row>
    <row r="301" spans="1:3" x14ac:dyDescent="0.35">
      <c r="A301" t="s">
        <v>33</v>
      </c>
      <c r="B301">
        <v>1995</v>
      </c>
      <c r="C301">
        <v>79.885117381310494</v>
      </c>
    </row>
    <row r="302" spans="1:3" x14ac:dyDescent="0.35">
      <c r="A302" t="s">
        <v>33</v>
      </c>
      <c r="B302">
        <v>1996</v>
      </c>
      <c r="C302">
        <v>123.947995237356</v>
      </c>
    </row>
    <row r="303" spans="1:3" x14ac:dyDescent="0.35">
      <c r="A303" t="s">
        <v>33</v>
      </c>
      <c r="B303">
        <v>1997</v>
      </c>
      <c r="C303">
        <v>183.47638790363101</v>
      </c>
    </row>
    <row r="304" spans="1:3" x14ac:dyDescent="0.35">
      <c r="A304" t="s">
        <v>33</v>
      </c>
      <c r="B304">
        <v>1998</v>
      </c>
      <c r="C304">
        <v>248.81153626947</v>
      </c>
    </row>
    <row r="305" spans="1:3" x14ac:dyDescent="0.35">
      <c r="A305" t="s">
        <v>33</v>
      </c>
      <c r="B305">
        <v>1999</v>
      </c>
      <c r="C305">
        <v>328.74606549444798</v>
      </c>
    </row>
    <row r="306" spans="1:3" x14ac:dyDescent="0.35">
      <c r="A306" t="s">
        <v>33</v>
      </c>
      <c r="B306">
        <v>2000</v>
      </c>
      <c r="C306">
        <v>411.02292078724003</v>
      </c>
    </row>
    <row r="307" spans="1:3" x14ac:dyDescent="0.35">
      <c r="A307" t="s">
        <v>33</v>
      </c>
      <c r="B307">
        <v>2001</v>
      </c>
      <c r="C307">
        <v>510.26029088993897</v>
      </c>
    </row>
    <row r="308" spans="1:3" x14ac:dyDescent="0.35">
      <c r="A308" t="s">
        <v>33</v>
      </c>
      <c r="B308">
        <v>2002</v>
      </c>
      <c r="C308">
        <v>611.519168153029</v>
      </c>
    </row>
    <row r="309" spans="1:3" x14ac:dyDescent="0.35">
      <c r="A309" t="s">
        <v>33</v>
      </c>
      <c r="B309">
        <v>2003</v>
      </c>
      <c r="C309">
        <v>733.01074498236801</v>
      </c>
    </row>
    <row r="310" spans="1:3" x14ac:dyDescent="0.35">
      <c r="A310" t="s">
        <v>33</v>
      </c>
      <c r="B310">
        <v>2004</v>
      </c>
      <c r="C310">
        <v>851.106760900224</v>
      </c>
    </row>
    <row r="311" spans="1:3" x14ac:dyDescent="0.35">
      <c r="A311" t="s">
        <v>33</v>
      </c>
      <c r="B311">
        <v>2005</v>
      </c>
      <c r="C311">
        <v>991.56535827838502</v>
      </c>
    </row>
    <row r="312" spans="1:3" x14ac:dyDescent="0.35">
      <c r="A312" t="s">
        <v>33</v>
      </c>
      <c r="B312">
        <v>2006</v>
      </c>
      <c r="C312">
        <v>1121.8006683364999</v>
      </c>
    </row>
    <row r="313" spans="1:3" x14ac:dyDescent="0.35">
      <c r="A313" t="s">
        <v>33</v>
      </c>
      <c r="B313">
        <v>2007</v>
      </c>
      <c r="C313">
        <v>1246.82593613772</v>
      </c>
    </row>
    <row r="314" spans="1:3" x14ac:dyDescent="0.35">
      <c r="A314" t="s">
        <v>33</v>
      </c>
      <c r="B314">
        <v>2008</v>
      </c>
      <c r="C314">
        <v>1356.3209349819499</v>
      </c>
    </row>
    <row r="315" spans="1:3" x14ac:dyDescent="0.35">
      <c r="A315" t="s">
        <v>33</v>
      </c>
      <c r="B315">
        <v>2009</v>
      </c>
      <c r="C315">
        <v>1456.2750109344499</v>
      </c>
    </row>
    <row r="316" spans="1:3" x14ac:dyDescent="0.35">
      <c r="A316" t="s">
        <v>33</v>
      </c>
      <c r="B316">
        <v>2010</v>
      </c>
      <c r="C316">
        <v>1566.3340426769901</v>
      </c>
    </row>
    <row r="317" spans="1:3" x14ac:dyDescent="0.35">
      <c r="A317" t="s">
        <v>33</v>
      </c>
      <c r="B317">
        <v>2011</v>
      </c>
      <c r="C317">
        <v>1663.1694477983201</v>
      </c>
    </row>
    <row r="318" spans="1:3" x14ac:dyDescent="0.35">
      <c r="A318" t="s">
        <v>33</v>
      </c>
      <c r="B318">
        <v>2012</v>
      </c>
      <c r="C318">
        <v>1789.61276556755</v>
      </c>
    </row>
    <row r="319" spans="1:3" x14ac:dyDescent="0.35">
      <c r="A319" t="s">
        <v>33</v>
      </c>
      <c r="B319">
        <v>2013</v>
      </c>
      <c r="C319">
        <v>1922.6590371739101</v>
      </c>
    </row>
    <row r="320" spans="1:3" x14ac:dyDescent="0.35">
      <c r="A320" t="s">
        <v>33</v>
      </c>
      <c r="B320">
        <v>2014</v>
      </c>
      <c r="C320">
        <v>2080.2393546539702</v>
      </c>
    </row>
    <row r="321" spans="1:3" x14ac:dyDescent="0.35">
      <c r="A321" t="s">
        <v>33</v>
      </c>
      <c r="B321">
        <v>2015</v>
      </c>
      <c r="C321">
        <v>2289.48111455464</v>
      </c>
    </row>
    <row r="322" spans="1:3" x14ac:dyDescent="0.35">
      <c r="A322" t="s">
        <v>33</v>
      </c>
      <c r="B322">
        <v>2016</v>
      </c>
      <c r="C322">
        <v>2509.57198020856</v>
      </c>
    </row>
    <row r="323" spans="1:3" x14ac:dyDescent="0.35">
      <c r="A323" t="s">
        <v>33</v>
      </c>
      <c r="B323">
        <v>2017</v>
      </c>
      <c r="C323">
        <v>2726.7019191376098</v>
      </c>
    </row>
    <row r="324" spans="1:3" x14ac:dyDescent="0.35">
      <c r="A324" t="s">
        <v>33</v>
      </c>
      <c r="B324">
        <v>2018</v>
      </c>
      <c r="C324">
        <v>2961.9964387754399</v>
      </c>
    </row>
    <row r="325" spans="1:3" x14ac:dyDescent="0.35">
      <c r="A325" t="s">
        <v>33</v>
      </c>
      <c r="B325">
        <v>2019</v>
      </c>
      <c r="C325">
        <v>3238.5416048100201</v>
      </c>
    </row>
    <row r="326" spans="1:3" x14ac:dyDescent="0.35">
      <c r="A326" t="s">
        <v>33</v>
      </c>
      <c r="B326">
        <v>2020</v>
      </c>
      <c r="C326">
        <v>3586.1615226168301</v>
      </c>
    </row>
    <row r="327" spans="1:3" x14ac:dyDescent="0.35">
      <c r="A327" t="s">
        <v>33</v>
      </c>
      <c r="B327">
        <v>2021</v>
      </c>
      <c r="C327">
        <v>3952.3149423057298</v>
      </c>
    </row>
    <row r="328" spans="1:3" x14ac:dyDescent="0.35">
      <c r="A328" t="s">
        <v>33</v>
      </c>
      <c r="B328">
        <v>2022</v>
      </c>
      <c r="C328">
        <v>4317.6361937326901</v>
      </c>
    </row>
    <row r="329" spans="1:3" x14ac:dyDescent="0.35">
      <c r="A329" t="s">
        <v>33</v>
      </c>
      <c r="B329">
        <v>2023</v>
      </c>
      <c r="C329">
        <v>4734.8731510119396</v>
      </c>
    </row>
    <row r="330" spans="1:3" x14ac:dyDescent="0.35">
      <c r="A330" t="s">
        <v>12</v>
      </c>
      <c r="B330">
        <v>1991</v>
      </c>
      <c r="C330">
        <v>11.0041735454011</v>
      </c>
    </row>
    <row r="331" spans="1:3" x14ac:dyDescent="0.35">
      <c r="A331" t="s">
        <v>12</v>
      </c>
      <c r="B331">
        <v>1992</v>
      </c>
      <c r="C331">
        <v>24.080795787410899</v>
      </c>
    </row>
    <row r="332" spans="1:3" x14ac:dyDescent="0.35">
      <c r="A332" t="s">
        <v>12</v>
      </c>
      <c r="B332">
        <v>1993</v>
      </c>
      <c r="C332">
        <v>45.929962834413601</v>
      </c>
    </row>
    <row r="333" spans="1:3" x14ac:dyDescent="0.35">
      <c r="A333" t="s">
        <v>12</v>
      </c>
      <c r="B333">
        <v>1994</v>
      </c>
      <c r="C333">
        <v>74.866650691832206</v>
      </c>
    </row>
    <row r="334" spans="1:3" x14ac:dyDescent="0.35">
      <c r="A334" t="s">
        <v>12</v>
      </c>
      <c r="B334">
        <v>1995</v>
      </c>
      <c r="C334">
        <v>115.29430579416901</v>
      </c>
    </row>
    <row r="335" spans="1:3" x14ac:dyDescent="0.35">
      <c r="A335" t="s">
        <v>12</v>
      </c>
      <c r="B335">
        <v>1996</v>
      </c>
      <c r="C335">
        <v>170.826197608695</v>
      </c>
    </row>
    <row r="336" spans="1:3" x14ac:dyDescent="0.35">
      <c r="A336" t="s">
        <v>12</v>
      </c>
      <c r="B336">
        <v>1997</v>
      </c>
      <c r="C336">
        <v>247.46851122925401</v>
      </c>
    </row>
    <row r="337" spans="1:3" x14ac:dyDescent="0.35">
      <c r="A337" t="s">
        <v>12</v>
      </c>
      <c r="B337">
        <v>1998</v>
      </c>
      <c r="C337">
        <v>332.48210722387302</v>
      </c>
    </row>
    <row r="338" spans="1:3" x14ac:dyDescent="0.35">
      <c r="A338" t="s">
        <v>12</v>
      </c>
      <c r="B338">
        <v>1999</v>
      </c>
      <c r="C338">
        <v>434.39254336632598</v>
      </c>
    </row>
    <row r="339" spans="1:3" x14ac:dyDescent="0.35">
      <c r="A339" t="s">
        <v>12</v>
      </c>
      <c r="B339">
        <v>2000</v>
      </c>
      <c r="C339">
        <v>538.40410030198495</v>
      </c>
    </row>
    <row r="340" spans="1:3" x14ac:dyDescent="0.35">
      <c r="A340" t="s">
        <v>12</v>
      </c>
      <c r="B340">
        <v>2001</v>
      </c>
      <c r="C340">
        <v>660.73231571879796</v>
      </c>
    </row>
    <row r="341" spans="1:3" x14ac:dyDescent="0.35">
      <c r="A341" t="s">
        <v>12</v>
      </c>
      <c r="B341">
        <v>2002</v>
      </c>
      <c r="C341">
        <v>786.55016968514406</v>
      </c>
    </row>
    <row r="342" spans="1:3" x14ac:dyDescent="0.35">
      <c r="A342" t="s">
        <v>12</v>
      </c>
      <c r="B342">
        <v>2003</v>
      </c>
      <c r="C342">
        <v>933.47874930591695</v>
      </c>
    </row>
    <row r="343" spans="1:3" x14ac:dyDescent="0.35">
      <c r="A343" t="s">
        <v>12</v>
      </c>
      <c r="B343">
        <v>2004</v>
      </c>
      <c r="C343">
        <v>1159.23535849161</v>
      </c>
    </row>
    <row r="344" spans="1:3" x14ac:dyDescent="0.35">
      <c r="A344" t="s">
        <v>12</v>
      </c>
      <c r="B344">
        <v>2005</v>
      </c>
      <c r="C344">
        <v>1537.87153222743</v>
      </c>
    </row>
    <row r="345" spans="1:3" x14ac:dyDescent="0.35">
      <c r="A345" t="s">
        <v>12</v>
      </c>
      <c r="B345">
        <v>2006</v>
      </c>
      <c r="C345">
        <v>2054.1189830122198</v>
      </c>
    </row>
    <row r="346" spans="1:3" x14ac:dyDescent="0.35">
      <c r="A346" t="s">
        <v>12</v>
      </c>
      <c r="B346">
        <v>2007</v>
      </c>
      <c r="C346">
        <v>2760.8488847722601</v>
      </c>
    </row>
    <row r="347" spans="1:3" x14ac:dyDescent="0.35">
      <c r="A347" t="s">
        <v>12</v>
      </c>
      <c r="B347">
        <v>2008</v>
      </c>
      <c r="C347">
        <v>3666.5843013059698</v>
      </c>
    </row>
    <row r="348" spans="1:3" x14ac:dyDescent="0.35">
      <c r="A348" t="s">
        <v>12</v>
      </c>
      <c r="B348">
        <v>2009</v>
      </c>
      <c r="C348">
        <v>4893.1451903789202</v>
      </c>
    </row>
    <row r="349" spans="1:3" x14ac:dyDescent="0.35">
      <c r="A349" t="s">
        <v>12</v>
      </c>
      <c r="B349">
        <v>2010</v>
      </c>
      <c r="C349">
        <v>6167.4147951152299</v>
      </c>
    </row>
    <row r="350" spans="1:3" x14ac:dyDescent="0.35">
      <c r="A350" t="s">
        <v>12</v>
      </c>
      <c r="B350">
        <v>2011</v>
      </c>
      <c r="C350">
        <v>7356.8702753965199</v>
      </c>
    </row>
    <row r="351" spans="1:3" x14ac:dyDescent="0.35">
      <c r="A351" t="s">
        <v>12</v>
      </c>
      <c r="B351">
        <v>2012</v>
      </c>
      <c r="C351">
        <v>8591.8155446717392</v>
      </c>
    </row>
    <row r="352" spans="1:3" x14ac:dyDescent="0.35">
      <c r="A352" t="s">
        <v>12</v>
      </c>
      <c r="B352">
        <v>2013</v>
      </c>
      <c r="C352">
        <v>8900.1572905981702</v>
      </c>
    </row>
    <row r="353" spans="1:3" x14ac:dyDescent="0.35">
      <c r="A353" t="s">
        <v>12</v>
      </c>
      <c r="B353">
        <v>2014</v>
      </c>
      <c r="C353">
        <v>9232.9111205498393</v>
      </c>
    </row>
    <row r="354" spans="1:3" x14ac:dyDescent="0.35">
      <c r="A354" t="s">
        <v>12</v>
      </c>
      <c r="B354">
        <v>2015</v>
      </c>
      <c r="C354">
        <v>9629.3349310972008</v>
      </c>
    </row>
    <row r="355" spans="1:3" x14ac:dyDescent="0.35">
      <c r="A355" t="s">
        <v>12</v>
      </c>
      <c r="B355">
        <v>2016</v>
      </c>
      <c r="C355">
        <v>10012.467924288399</v>
      </c>
    </row>
    <row r="356" spans="1:3" x14ac:dyDescent="0.35">
      <c r="A356" t="s">
        <v>12</v>
      </c>
      <c r="B356">
        <v>2017</v>
      </c>
      <c r="C356">
        <v>10362.74893593</v>
      </c>
    </row>
    <row r="357" spans="1:3" x14ac:dyDescent="0.35">
      <c r="A357" t="s">
        <v>12</v>
      </c>
      <c r="B357">
        <v>2018</v>
      </c>
      <c r="C357">
        <v>10714.640796289799</v>
      </c>
    </row>
    <row r="358" spans="1:3" x14ac:dyDescent="0.35">
      <c r="A358" t="s">
        <v>12</v>
      </c>
      <c r="B358">
        <v>2019</v>
      </c>
      <c r="C358">
        <v>11092.6998158484</v>
      </c>
    </row>
    <row r="359" spans="1:3" x14ac:dyDescent="0.35">
      <c r="A359" t="s">
        <v>12</v>
      </c>
      <c r="B359">
        <v>2020</v>
      </c>
      <c r="C359">
        <v>11541.5034770682</v>
      </c>
    </row>
    <row r="360" spans="1:3" x14ac:dyDescent="0.35">
      <c r="A360" t="s">
        <v>12</v>
      </c>
      <c r="B360">
        <v>2021</v>
      </c>
      <c r="C360">
        <v>12022.6692025473</v>
      </c>
    </row>
    <row r="361" spans="1:3" x14ac:dyDescent="0.35">
      <c r="A361" t="s">
        <v>12</v>
      </c>
      <c r="B361">
        <v>2022</v>
      </c>
      <c r="C361">
        <v>12483.084184024799</v>
      </c>
    </row>
    <row r="362" spans="1:3" x14ac:dyDescent="0.35">
      <c r="A362" t="s">
        <v>12</v>
      </c>
      <c r="B362">
        <v>2023</v>
      </c>
      <c r="C362">
        <v>12992.263083849401</v>
      </c>
    </row>
    <row r="363" spans="1:3" x14ac:dyDescent="0.35">
      <c r="A363" t="s">
        <v>34</v>
      </c>
      <c r="B363">
        <v>2002</v>
      </c>
      <c r="C363">
        <v>7.9419761128928599</v>
      </c>
    </row>
    <row r="364" spans="1:3" x14ac:dyDescent="0.35">
      <c r="A364" t="s">
        <v>34</v>
      </c>
      <c r="B364">
        <v>2003</v>
      </c>
      <c r="C364">
        <v>25.988556359926498</v>
      </c>
    </row>
    <row r="365" spans="1:3" x14ac:dyDescent="0.35">
      <c r="A365" t="s">
        <v>34</v>
      </c>
      <c r="B365">
        <v>2004</v>
      </c>
      <c r="C365">
        <v>44.894796404583197</v>
      </c>
    </row>
    <row r="366" spans="1:3" x14ac:dyDescent="0.35">
      <c r="A366" t="s">
        <v>34</v>
      </c>
      <c r="B366">
        <v>2005</v>
      </c>
      <c r="C366">
        <v>75.798601158391804</v>
      </c>
    </row>
    <row r="367" spans="1:3" x14ac:dyDescent="0.35">
      <c r="A367" t="s">
        <v>34</v>
      </c>
      <c r="B367">
        <v>2006</v>
      </c>
      <c r="C367">
        <v>101.679340561521</v>
      </c>
    </row>
    <row r="368" spans="1:3" x14ac:dyDescent="0.35">
      <c r="A368" t="s">
        <v>34</v>
      </c>
      <c r="B368">
        <v>2007</v>
      </c>
      <c r="C368">
        <v>125.171049171044</v>
      </c>
    </row>
    <row r="369" spans="1:3" x14ac:dyDescent="0.35">
      <c r="A369" t="s">
        <v>34</v>
      </c>
      <c r="B369">
        <v>2008</v>
      </c>
      <c r="C369">
        <v>137.31304033418601</v>
      </c>
    </row>
    <row r="370" spans="1:3" x14ac:dyDescent="0.35">
      <c r="A370" t="s">
        <v>34</v>
      </c>
      <c r="B370">
        <v>2009</v>
      </c>
      <c r="C370">
        <v>131.993235637113</v>
      </c>
    </row>
    <row r="371" spans="1:3" x14ac:dyDescent="0.35">
      <c r="A371" t="s">
        <v>34</v>
      </c>
      <c r="B371">
        <v>2010</v>
      </c>
      <c r="C371">
        <v>148.23696426287401</v>
      </c>
    </row>
    <row r="372" spans="1:3" x14ac:dyDescent="0.35">
      <c r="A372" t="s">
        <v>34</v>
      </c>
      <c r="B372">
        <v>2011</v>
      </c>
      <c r="C372">
        <v>167.308348571214</v>
      </c>
    </row>
    <row r="373" spans="1:3" x14ac:dyDescent="0.35">
      <c r="A373" t="s">
        <v>34</v>
      </c>
      <c r="B373">
        <v>2012</v>
      </c>
      <c r="C373">
        <v>197.00174305756599</v>
      </c>
    </row>
    <row r="374" spans="1:3" x14ac:dyDescent="0.35">
      <c r="A374" t="s">
        <v>34</v>
      </c>
      <c r="B374">
        <v>2013</v>
      </c>
      <c r="C374">
        <v>225.71048430301599</v>
      </c>
    </row>
    <row r="375" spans="1:3" x14ac:dyDescent="0.35">
      <c r="A375" t="s">
        <v>34</v>
      </c>
      <c r="B375">
        <v>2014</v>
      </c>
      <c r="C375">
        <v>265.53521476076401</v>
      </c>
    </row>
    <row r="376" spans="1:3" x14ac:dyDescent="0.35">
      <c r="A376" t="s">
        <v>34</v>
      </c>
      <c r="B376">
        <v>2015</v>
      </c>
      <c r="C376">
        <v>334.339217424776</v>
      </c>
    </row>
    <row r="377" spans="1:3" x14ac:dyDescent="0.35">
      <c r="A377" t="s">
        <v>34</v>
      </c>
      <c r="B377">
        <v>2016</v>
      </c>
      <c r="C377">
        <v>408.59664032198202</v>
      </c>
    </row>
    <row r="378" spans="1:3" x14ac:dyDescent="0.35">
      <c r="A378" t="s">
        <v>34</v>
      </c>
      <c r="B378">
        <v>2017</v>
      </c>
      <c r="C378">
        <v>491.95453175172298</v>
      </c>
    </row>
    <row r="379" spans="1:3" x14ac:dyDescent="0.35">
      <c r="A379" t="s">
        <v>34</v>
      </c>
      <c r="B379">
        <v>2018</v>
      </c>
      <c r="C379">
        <v>587.35186071898397</v>
      </c>
    </row>
    <row r="380" spans="1:3" x14ac:dyDescent="0.35">
      <c r="A380" t="s">
        <v>34</v>
      </c>
      <c r="B380">
        <v>2019</v>
      </c>
      <c r="C380">
        <v>695.720434281444</v>
      </c>
    </row>
    <row r="381" spans="1:3" x14ac:dyDescent="0.35">
      <c r="A381" t="s">
        <v>34</v>
      </c>
      <c r="B381">
        <v>2020</v>
      </c>
      <c r="C381">
        <v>834.98863891049803</v>
      </c>
    </row>
    <row r="382" spans="1:3" x14ac:dyDescent="0.35">
      <c r="A382" t="s">
        <v>34</v>
      </c>
      <c r="B382">
        <v>2021</v>
      </c>
      <c r="C382">
        <v>990.28577162714396</v>
      </c>
    </row>
    <row r="383" spans="1:3" x14ac:dyDescent="0.35">
      <c r="A383" t="s">
        <v>34</v>
      </c>
      <c r="B383">
        <v>2022</v>
      </c>
      <c r="C383">
        <v>1169.8820458525299</v>
      </c>
    </row>
    <row r="384" spans="1:3" x14ac:dyDescent="0.35">
      <c r="A384" t="s">
        <v>34</v>
      </c>
      <c r="B384">
        <v>2023</v>
      </c>
      <c r="C384">
        <v>1356.3521584100299</v>
      </c>
    </row>
    <row r="385" spans="1:3" x14ac:dyDescent="0.35">
      <c r="A385" t="s">
        <v>27</v>
      </c>
      <c r="B385">
        <v>1991</v>
      </c>
      <c r="C385">
        <v>22.5710356604712</v>
      </c>
    </row>
    <row r="386" spans="1:3" x14ac:dyDescent="0.35">
      <c r="A386" t="s">
        <v>27</v>
      </c>
      <c r="B386">
        <v>1992</v>
      </c>
      <c r="C386">
        <v>48.968613949128397</v>
      </c>
    </row>
    <row r="387" spans="1:3" x14ac:dyDescent="0.35">
      <c r="A387" t="s">
        <v>27</v>
      </c>
      <c r="B387">
        <v>1993</v>
      </c>
      <c r="C387">
        <v>86.199609005528004</v>
      </c>
    </row>
    <row r="388" spans="1:3" x14ac:dyDescent="0.35">
      <c r="A388" t="s">
        <v>27</v>
      </c>
      <c r="B388">
        <v>1994</v>
      </c>
      <c r="C388">
        <v>128.31999958055201</v>
      </c>
    </row>
    <row r="389" spans="1:3" x14ac:dyDescent="0.35">
      <c r="A389" t="s">
        <v>27</v>
      </c>
      <c r="B389">
        <v>1995</v>
      </c>
      <c r="C389">
        <v>186.86115126949201</v>
      </c>
    </row>
    <row r="390" spans="1:3" x14ac:dyDescent="0.35">
      <c r="A390" t="s">
        <v>27</v>
      </c>
      <c r="B390">
        <v>1996</v>
      </c>
      <c r="C390">
        <v>257.98136047175097</v>
      </c>
    </row>
    <row r="391" spans="1:3" x14ac:dyDescent="0.35">
      <c r="A391" t="s">
        <v>27</v>
      </c>
      <c r="B391">
        <v>1997</v>
      </c>
      <c r="C391">
        <v>346.09027062372701</v>
      </c>
    </row>
    <row r="392" spans="1:3" x14ac:dyDescent="0.35">
      <c r="A392" t="s">
        <v>27</v>
      </c>
      <c r="B392">
        <v>1998</v>
      </c>
      <c r="C392">
        <v>438.86647486446299</v>
      </c>
    </row>
    <row r="393" spans="1:3" x14ac:dyDescent="0.35">
      <c r="A393" t="s">
        <v>27</v>
      </c>
      <c r="B393">
        <v>1999</v>
      </c>
      <c r="C393">
        <v>548.03647409610403</v>
      </c>
    </row>
    <row r="394" spans="1:3" x14ac:dyDescent="0.35">
      <c r="A394" t="s">
        <v>27</v>
      </c>
      <c r="B394">
        <v>2000</v>
      </c>
      <c r="C394">
        <v>659.85443773617999</v>
      </c>
    </row>
    <row r="395" spans="1:3" x14ac:dyDescent="0.35">
      <c r="A395" t="s">
        <v>27</v>
      </c>
      <c r="B395">
        <v>2001</v>
      </c>
      <c r="C395">
        <v>790.75724988709396</v>
      </c>
    </row>
    <row r="396" spans="1:3" x14ac:dyDescent="0.35">
      <c r="A396" t="s">
        <v>27</v>
      </c>
      <c r="B396">
        <v>2002</v>
      </c>
      <c r="C396">
        <v>924.65594105806701</v>
      </c>
    </row>
    <row r="397" spans="1:3" x14ac:dyDescent="0.35">
      <c r="A397" t="s">
        <v>27</v>
      </c>
      <c r="B397">
        <v>2003</v>
      </c>
      <c r="C397">
        <v>1081.3237085498499</v>
      </c>
    </row>
    <row r="398" spans="1:3" x14ac:dyDescent="0.35">
      <c r="A398" t="s">
        <v>27</v>
      </c>
      <c r="B398">
        <v>2004</v>
      </c>
      <c r="C398">
        <v>1234.06024289024</v>
      </c>
    </row>
    <row r="399" spans="1:3" x14ac:dyDescent="0.35">
      <c r="A399" t="s">
        <v>27</v>
      </c>
      <c r="B399">
        <v>2005</v>
      </c>
      <c r="C399">
        <v>1411.65032063783</v>
      </c>
    </row>
    <row r="400" spans="1:3" x14ac:dyDescent="0.35">
      <c r="A400" t="s">
        <v>27</v>
      </c>
      <c r="B400">
        <v>2006</v>
      </c>
      <c r="C400">
        <v>1578.44120322957</v>
      </c>
    </row>
    <row r="401" spans="1:3" x14ac:dyDescent="0.35">
      <c r="A401" t="s">
        <v>27</v>
      </c>
      <c r="B401">
        <v>2007</v>
      </c>
      <c r="C401">
        <v>1739.2001248657</v>
      </c>
    </row>
    <row r="402" spans="1:3" x14ac:dyDescent="0.35">
      <c r="A402" t="s">
        <v>27</v>
      </c>
      <c r="B402">
        <v>2008</v>
      </c>
      <c r="C402">
        <v>1884.24265883102</v>
      </c>
    </row>
    <row r="403" spans="1:3" x14ac:dyDescent="0.35">
      <c r="A403" t="s">
        <v>27</v>
      </c>
      <c r="B403">
        <v>2009</v>
      </c>
      <c r="C403">
        <v>2026.85246173323</v>
      </c>
    </row>
    <row r="404" spans="1:3" x14ac:dyDescent="0.35">
      <c r="A404" t="s">
        <v>27</v>
      </c>
      <c r="B404">
        <v>2010</v>
      </c>
      <c r="C404">
        <v>2191.8881665854001</v>
      </c>
    </row>
    <row r="405" spans="1:3" x14ac:dyDescent="0.35">
      <c r="A405" t="s">
        <v>27</v>
      </c>
      <c r="B405">
        <v>2011</v>
      </c>
      <c r="C405">
        <v>2360.4936006922399</v>
      </c>
    </row>
    <row r="406" spans="1:3" x14ac:dyDescent="0.35">
      <c r="A406" t="s">
        <v>27</v>
      </c>
      <c r="B406">
        <v>2012</v>
      </c>
      <c r="C406">
        <v>2564.6889523354998</v>
      </c>
    </row>
    <row r="407" spans="1:3" x14ac:dyDescent="0.35">
      <c r="A407" t="s">
        <v>27</v>
      </c>
      <c r="B407">
        <v>2013</v>
      </c>
      <c r="C407">
        <v>2755.7741608124302</v>
      </c>
    </row>
    <row r="408" spans="1:3" x14ac:dyDescent="0.35">
      <c r="A408" t="s">
        <v>27</v>
      </c>
      <c r="B408">
        <v>2014</v>
      </c>
      <c r="C408">
        <v>2970.6396342113899</v>
      </c>
    </row>
    <row r="409" spans="1:3" x14ac:dyDescent="0.35">
      <c r="A409" t="s">
        <v>27</v>
      </c>
      <c r="B409">
        <v>2015</v>
      </c>
      <c r="C409">
        <v>3242.3986667948202</v>
      </c>
    </row>
    <row r="410" spans="1:3" x14ac:dyDescent="0.35">
      <c r="A410" t="s">
        <v>27</v>
      </c>
      <c r="B410">
        <v>2016</v>
      </c>
      <c r="C410">
        <v>3526.9032169976099</v>
      </c>
    </row>
    <row r="411" spans="1:3" x14ac:dyDescent="0.35">
      <c r="A411" t="s">
        <v>27</v>
      </c>
      <c r="B411">
        <v>2017</v>
      </c>
      <c r="C411">
        <v>3475.2294544925498</v>
      </c>
    </row>
    <row r="412" spans="1:3" x14ac:dyDescent="0.35">
      <c r="A412" t="s">
        <v>27</v>
      </c>
      <c r="B412">
        <v>2018</v>
      </c>
      <c r="C412">
        <v>3773.13099827937</v>
      </c>
    </row>
    <row r="413" spans="1:3" x14ac:dyDescent="0.35">
      <c r="A413" t="s">
        <v>27</v>
      </c>
      <c r="B413">
        <v>2019</v>
      </c>
      <c r="C413">
        <v>4129.5499241986799</v>
      </c>
    </row>
    <row r="414" spans="1:3" x14ac:dyDescent="0.35">
      <c r="A414" t="s">
        <v>27</v>
      </c>
      <c r="B414">
        <v>2020</v>
      </c>
      <c r="C414">
        <v>5648.3823695740202</v>
      </c>
    </row>
    <row r="415" spans="1:3" x14ac:dyDescent="0.35">
      <c r="A415" t="s">
        <v>27</v>
      </c>
      <c r="B415">
        <v>2021</v>
      </c>
      <c r="C415">
        <v>7248.2572325147103</v>
      </c>
    </row>
    <row r="416" spans="1:3" x14ac:dyDescent="0.35">
      <c r="A416" t="s">
        <v>27</v>
      </c>
      <c r="B416">
        <v>2022</v>
      </c>
      <c r="C416">
        <v>8797.3818511077006</v>
      </c>
    </row>
    <row r="417" spans="1:3" x14ac:dyDescent="0.35">
      <c r="A417" t="s">
        <v>27</v>
      </c>
      <c r="B417">
        <v>2023</v>
      </c>
      <c r="C417">
        <v>10495.369044856099</v>
      </c>
    </row>
    <row r="418" spans="1:3" x14ac:dyDescent="0.35">
      <c r="A418" t="s">
        <v>18</v>
      </c>
      <c r="B418">
        <v>2000</v>
      </c>
      <c r="C418">
        <v>27.0004332352046</v>
      </c>
    </row>
    <row r="419" spans="1:3" x14ac:dyDescent="0.35">
      <c r="A419" t="s">
        <v>18</v>
      </c>
      <c r="B419">
        <v>2001</v>
      </c>
      <c r="C419">
        <v>66.168407798285003</v>
      </c>
    </row>
    <row r="420" spans="1:3" x14ac:dyDescent="0.35">
      <c r="A420" t="s">
        <v>18</v>
      </c>
      <c r="B420">
        <v>2002</v>
      </c>
      <c r="C420">
        <v>115.04471683403401</v>
      </c>
    </row>
    <row r="421" spans="1:3" x14ac:dyDescent="0.35">
      <c r="A421" t="s">
        <v>18</v>
      </c>
      <c r="B421">
        <v>2003</v>
      </c>
      <c r="C421">
        <v>180.39433331738499</v>
      </c>
    </row>
    <row r="422" spans="1:3" x14ac:dyDescent="0.35">
      <c r="A422" t="s">
        <v>18</v>
      </c>
      <c r="B422">
        <v>2004</v>
      </c>
      <c r="C422">
        <v>239.10773376408599</v>
      </c>
    </row>
    <row r="423" spans="1:3" x14ac:dyDescent="0.35">
      <c r="A423" t="s">
        <v>18</v>
      </c>
      <c r="B423">
        <v>2005</v>
      </c>
      <c r="C423">
        <v>316.43592090535702</v>
      </c>
    </row>
    <row r="424" spans="1:3" x14ac:dyDescent="0.35">
      <c r="A424" t="s">
        <v>18</v>
      </c>
      <c r="B424">
        <v>2006</v>
      </c>
      <c r="C424">
        <v>389.28794262140298</v>
      </c>
    </row>
    <row r="425" spans="1:3" x14ac:dyDescent="0.35">
      <c r="A425" t="s">
        <v>18</v>
      </c>
      <c r="B425">
        <v>2007</v>
      </c>
      <c r="C425">
        <v>498.11089195497999</v>
      </c>
    </row>
    <row r="426" spans="1:3" x14ac:dyDescent="0.35">
      <c r="A426" t="s">
        <v>18</v>
      </c>
      <c r="B426">
        <v>2008</v>
      </c>
      <c r="C426">
        <v>634.28546781189004</v>
      </c>
    </row>
    <row r="427" spans="1:3" x14ac:dyDescent="0.35">
      <c r="A427" t="s">
        <v>18</v>
      </c>
      <c r="B427">
        <v>2009</v>
      </c>
      <c r="C427">
        <v>816.06945085310599</v>
      </c>
    </row>
    <row r="428" spans="1:3" x14ac:dyDescent="0.35">
      <c r="A428" t="s">
        <v>18</v>
      </c>
      <c r="B428">
        <v>2010</v>
      </c>
      <c r="C428">
        <v>1086.07312675245</v>
      </c>
    </row>
    <row r="429" spans="1:3" x14ac:dyDescent="0.35">
      <c r="A429" t="s">
        <v>18</v>
      </c>
      <c r="B429">
        <v>2011</v>
      </c>
      <c r="C429">
        <v>1443.08277239888</v>
      </c>
    </row>
    <row r="430" spans="1:3" x14ac:dyDescent="0.35">
      <c r="A430" t="s">
        <v>18</v>
      </c>
      <c r="B430">
        <v>2012</v>
      </c>
      <c r="C430">
        <v>1961.1775033389899</v>
      </c>
    </row>
    <row r="431" spans="1:3" x14ac:dyDescent="0.35">
      <c r="A431" t="s">
        <v>18</v>
      </c>
      <c r="B431">
        <v>2013</v>
      </c>
      <c r="C431">
        <v>2611.4788926299402</v>
      </c>
    </row>
    <row r="432" spans="1:3" x14ac:dyDescent="0.35">
      <c r="A432" t="s">
        <v>18</v>
      </c>
      <c r="B432">
        <v>2014</v>
      </c>
      <c r="C432">
        <v>3488.3797494260298</v>
      </c>
    </row>
    <row r="433" spans="1:3" x14ac:dyDescent="0.35">
      <c r="A433" t="s">
        <v>18</v>
      </c>
      <c r="B433">
        <v>2015</v>
      </c>
      <c r="C433">
        <v>4773.9585359071398</v>
      </c>
    </row>
    <row r="434" spans="1:3" x14ac:dyDescent="0.35">
      <c r="A434" t="s">
        <v>18</v>
      </c>
      <c r="B434">
        <v>2016</v>
      </c>
      <c r="C434">
        <v>6344.8609674060099</v>
      </c>
    </row>
    <row r="435" spans="1:3" x14ac:dyDescent="0.35">
      <c r="A435" t="s">
        <v>18</v>
      </c>
      <c r="B435">
        <v>2017</v>
      </c>
      <c r="C435">
        <v>6347.7407873070297</v>
      </c>
    </row>
    <row r="436" spans="1:3" x14ac:dyDescent="0.35">
      <c r="A436" t="s">
        <v>18</v>
      </c>
      <c r="B436">
        <v>2018</v>
      </c>
      <c r="C436">
        <v>6383.3236170330401</v>
      </c>
    </row>
    <row r="437" spans="1:3" x14ac:dyDescent="0.35">
      <c r="A437" t="s">
        <v>18</v>
      </c>
      <c r="B437">
        <v>2019</v>
      </c>
      <c r="C437">
        <v>6466.74067802628</v>
      </c>
    </row>
    <row r="438" spans="1:3" x14ac:dyDescent="0.35">
      <c r="A438" t="s">
        <v>18</v>
      </c>
      <c r="B438">
        <v>2020</v>
      </c>
      <c r="C438">
        <v>7051.0790666781904</v>
      </c>
    </row>
    <row r="439" spans="1:3" x14ac:dyDescent="0.35">
      <c r="A439" t="s">
        <v>18</v>
      </c>
      <c r="B439">
        <v>2021</v>
      </c>
      <c r="C439">
        <v>7820.3283491366401</v>
      </c>
    </row>
    <row r="440" spans="1:3" x14ac:dyDescent="0.35">
      <c r="A440" t="s">
        <v>18</v>
      </c>
      <c r="B440">
        <v>2022</v>
      </c>
      <c r="C440">
        <v>8775.2915062155498</v>
      </c>
    </row>
    <row r="441" spans="1:3" x14ac:dyDescent="0.35">
      <c r="A441" t="s">
        <v>18</v>
      </c>
      <c r="B441">
        <v>2023</v>
      </c>
      <c r="C441">
        <v>10194.179173955101</v>
      </c>
    </row>
    <row r="442" spans="1:3" x14ac:dyDescent="0.35">
      <c r="A442" t="s">
        <v>14</v>
      </c>
      <c r="B442">
        <v>1991</v>
      </c>
      <c r="C442">
        <v>-15.277270398103701</v>
      </c>
    </row>
    <row r="443" spans="1:3" x14ac:dyDescent="0.35">
      <c r="A443" t="s">
        <v>14</v>
      </c>
      <c r="B443">
        <v>1992</v>
      </c>
      <c r="C443">
        <v>-28.1490256808213</v>
      </c>
    </row>
    <row r="444" spans="1:3" x14ac:dyDescent="0.35">
      <c r="A444" t="s">
        <v>14</v>
      </c>
      <c r="B444">
        <v>1993</v>
      </c>
      <c r="C444">
        <v>-31.469171613009099</v>
      </c>
    </row>
    <row r="445" spans="1:3" x14ac:dyDescent="0.35">
      <c r="A445" t="s">
        <v>14</v>
      </c>
      <c r="B445">
        <v>1994</v>
      </c>
      <c r="C445">
        <v>-31.4684949820582</v>
      </c>
    </row>
    <row r="446" spans="1:3" x14ac:dyDescent="0.35">
      <c r="A446" t="s">
        <v>14</v>
      </c>
      <c r="B446">
        <v>1995</v>
      </c>
      <c r="C446">
        <v>-21.479690393752399</v>
      </c>
    </row>
    <row r="447" spans="1:3" x14ac:dyDescent="0.35">
      <c r="A447" t="s">
        <v>14</v>
      </c>
      <c r="B447">
        <v>1996</v>
      </c>
      <c r="C447">
        <v>0.90233835402973706</v>
      </c>
    </row>
    <row r="448" spans="1:3" x14ac:dyDescent="0.35">
      <c r="A448" t="s">
        <v>14</v>
      </c>
      <c r="B448">
        <v>1997</v>
      </c>
      <c r="C448">
        <v>39.562895674252204</v>
      </c>
    </row>
    <row r="449" spans="1:3" x14ac:dyDescent="0.35">
      <c r="A449" t="s">
        <v>14</v>
      </c>
      <c r="B449">
        <v>1998</v>
      </c>
      <c r="C449">
        <v>83.199071128882906</v>
      </c>
    </row>
    <row r="450" spans="1:3" x14ac:dyDescent="0.35">
      <c r="A450" t="s">
        <v>14</v>
      </c>
      <c r="B450">
        <v>1999</v>
      </c>
      <c r="C450">
        <v>139.52848562624399</v>
      </c>
    </row>
    <row r="451" spans="1:3" x14ac:dyDescent="0.35">
      <c r="A451" t="s">
        <v>14</v>
      </c>
      <c r="B451">
        <v>2000</v>
      </c>
      <c r="C451">
        <v>197.947671233054</v>
      </c>
    </row>
    <row r="452" spans="1:3" x14ac:dyDescent="0.35">
      <c r="A452" t="s">
        <v>14</v>
      </c>
      <c r="B452">
        <v>2001</v>
      </c>
      <c r="C452">
        <v>270.61972056146402</v>
      </c>
    </row>
    <row r="453" spans="1:3" x14ac:dyDescent="0.35">
      <c r="A453" t="s">
        <v>14</v>
      </c>
      <c r="B453">
        <v>2002</v>
      </c>
      <c r="C453">
        <v>346.00718562660899</v>
      </c>
    </row>
    <row r="454" spans="1:3" x14ac:dyDescent="0.35">
      <c r="A454" t="s">
        <v>14</v>
      </c>
      <c r="B454">
        <v>2003</v>
      </c>
      <c r="C454">
        <v>438.427277458471</v>
      </c>
    </row>
    <row r="455" spans="1:3" x14ac:dyDescent="0.35">
      <c r="A455" t="s">
        <v>14</v>
      </c>
      <c r="B455">
        <v>2004</v>
      </c>
      <c r="C455">
        <v>662.69218052687597</v>
      </c>
    </row>
    <row r="456" spans="1:3" x14ac:dyDescent="0.35">
      <c r="A456" t="s">
        <v>14</v>
      </c>
      <c r="B456">
        <v>2005</v>
      </c>
      <c r="C456">
        <v>1169.29954062211</v>
      </c>
    </row>
    <row r="457" spans="1:3" x14ac:dyDescent="0.35">
      <c r="A457" t="s">
        <v>14</v>
      </c>
      <c r="B457">
        <v>2006</v>
      </c>
      <c r="C457">
        <v>2058.5243601106499</v>
      </c>
    </row>
    <row r="458" spans="1:3" x14ac:dyDescent="0.35">
      <c r="A458" t="s">
        <v>14</v>
      </c>
      <c r="B458">
        <v>2007</v>
      </c>
      <c r="C458">
        <v>2786.0059001741602</v>
      </c>
    </row>
    <row r="459" spans="1:3" x14ac:dyDescent="0.35">
      <c r="A459" t="s">
        <v>14</v>
      </c>
      <c r="B459">
        <v>2008</v>
      </c>
      <c r="C459">
        <v>3347.2982418726301</v>
      </c>
    </row>
    <row r="460" spans="1:3" x14ac:dyDescent="0.35">
      <c r="A460" t="s">
        <v>14</v>
      </c>
      <c r="B460">
        <v>2009</v>
      </c>
      <c r="C460">
        <v>3803.3044498034101</v>
      </c>
    </row>
    <row r="461" spans="1:3" x14ac:dyDescent="0.35">
      <c r="A461" t="s">
        <v>14</v>
      </c>
      <c r="B461">
        <v>2010</v>
      </c>
      <c r="C461">
        <v>4192.2022799802598</v>
      </c>
    </row>
    <row r="462" spans="1:3" x14ac:dyDescent="0.35">
      <c r="A462" t="s">
        <v>14</v>
      </c>
      <c r="B462">
        <v>2011</v>
      </c>
      <c r="C462">
        <v>4477.4468063587401</v>
      </c>
    </row>
    <row r="463" spans="1:3" x14ac:dyDescent="0.35">
      <c r="A463" t="s">
        <v>14</v>
      </c>
      <c r="B463">
        <v>2012</v>
      </c>
      <c r="C463">
        <v>4729.9484190091198</v>
      </c>
    </row>
    <row r="464" spans="1:3" x14ac:dyDescent="0.35">
      <c r="A464" t="s">
        <v>14</v>
      </c>
      <c r="B464">
        <v>2013</v>
      </c>
      <c r="C464">
        <v>4943.85688690395</v>
      </c>
    </row>
    <row r="465" spans="1:3" x14ac:dyDescent="0.35">
      <c r="A465" t="s">
        <v>14</v>
      </c>
      <c r="B465">
        <v>2014</v>
      </c>
      <c r="C465">
        <v>5144.80362840818</v>
      </c>
    </row>
    <row r="466" spans="1:3" x14ac:dyDescent="0.35">
      <c r="A466" t="s">
        <v>14</v>
      </c>
      <c r="B466">
        <v>2015</v>
      </c>
      <c r="C466">
        <v>5350.34390710352</v>
      </c>
    </row>
    <row r="467" spans="1:3" x14ac:dyDescent="0.35">
      <c r="A467" t="s">
        <v>14</v>
      </c>
      <c r="B467">
        <v>2016</v>
      </c>
      <c r="C467">
        <v>5502.2838943410698</v>
      </c>
    </row>
    <row r="468" spans="1:3" x14ac:dyDescent="0.35">
      <c r="A468" t="s">
        <v>14</v>
      </c>
      <c r="B468">
        <v>2017</v>
      </c>
      <c r="C468">
        <v>5619.0933394715303</v>
      </c>
    </row>
    <row r="469" spans="1:3" x14ac:dyDescent="0.35">
      <c r="A469" t="s">
        <v>14</v>
      </c>
      <c r="B469">
        <v>2018</v>
      </c>
      <c r="C469">
        <v>5727.9934318875203</v>
      </c>
    </row>
    <row r="470" spans="1:3" x14ac:dyDescent="0.35">
      <c r="A470" t="s">
        <v>14</v>
      </c>
      <c r="B470">
        <v>2019</v>
      </c>
      <c r="C470">
        <v>5831.27804883728</v>
      </c>
    </row>
    <row r="471" spans="1:3" x14ac:dyDescent="0.35">
      <c r="A471" t="s">
        <v>14</v>
      </c>
      <c r="B471">
        <v>2020</v>
      </c>
      <c r="C471">
        <v>5730.8663756607002</v>
      </c>
    </row>
    <row r="472" spans="1:3" x14ac:dyDescent="0.35">
      <c r="A472" t="s">
        <v>14</v>
      </c>
      <c r="B472">
        <v>2021</v>
      </c>
      <c r="C472">
        <v>5819.1740496233897</v>
      </c>
    </row>
    <row r="473" spans="1:3" x14ac:dyDescent="0.35">
      <c r="A473" t="s">
        <v>14</v>
      </c>
      <c r="B473">
        <v>2022</v>
      </c>
      <c r="C473">
        <v>5879.9115033200596</v>
      </c>
    </row>
    <row r="474" spans="1:3" x14ac:dyDescent="0.35">
      <c r="A474" t="s">
        <v>14</v>
      </c>
      <c r="B474">
        <v>2023</v>
      </c>
      <c r="C474">
        <v>5934.0357426166502</v>
      </c>
    </row>
    <row r="475" spans="1:3" x14ac:dyDescent="0.35">
      <c r="A475" t="s">
        <v>22</v>
      </c>
      <c r="B475">
        <v>1991</v>
      </c>
      <c r="C475">
        <v>-6.0054547112407297</v>
      </c>
    </row>
    <row r="476" spans="1:3" x14ac:dyDescent="0.35">
      <c r="A476" t="s">
        <v>22</v>
      </c>
      <c r="B476">
        <v>1992</v>
      </c>
      <c r="C476">
        <v>-9.0929916004125193</v>
      </c>
    </row>
    <row r="477" spans="1:3" x14ac:dyDescent="0.35">
      <c r="A477" t="s">
        <v>22</v>
      </c>
      <c r="B477">
        <v>1993</v>
      </c>
      <c r="C477">
        <v>-5.0871050319291298</v>
      </c>
    </row>
    <row r="478" spans="1:3" x14ac:dyDescent="0.35">
      <c r="A478" t="s">
        <v>22</v>
      </c>
      <c r="B478">
        <v>1994</v>
      </c>
      <c r="C478">
        <v>1.8150326997334401</v>
      </c>
    </row>
    <row r="479" spans="1:3" x14ac:dyDescent="0.35">
      <c r="A479" t="s">
        <v>22</v>
      </c>
      <c r="B479">
        <v>1995</v>
      </c>
      <c r="C479">
        <v>20.165820164024499</v>
      </c>
    </row>
    <row r="480" spans="1:3" x14ac:dyDescent="0.35">
      <c r="A480" t="s">
        <v>22</v>
      </c>
      <c r="B480">
        <v>1996</v>
      </c>
      <c r="C480">
        <v>50.787068899855001</v>
      </c>
    </row>
    <row r="481" spans="1:3" x14ac:dyDescent="0.35">
      <c r="A481" t="s">
        <v>22</v>
      </c>
      <c r="B481">
        <v>1997</v>
      </c>
      <c r="C481">
        <v>96.468996385790902</v>
      </c>
    </row>
    <row r="482" spans="1:3" x14ac:dyDescent="0.35">
      <c r="A482" t="s">
        <v>22</v>
      </c>
      <c r="B482">
        <v>1998</v>
      </c>
      <c r="C482">
        <v>147.63635003728999</v>
      </c>
    </row>
    <row r="483" spans="1:3" x14ac:dyDescent="0.35">
      <c r="A483" t="s">
        <v>22</v>
      </c>
      <c r="B483">
        <v>1999</v>
      </c>
      <c r="C483">
        <v>211.686126155979</v>
      </c>
    </row>
    <row r="484" spans="1:3" x14ac:dyDescent="0.35">
      <c r="A484" t="s">
        <v>22</v>
      </c>
      <c r="B484">
        <v>2000</v>
      </c>
      <c r="C484">
        <v>279.742422816773</v>
      </c>
    </row>
    <row r="485" spans="1:3" x14ac:dyDescent="0.35">
      <c r="A485" t="s">
        <v>22</v>
      </c>
      <c r="B485">
        <v>2001</v>
      </c>
      <c r="C485">
        <v>362.46158387310999</v>
      </c>
    </row>
    <row r="486" spans="1:3" x14ac:dyDescent="0.35">
      <c r="A486" t="s">
        <v>22</v>
      </c>
      <c r="B486">
        <v>2002</v>
      </c>
      <c r="C486">
        <v>446.03956369266001</v>
      </c>
    </row>
    <row r="487" spans="1:3" x14ac:dyDescent="0.35">
      <c r="A487" t="s">
        <v>22</v>
      </c>
      <c r="B487">
        <v>2003</v>
      </c>
      <c r="C487">
        <v>546.61218115864301</v>
      </c>
    </row>
    <row r="488" spans="1:3" x14ac:dyDescent="0.35">
      <c r="A488" t="s">
        <v>22</v>
      </c>
      <c r="B488">
        <v>2004</v>
      </c>
      <c r="C488">
        <v>645.30443484639602</v>
      </c>
    </row>
    <row r="489" spans="1:3" x14ac:dyDescent="0.35">
      <c r="A489" t="s">
        <v>22</v>
      </c>
      <c r="B489">
        <v>2005</v>
      </c>
      <c r="C489">
        <v>765.638969059494</v>
      </c>
    </row>
    <row r="490" spans="1:3" x14ac:dyDescent="0.35">
      <c r="A490" t="s">
        <v>22</v>
      </c>
      <c r="B490">
        <v>2006</v>
      </c>
      <c r="C490">
        <v>878.12167588665295</v>
      </c>
    </row>
    <row r="491" spans="1:3" x14ac:dyDescent="0.35">
      <c r="A491" t="s">
        <v>22</v>
      </c>
      <c r="B491">
        <v>2007</v>
      </c>
      <c r="C491">
        <v>985.73118746473403</v>
      </c>
    </row>
    <row r="492" spans="1:3" x14ac:dyDescent="0.35">
      <c r="A492" t="s">
        <v>22</v>
      </c>
      <c r="B492">
        <v>2008</v>
      </c>
      <c r="C492">
        <v>1538.0399920733701</v>
      </c>
    </row>
    <row r="493" spans="1:3" x14ac:dyDescent="0.35">
      <c r="A493" t="s">
        <v>22</v>
      </c>
      <c r="B493">
        <v>2009</v>
      </c>
      <c r="C493">
        <v>2086.9285692328299</v>
      </c>
    </row>
    <row r="494" spans="1:3" x14ac:dyDescent="0.35">
      <c r="A494" t="s">
        <v>22</v>
      </c>
      <c r="B494">
        <v>2010</v>
      </c>
      <c r="C494">
        <v>2688.2542739115302</v>
      </c>
    </row>
    <row r="495" spans="1:3" x14ac:dyDescent="0.35">
      <c r="A495" t="s">
        <v>22</v>
      </c>
      <c r="B495">
        <v>2011</v>
      </c>
      <c r="C495">
        <v>3308.09699717687</v>
      </c>
    </row>
    <row r="496" spans="1:3" x14ac:dyDescent="0.35">
      <c r="A496" t="s">
        <v>22</v>
      </c>
      <c r="B496">
        <v>2012</v>
      </c>
      <c r="C496">
        <v>4022.8838376426102</v>
      </c>
    </row>
    <row r="497" spans="1:3" x14ac:dyDescent="0.35">
      <c r="A497" t="s">
        <v>22</v>
      </c>
      <c r="B497">
        <v>2013</v>
      </c>
      <c r="C497">
        <v>4685.9060474016296</v>
      </c>
    </row>
    <row r="498" spans="1:3" x14ac:dyDescent="0.35">
      <c r="A498" t="s">
        <v>22</v>
      </c>
      <c r="B498">
        <v>2014</v>
      </c>
      <c r="C498">
        <v>5400.68590015665</v>
      </c>
    </row>
    <row r="499" spans="1:3" x14ac:dyDescent="0.35">
      <c r="A499" t="s">
        <v>22</v>
      </c>
      <c r="B499">
        <v>2015</v>
      </c>
      <c r="C499">
        <v>6279.4684316991898</v>
      </c>
    </row>
    <row r="500" spans="1:3" x14ac:dyDescent="0.35">
      <c r="A500" t="s">
        <v>22</v>
      </c>
      <c r="B500">
        <v>2016</v>
      </c>
      <c r="C500">
        <v>7172.6956215232603</v>
      </c>
    </row>
    <row r="501" spans="1:3" x14ac:dyDescent="0.35">
      <c r="A501" t="s">
        <v>22</v>
      </c>
      <c r="B501">
        <v>2017</v>
      </c>
      <c r="C501">
        <v>8047.7899507923103</v>
      </c>
    </row>
    <row r="502" spans="1:3" x14ac:dyDescent="0.35">
      <c r="A502" t="s">
        <v>22</v>
      </c>
      <c r="B502">
        <v>2018</v>
      </c>
      <c r="C502">
        <v>8986.4918885339193</v>
      </c>
    </row>
    <row r="503" spans="1:3" x14ac:dyDescent="0.35">
      <c r="A503" t="s">
        <v>22</v>
      </c>
      <c r="B503">
        <v>2019</v>
      </c>
      <c r="C503">
        <v>10072.789242392801</v>
      </c>
    </row>
    <row r="504" spans="1:3" x14ac:dyDescent="0.35">
      <c r="A504" t="s">
        <v>22</v>
      </c>
      <c r="B504">
        <v>2020</v>
      </c>
      <c r="C504">
        <v>11320.042419797701</v>
      </c>
    </row>
    <row r="505" spans="1:3" x14ac:dyDescent="0.35">
      <c r="A505" t="s">
        <v>22</v>
      </c>
      <c r="B505">
        <v>2021</v>
      </c>
      <c r="C505">
        <v>12610.6847035681</v>
      </c>
    </row>
    <row r="506" spans="1:3" x14ac:dyDescent="0.35">
      <c r="A506" t="s">
        <v>22</v>
      </c>
      <c r="B506">
        <v>2022</v>
      </c>
      <c r="C506">
        <v>13953.143774541</v>
      </c>
    </row>
    <row r="507" spans="1:3" x14ac:dyDescent="0.35">
      <c r="A507" t="s">
        <v>22</v>
      </c>
      <c r="B507">
        <v>2023</v>
      </c>
      <c r="C507">
        <v>15456.1903842515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5C93-BEF2-467A-9D82-4A09D1CB4162}">
  <sheetPr>
    <tabColor rgb="FFFFFF00"/>
  </sheetPr>
  <dimension ref="A1:C16"/>
  <sheetViews>
    <sheetView workbookViewId="0">
      <selection activeCell="E16" sqref="E16"/>
    </sheetView>
  </sheetViews>
  <sheetFormatPr defaultRowHeight="14.5" x14ac:dyDescent="0.35"/>
  <cols>
    <col min="1" max="1" width="40.90625" style="2" bestFit="1" customWidth="1"/>
    <col min="2" max="2" width="18.7265625" style="2" bestFit="1" customWidth="1"/>
    <col min="3" max="3" width="20.6328125" style="2" bestFit="1" customWidth="1"/>
    <col min="4" max="16384" width="8.7265625" style="2"/>
  </cols>
  <sheetData>
    <row r="1" spans="1:3" x14ac:dyDescent="0.35">
      <c r="A1" s="1" t="s">
        <v>37</v>
      </c>
      <c r="B1" s="1" t="s">
        <v>38</v>
      </c>
      <c r="C1" s="1" t="s">
        <v>39</v>
      </c>
    </row>
    <row r="2" spans="1:3" x14ac:dyDescent="0.35">
      <c r="A2" s="2" t="s">
        <v>40</v>
      </c>
      <c r="B2" s="2" t="s">
        <v>40</v>
      </c>
      <c r="C2" s="2" t="s">
        <v>41</v>
      </c>
    </row>
    <row r="3" spans="1:3" x14ac:dyDescent="0.35">
      <c r="A3" s="2" t="s">
        <v>138</v>
      </c>
      <c r="B3" s="2" t="s">
        <v>40</v>
      </c>
      <c r="C3" s="2" t="s">
        <v>41</v>
      </c>
    </row>
    <row r="4" spans="1:3" x14ac:dyDescent="0.35">
      <c r="A4" s="18" t="s">
        <v>42</v>
      </c>
      <c r="B4" s="18" t="s">
        <v>42</v>
      </c>
      <c r="C4" s="18" t="s">
        <v>41</v>
      </c>
    </row>
    <row r="5" spans="1:3" x14ac:dyDescent="0.35">
      <c r="A5" s="20" t="s">
        <v>157</v>
      </c>
      <c r="B5" s="20" t="s">
        <v>157</v>
      </c>
      <c r="C5" s="20" t="s">
        <v>169</v>
      </c>
    </row>
    <row r="6" spans="1:3" x14ac:dyDescent="0.35">
      <c r="A6" s="20" t="s">
        <v>158</v>
      </c>
      <c r="B6" s="2" t="s">
        <v>42</v>
      </c>
      <c r="C6" s="23" t="s">
        <v>180</v>
      </c>
    </row>
    <row r="7" spans="1:3" x14ac:dyDescent="0.35">
      <c r="A7" s="20" t="s">
        <v>159</v>
      </c>
      <c r="B7" s="20" t="s">
        <v>157</v>
      </c>
      <c r="C7" s="23" t="s">
        <v>180</v>
      </c>
    </row>
    <row r="8" spans="1:3" x14ac:dyDescent="0.35">
      <c r="A8" s="2" t="s">
        <v>43</v>
      </c>
      <c r="B8" s="2" t="s">
        <v>43</v>
      </c>
      <c r="C8" s="2" t="s">
        <v>44</v>
      </c>
    </row>
    <row r="9" spans="1:3" x14ac:dyDescent="0.35">
      <c r="A9" s="20" t="s">
        <v>160</v>
      </c>
      <c r="B9" s="20" t="s">
        <v>160</v>
      </c>
      <c r="C9" s="20" t="s">
        <v>170</v>
      </c>
    </row>
    <row r="10" spans="1:3" x14ac:dyDescent="0.35">
      <c r="A10" s="20" t="s">
        <v>161</v>
      </c>
      <c r="B10" s="2" t="s">
        <v>43</v>
      </c>
      <c r="C10" s="23" t="s">
        <v>180</v>
      </c>
    </row>
    <row r="11" spans="1:3" x14ac:dyDescent="0.35">
      <c r="A11" s="20" t="s">
        <v>162</v>
      </c>
      <c r="B11" s="20" t="s">
        <v>168</v>
      </c>
      <c r="C11" s="23" t="s">
        <v>181</v>
      </c>
    </row>
    <row r="12" spans="1:3" x14ac:dyDescent="0.35">
      <c r="A12" s="20" t="s">
        <v>163</v>
      </c>
      <c r="B12" s="2" t="s">
        <v>43</v>
      </c>
      <c r="C12" s="23" t="s">
        <v>180</v>
      </c>
    </row>
    <row r="13" spans="1:3" x14ac:dyDescent="0.35">
      <c r="A13" s="20" t="s">
        <v>164</v>
      </c>
      <c r="B13" s="20" t="s">
        <v>160</v>
      </c>
      <c r="C13" s="23" t="s">
        <v>180</v>
      </c>
    </row>
    <row r="14" spans="1:3" x14ac:dyDescent="0.35">
      <c r="A14" s="20" t="s">
        <v>165</v>
      </c>
      <c r="B14" s="20" t="s">
        <v>160</v>
      </c>
      <c r="C14" s="23" t="s">
        <v>180</v>
      </c>
    </row>
    <row r="15" spans="1:3" x14ac:dyDescent="0.35">
      <c r="A15" s="20" t="s">
        <v>166</v>
      </c>
      <c r="B15" s="20" t="s">
        <v>160</v>
      </c>
      <c r="C15" s="23" t="s">
        <v>180</v>
      </c>
    </row>
    <row r="16" spans="1:3" x14ac:dyDescent="0.35">
      <c r="A16" s="20" t="s">
        <v>167</v>
      </c>
      <c r="B16" s="20" t="s">
        <v>157</v>
      </c>
      <c r="C16" s="23" t="s">
        <v>180</v>
      </c>
    </row>
  </sheetData>
  <autoFilter ref="A1:C16" xr:uid="{6AFB5C93-BEF2-467A-9D82-4A09D1CB416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effect_quant_by_period</vt:lpstr>
      <vt:lpstr>cumulative_effects</vt:lpstr>
      <vt:lpstr>policy_contributions_cum</vt:lpstr>
      <vt:lpstr>wind_cump_cap</vt:lpstr>
      <vt:lpstr>estimated_capacity</vt:lpstr>
      <vt:lpstr>policy_name_clustering</vt:lpstr>
    </vt:vector>
  </TitlesOfParts>
  <Company>Friedrich Alexander Universitaet Erlangen Nuernberg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Milioritsas, Ioannis</dc:creator>
  <cp:lastModifiedBy>Milioritsas, Ioannis</cp:lastModifiedBy>
  <dcterms:created xsi:type="dcterms:W3CDTF">2025-11-13T14:59:42Z</dcterms:created>
  <dcterms:modified xsi:type="dcterms:W3CDTF">2026-03-19T08:52:12Z</dcterms:modified>
</cp:coreProperties>
</file>