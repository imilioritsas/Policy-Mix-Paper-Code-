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olicy mix notes\5. Results\3 Robustness Checks\"/>
    </mc:Choice>
  </mc:AlternateContent>
  <xr:revisionPtr revIDLastSave="0" documentId="13_ncr:1_{C5AF5B11-98D4-4461-94BE-3E073FE24933}" xr6:coauthVersionLast="47" xr6:coauthVersionMax="47" xr10:uidLastSave="{00000000-0000-0000-0000-000000000000}"/>
  <bookViews>
    <workbookView xWindow="-110" yWindow="-110" windowWidth="19420" windowHeight="11500" tabRatio="859" activeTab="5" xr2:uid="{BDC6D477-8D27-493D-8B69-4383EF0A8B4C}"/>
  </bookViews>
  <sheets>
    <sheet name="effect_quant_by_period" sheetId="5" r:id="rId1"/>
    <sheet name="cumulative_effects" sheetId="6" r:id="rId2"/>
    <sheet name="policy_contributions_cum" sheetId="1" r:id="rId3"/>
    <sheet name="solar_cum_cap" sheetId="2" r:id="rId4"/>
    <sheet name="estimated_capacity" sheetId="3" r:id="rId5"/>
    <sheet name="policy_name_clustering" sheetId="4" r:id="rId6"/>
  </sheets>
  <definedNames>
    <definedName name="_xlnm._FilterDatabase" localSheetId="0" hidden="1">effect_quant_by_period!$A$1:$K$498</definedName>
    <definedName name="_xlnm._FilterDatabase" localSheetId="5" hidden="1">policy_name_clustering!$A$1:$C$1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6" l="1"/>
  <c r="B23" i="6"/>
  <c r="B24" i="6"/>
  <c r="B12" i="6"/>
  <c r="B21" i="6"/>
  <c r="B19" i="6"/>
  <c r="F178" i="5" l="1"/>
  <c r="K178" i="5" s="1" a="1"/>
  <c r="K178" i="5" s="1"/>
  <c r="G177" i="5"/>
  <c r="G178" i="5"/>
  <c r="H177" i="5"/>
  <c r="H178" i="5"/>
  <c r="H176" i="5"/>
  <c r="J177" i="5" a="1"/>
  <c r="J177" i="5" s="1"/>
  <c r="J178" i="5" a="1"/>
  <c r="J178" i="5" s="1"/>
  <c r="J176" i="5" a="1"/>
  <c r="J176" i="5" s="1"/>
  <c r="F119" i="5"/>
  <c r="F123" i="5"/>
  <c r="H123" i="5"/>
  <c r="G123" i="5"/>
  <c r="E123" i="5" a="1"/>
  <c r="E123" i="5" s="1"/>
  <c r="F179" i="5" l="1"/>
  <c r="K123" i="5" a="1"/>
  <c r="K123" i="5" s="1"/>
  <c r="F186" i="5"/>
  <c r="E2" i="2"/>
  <c r="K105" i="5" l="1" a="1"/>
  <c r="K105" i="5" s="1"/>
  <c r="K106" i="5" a="1"/>
  <c r="K106" i="5" s="1"/>
  <c r="K107" i="5" a="1"/>
  <c r="K107" i="5" s="1"/>
  <c r="K108" i="5" a="1"/>
  <c r="K108" i="5" s="1"/>
  <c r="K109" i="5" a="1"/>
  <c r="K109" i="5" s="1"/>
  <c r="K110" i="5" a="1"/>
  <c r="K110" i="5" s="1"/>
  <c r="K111" i="5" a="1"/>
  <c r="K111" i="5" s="1"/>
  <c r="K112" i="5" a="1"/>
  <c r="K112" i="5" s="1"/>
  <c r="K113" i="5" a="1"/>
  <c r="K113" i="5" s="1"/>
  <c r="K120" i="5" a="1"/>
  <c r="K120" i="5" s="1"/>
  <c r="K121" i="5" a="1"/>
  <c r="K121" i="5" s="1"/>
  <c r="K122" i="5" a="1"/>
  <c r="K122" i="5" s="1"/>
  <c r="K160" i="5" a="1"/>
  <c r="K160" i="5" s="1"/>
  <c r="K161" i="5" a="1"/>
  <c r="K161" i="5" s="1"/>
  <c r="K162" i="5" a="1"/>
  <c r="K162" i="5" s="1"/>
  <c r="K163" i="5" a="1"/>
  <c r="K163" i="5" s="1"/>
  <c r="K164" i="5" a="1"/>
  <c r="K164" i="5" s="1"/>
  <c r="K165" i="5" a="1"/>
  <c r="K165" i="5" s="1"/>
  <c r="K166" i="5" a="1"/>
  <c r="K166" i="5" s="1"/>
  <c r="K167" i="5" a="1"/>
  <c r="K167" i="5" s="1"/>
  <c r="K168" i="5" a="1"/>
  <c r="K168" i="5" s="1"/>
  <c r="K169" i="5" a="1"/>
  <c r="K169" i="5" s="1"/>
  <c r="K170" i="5" a="1"/>
  <c r="K170" i="5" s="1"/>
  <c r="K171" i="5" a="1"/>
  <c r="K171" i="5" s="1"/>
  <c r="K172" i="5" a="1"/>
  <c r="K172" i="5" s="1"/>
  <c r="K179" i="5" a="1"/>
  <c r="K179" i="5" s="1"/>
  <c r="K180" i="5" a="1"/>
  <c r="K180" i="5" s="1"/>
  <c r="K181" i="5" a="1"/>
  <c r="K181" i="5" s="1"/>
  <c r="K182" i="5" a="1"/>
  <c r="K182" i="5" s="1"/>
  <c r="K183" i="5" a="1"/>
  <c r="K183" i="5" s="1"/>
  <c r="K184" i="5" a="1"/>
  <c r="K184" i="5" s="1"/>
  <c r="K185" i="5" a="1"/>
  <c r="K185" i="5" s="1"/>
  <c r="K188" i="5" a="1"/>
  <c r="K188" i="5" s="1"/>
  <c r="K189" i="5" a="1"/>
  <c r="K189" i="5" s="1"/>
  <c r="K190" i="5" a="1"/>
  <c r="K190" i="5" s="1"/>
  <c r="K191" i="5" a="1"/>
  <c r="K191" i="5" s="1"/>
  <c r="K192" i="5" a="1"/>
  <c r="K192" i="5" s="1"/>
  <c r="K276" i="5" a="1"/>
  <c r="K276" i="5" s="1"/>
  <c r="K277" i="5" a="1"/>
  <c r="K277" i="5" s="1"/>
  <c r="K278" i="5" a="1"/>
  <c r="K278" i="5" s="1"/>
  <c r="K279" i="5" a="1"/>
  <c r="K279" i="5" s="1"/>
  <c r="K280" i="5" a="1"/>
  <c r="K280" i="5" s="1"/>
  <c r="K346" i="5" a="1"/>
  <c r="K346" i="5" s="1"/>
  <c r="K347" i="5" a="1"/>
  <c r="K347" i="5" s="1"/>
  <c r="K348" i="5" a="1"/>
  <c r="K348" i="5" s="1"/>
  <c r="K349" i="5" a="1"/>
  <c r="K349" i="5" s="1"/>
  <c r="K350" i="5" a="1"/>
  <c r="K350" i="5" s="1"/>
  <c r="K351" i="5" a="1"/>
  <c r="K351" i="5" s="1"/>
  <c r="K352" i="5" a="1"/>
  <c r="K352" i="5" s="1"/>
  <c r="K353" i="5" a="1"/>
  <c r="K353" i="5" s="1"/>
  <c r="K354" i="5" a="1"/>
  <c r="K354" i="5" s="1"/>
  <c r="F114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355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281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193" i="5"/>
  <c r="H187" i="5"/>
  <c r="H186" i="5"/>
  <c r="H174" i="5"/>
  <c r="H175" i="5"/>
  <c r="H173" i="5"/>
  <c r="H156" i="5"/>
  <c r="H157" i="5"/>
  <c r="H158" i="5"/>
  <c r="H159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27" i="5"/>
  <c r="H93" i="5"/>
  <c r="H94" i="5"/>
  <c r="H95" i="5"/>
  <c r="H96" i="5"/>
  <c r="H97" i="5"/>
  <c r="H98" i="5"/>
  <c r="H99" i="5"/>
  <c r="H100" i="5"/>
  <c r="H101" i="5"/>
  <c r="H102" i="5"/>
  <c r="H103" i="5"/>
  <c r="H104" i="5"/>
  <c r="H114" i="5"/>
  <c r="H115" i="5"/>
  <c r="H116" i="5"/>
  <c r="H117" i="5"/>
  <c r="H118" i="5"/>
  <c r="H124" i="5"/>
  <c r="H125" i="5"/>
  <c r="H126" i="5"/>
  <c r="H91" i="5"/>
  <c r="H92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2" i="5"/>
  <c r="G477" i="5"/>
  <c r="I477" i="5" s="1" a="1"/>
  <c r="I477" i="5" s="1"/>
  <c r="G478" i="5"/>
  <c r="I478" i="5" s="1" a="1"/>
  <c r="I478" i="5" s="1"/>
  <c r="G479" i="5"/>
  <c r="I479" i="5" s="1" a="1"/>
  <c r="I479" i="5" s="1"/>
  <c r="G480" i="5"/>
  <c r="I480" i="5" s="1" a="1"/>
  <c r="I480" i="5" s="1"/>
  <c r="G481" i="5"/>
  <c r="I481" i="5" s="1" a="1"/>
  <c r="I481" i="5" s="1"/>
  <c r="G482" i="5"/>
  <c r="I482" i="5" s="1" a="1"/>
  <c r="I482" i="5" s="1"/>
  <c r="G483" i="5"/>
  <c r="I483" i="5" s="1" a="1"/>
  <c r="I483" i="5" s="1"/>
  <c r="G484" i="5"/>
  <c r="I484" i="5" s="1" a="1"/>
  <c r="I484" i="5" s="1"/>
  <c r="G485" i="5"/>
  <c r="I485" i="5" s="1" a="1"/>
  <c r="I485" i="5" s="1"/>
  <c r="G486" i="5"/>
  <c r="I486" i="5" s="1" a="1"/>
  <c r="I486" i="5" s="1"/>
  <c r="G487" i="5"/>
  <c r="I487" i="5" s="1" a="1"/>
  <c r="I487" i="5" s="1"/>
  <c r="G488" i="5"/>
  <c r="I488" i="5" s="1" a="1"/>
  <c r="I488" i="5" s="1"/>
  <c r="G489" i="5"/>
  <c r="I489" i="5" s="1" a="1"/>
  <c r="I489" i="5" s="1"/>
  <c r="G490" i="5"/>
  <c r="I490" i="5" s="1" a="1"/>
  <c r="I490" i="5" s="1"/>
  <c r="G491" i="5"/>
  <c r="I491" i="5" s="1" a="1"/>
  <c r="I491" i="5" s="1"/>
  <c r="G492" i="5"/>
  <c r="I492" i="5" s="1" a="1"/>
  <c r="I492" i="5" s="1"/>
  <c r="G493" i="5"/>
  <c r="I493" i="5" s="1" a="1"/>
  <c r="I493" i="5" s="1"/>
  <c r="G494" i="5"/>
  <c r="I494" i="5" s="1" a="1"/>
  <c r="I494" i="5" s="1"/>
  <c r="G495" i="5"/>
  <c r="I495" i="5" s="1" a="1"/>
  <c r="I495" i="5" s="1"/>
  <c r="G496" i="5"/>
  <c r="I496" i="5" s="1" a="1"/>
  <c r="I496" i="5" s="1"/>
  <c r="G497" i="5"/>
  <c r="I497" i="5" s="1" a="1"/>
  <c r="I497" i="5" s="1"/>
  <c r="G498" i="5"/>
  <c r="I498" i="5" s="1" a="1"/>
  <c r="I498" i="5" s="1"/>
  <c r="G476" i="5"/>
  <c r="I476" i="5" s="1" a="1"/>
  <c r="I476" i="5" s="1"/>
  <c r="G456" i="5"/>
  <c r="I456" i="5" s="1" a="1"/>
  <c r="I456" i="5" s="1"/>
  <c r="G457" i="5"/>
  <c r="G458" i="5"/>
  <c r="G459" i="5"/>
  <c r="G460" i="5"/>
  <c r="I460" i="5" s="1" a="1"/>
  <c r="I460" i="5" s="1"/>
  <c r="G461" i="5"/>
  <c r="I461" i="5" s="1" a="1"/>
  <c r="I461" i="5" s="1"/>
  <c r="G462" i="5"/>
  <c r="I462" i="5" s="1" a="1"/>
  <c r="I462" i="5" s="1"/>
  <c r="G463" i="5"/>
  <c r="I463" i="5" s="1" a="1"/>
  <c r="I463" i="5" s="1"/>
  <c r="G464" i="5"/>
  <c r="I464" i="5" s="1" a="1"/>
  <c r="I464" i="5" s="1"/>
  <c r="G465" i="5"/>
  <c r="I465" i="5" s="1" a="1"/>
  <c r="I465" i="5" s="1"/>
  <c r="G466" i="5"/>
  <c r="I466" i="5" s="1" a="1"/>
  <c r="I466" i="5" s="1"/>
  <c r="G467" i="5"/>
  <c r="I467" i="5" s="1" a="1"/>
  <c r="I467" i="5" s="1"/>
  <c r="G468" i="5"/>
  <c r="I468" i="5" s="1" a="1"/>
  <c r="I468" i="5" s="1"/>
  <c r="G469" i="5"/>
  <c r="G470" i="5"/>
  <c r="G471" i="5"/>
  <c r="G472" i="5"/>
  <c r="I472" i="5" s="1" a="1"/>
  <c r="I472" i="5" s="1"/>
  <c r="G473" i="5"/>
  <c r="I473" i="5" s="1" a="1"/>
  <c r="I473" i="5" s="1"/>
  <c r="G474" i="5"/>
  <c r="I474" i="5" s="1" a="1"/>
  <c r="I474" i="5" s="1"/>
  <c r="G475" i="5"/>
  <c r="I475" i="5" s="1" a="1"/>
  <c r="I475" i="5" s="1"/>
  <c r="G455" i="5"/>
  <c r="I455" i="5" s="1" a="1"/>
  <c r="I455" i="5" s="1"/>
  <c r="G433" i="5"/>
  <c r="G434" i="5"/>
  <c r="G435" i="5"/>
  <c r="G436" i="5"/>
  <c r="I436" i="5" s="1" a="1"/>
  <c r="I436" i="5" s="1"/>
  <c r="G437" i="5"/>
  <c r="I437" i="5" s="1" a="1"/>
  <c r="I437" i="5" s="1"/>
  <c r="G438" i="5"/>
  <c r="I438" i="5" s="1" a="1"/>
  <c r="I438" i="5" s="1"/>
  <c r="G439" i="5"/>
  <c r="I439" i="5" s="1" a="1"/>
  <c r="I439" i="5" s="1"/>
  <c r="G440" i="5"/>
  <c r="I440" i="5" s="1" a="1"/>
  <c r="I440" i="5" s="1"/>
  <c r="G441" i="5"/>
  <c r="I441" i="5" s="1" a="1"/>
  <c r="I441" i="5" s="1"/>
  <c r="G442" i="5"/>
  <c r="I442" i="5" s="1" a="1"/>
  <c r="I442" i="5" s="1"/>
  <c r="G443" i="5"/>
  <c r="I443" i="5" s="1" a="1"/>
  <c r="I443" i="5" s="1"/>
  <c r="G444" i="5"/>
  <c r="I444" i="5" s="1" a="1"/>
  <c r="I444" i="5" s="1"/>
  <c r="G445" i="5"/>
  <c r="G446" i="5"/>
  <c r="G447" i="5"/>
  <c r="G448" i="5"/>
  <c r="I448" i="5" s="1" a="1"/>
  <c r="I448" i="5" s="1"/>
  <c r="G449" i="5"/>
  <c r="I449" i="5" s="1" a="1"/>
  <c r="I449" i="5" s="1"/>
  <c r="G450" i="5"/>
  <c r="I450" i="5" s="1" a="1"/>
  <c r="I450" i="5" s="1"/>
  <c r="G451" i="5"/>
  <c r="I451" i="5" s="1" a="1"/>
  <c r="I451" i="5" s="1"/>
  <c r="G452" i="5"/>
  <c r="I452" i="5" s="1" a="1"/>
  <c r="I452" i="5" s="1"/>
  <c r="G453" i="5"/>
  <c r="I453" i="5" s="1" a="1"/>
  <c r="I453" i="5" s="1"/>
  <c r="G454" i="5"/>
  <c r="I454" i="5" s="1" a="1"/>
  <c r="I454" i="5" s="1"/>
  <c r="G432" i="5"/>
  <c r="I432" i="5" s="1" a="1"/>
  <c r="I432" i="5" s="1"/>
  <c r="G410" i="5"/>
  <c r="G411" i="5"/>
  <c r="G412" i="5"/>
  <c r="I412" i="5" s="1" a="1"/>
  <c r="I412" i="5" s="1"/>
  <c r="G413" i="5"/>
  <c r="I413" i="5" s="1" a="1"/>
  <c r="I413" i="5" s="1"/>
  <c r="G414" i="5"/>
  <c r="I414" i="5" s="1" a="1"/>
  <c r="I414" i="5" s="1"/>
  <c r="G415" i="5"/>
  <c r="I415" i="5" s="1" a="1"/>
  <c r="I415" i="5" s="1"/>
  <c r="G416" i="5"/>
  <c r="I416" i="5" s="1" a="1"/>
  <c r="I416" i="5" s="1"/>
  <c r="G417" i="5"/>
  <c r="I417" i="5" s="1" a="1"/>
  <c r="I417" i="5" s="1"/>
  <c r="G418" i="5"/>
  <c r="I418" i="5" s="1" a="1"/>
  <c r="I418" i="5" s="1"/>
  <c r="G419" i="5"/>
  <c r="I419" i="5" s="1" a="1"/>
  <c r="I419" i="5" s="1"/>
  <c r="G420" i="5"/>
  <c r="I420" i="5" s="1" a="1"/>
  <c r="I420" i="5" s="1"/>
  <c r="G421" i="5"/>
  <c r="G422" i="5"/>
  <c r="G423" i="5"/>
  <c r="G424" i="5"/>
  <c r="I424" i="5" s="1" a="1"/>
  <c r="I424" i="5" s="1"/>
  <c r="G425" i="5"/>
  <c r="I425" i="5" s="1" a="1"/>
  <c r="I425" i="5" s="1"/>
  <c r="G409" i="5"/>
  <c r="G387" i="5"/>
  <c r="G388" i="5"/>
  <c r="I388" i="5" s="1" a="1"/>
  <c r="I388" i="5" s="1"/>
  <c r="G389" i="5"/>
  <c r="I389" i="5" s="1" a="1"/>
  <c r="I389" i="5" s="1"/>
  <c r="G390" i="5"/>
  <c r="I390" i="5" s="1" a="1"/>
  <c r="I390" i="5" s="1"/>
  <c r="G391" i="5"/>
  <c r="I391" i="5" s="1" a="1"/>
  <c r="I391" i="5" s="1"/>
  <c r="G392" i="5"/>
  <c r="I392" i="5" s="1" a="1"/>
  <c r="I392" i="5" s="1"/>
  <c r="G393" i="5"/>
  <c r="I393" i="5" s="1" a="1"/>
  <c r="I393" i="5" s="1"/>
  <c r="G394" i="5"/>
  <c r="I394" i="5" s="1" a="1"/>
  <c r="I394" i="5" s="1"/>
  <c r="G395" i="5"/>
  <c r="I395" i="5" s="1" a="1"/>
  <c r="I395" i="5" s="1"/>
  <c r="G396" i="5"/>
  <c r="I396" i="5" s="1" a="1"/>
  <c r="I396" i="5" s="1"/>
  <c r="G397" i="5"/>
  <c r="G386" i="5"/>
  <c r="G365" i="5"/>
  <c r="I365" i="5" s="1" a="1"/>
  <c r="I365" i="5" s="1"/>
  <c r="G366" i="5"/>
  <c r="I366" i="5" s="1" a="1"/>
  <c r="I366" i="5" s="1"/>
  <c r="G367" i="5"/>
  <c r="I367" i="5" s="1" a="1"/>
  <c r="I367" i="5" s="1"/>
  <c r="G368" i="5"/>
  <c r="I368" i="5" s="1" a="1"/>
  <c r="I368" i="5" s="1"/>
  <c r="G369" i="5"/>
  <c r="I369" i="5" s="1" a="1"/>
  <c r="I369" i="5" s="1"/>
  <c r="G370" i="5"/>
  <c r="I370" i="5" s="1" a="1"/>
  <c r="I370" i="5" s="1"/>
  <c r="G371" i="5"/>
  <c r="I371" i="5" s="1" a="1"/>
  <c r="I371" i="5" s="1"/>
  <c r="G372" i="5"/>
  <c r="I372" i="5" s="1" a="1"/>
  <c r="I372" i="5" s="1"/>
  <c r="G373" i="5"/>
  <c r="G374" i="5"/>
  <c r="G375" i="5"/>
  <c r="G376" i="5"/>
  <c r="I376" i="5" s="1" a="1"/>
  <c r="I376" i="5" s="1"/>
  <c r="G377" i="5"/>
  <c r="I377" i="5" s="1" a="1"/>
  <c r="I377" i="5" s="1"/>
  <c r="G378" i="5"/>
  <c r="I378" i="5" s="1" a="1"/>
  <c r="I378" i="5" s="1"/>
  <c r="G379" i="5"/>
  <c r="I379" i="5" s="1" a="1"/>
  <c r="I379" i="5" s="1"/>
  <c r="G380" i="5"/>
  <c r="I380" i="5" s="1" a="1"/>
  <c r="I380" i="5" s="1"/>
  <c r="G381" i="5"/>
  <c r="I381" i="5" s="1" a="1"/>
  <c r="I381" i="5" s="1"/>
  <c r="G382" i="5"/>
  <c r="I382" i="5" s="1" a="1"/>
  <c r="I382" i="5" s="1"/>
  <c r="G383" i="5"/>
  <c r="I383" i="5" s="1" a="1"/>
  <c r="I383" i="5" s="1"/>
  <c r="G384" i="5"/>
  <c r="I384" i="5" s="1" a="1"/>
  <c r="I384" i="5" s="1"/>
  <c r="G385" i="5"/>
  <c r="G364" i="5"/>
  <c r="I364" i="5" s="1" a="1"/>
  <c r="I364" i="5" s="1"/>
  <c r="G333" i="5"/>
  <c r="I333" i="5" s="1" a="1"/>
  <c r="I333" i="5" s="1"/>
  <c r="G334" i="5"/>
  <c r="I334" i="5" s="1" a="1"/>
  <c r="I334" i="5" s="1"/>
  <c r="G335" i="5"/>
  <c r="G336" i="5"/>
  <c r="I336" i="5" s="1" a="1"/>
  <c r="I336" i="5" s="1"/>
  <c r="G337" i="5"/>
  <c r="G338" i="5"/>
  <c r="I338" i="5" s="1" a="1"/>
  <c r="I338" i="5" s="1"/>
  <c r="G332" i="5"/>
  <c r="I332" i="5" s="1" a="1"/>
  <c r="I332" i="5" s="1"/>
  <c r="G310" i="5"/>
  <c r="I310" i="5" s="1" a="1"/>
  <c r="I310" i="5" s="1"/>
  <c r="G311" i="5"/>
  <c r="G312" i="5"/>
  <c r="I312" i="5" s="1" a="1"/>
  <c r="I312" i="5" s="1"/>
  <c r="G313" i="5"/>
  <c r="G314" i="5"/>
  <c r="I314" i="5" s="1" a="1"/>
  <c r="I314" i="5" s="1"/>
  <c r="G315" i="5"/>
  <c r="I315" i="5" s="1" a="1"/>
  <c r="I315" i="5" s="1"/>
  <c r="G316" i="5"/>
  <c r="I316" i="5" s="1" a="1"/>
  <c r="I316" i="5" s="1"/>
  <c r="G317" i="5"/>
  <c r="I317" i="5" s="1" a="1"/>
  <c r="I317" i="5" s="1"/>
  <c r="G318" i="5"/>
  <c r="I318" i="5" s="1" a="1"/>
  <c r="I318" i="5" s="1"/>
  <c r="G319" i="5"/>
  <c r="I319" i="5" s="1" a="1"/>
  <c r="I319" i="5" s="1"/>
  <c r="G320" i="5"/>
  <c r="I320" i="5" s="1" a="1"/>
  <c r="I320" i="5" s="1"/>
  <c r="G321" i="5"/>
  <c r="I321" i="5" s="1" a="1"/>
  <c r="I321" i="5" s="1"/>
  <c r="G322" i="5"/>
  <c r="I322" i="5" s="1" a="1"/>
  <c r="I322" i="5" s="1"/>
  <c r="G323" i="5"/>
  <c r="G324" i="5"/>
  <c r="I324" i="5" s="1" a="1"/>
  <c r="I324" i="5" s="1"/>
  <c r="G325" i="5"/>
  <c r="G326" i="5"/>
  <c r="I326" i="5" s="1" a="1"/>
  <c r="I326" i="5" s="1"/>
  <c r="G327" i="5"/>
  <c r="I327" i="5" s="1" a="1"/>
  <c r="I327" i="5" s="1"/>
  <c r="G328" i="5"/>
  <c r="I328" i="5" s="1" a="1"/>
  <c r="I328" i="5" s="1"/>
  <c r="G329" i="5"/>
  <c r="I329" i="5" s="1" a="1"/>
  <c r="I329" i="5" s="1"/>
  <c r="G330" i="5"/>
  <c r="I330" i="5" s="1" a="1"/>
  <c r="I330" i="5" s="1"/>
  <c r="G331" i="5"/>
  <c r="I331" i="5" s="1" a="1"/>
  <c r="I331" i="5" s="1"/>
  <c r="G309" i="5"/>
  <c r="I309" i="5" s="1" a="1"/>
  <c r="I309" i="5" s="1"/>
  <c r="G287" i="5"/>
  <c r="I287" i="5" s="1" a="1"/>
  <c r="I287" i="5" s="1"/>
  <c r="G288" i="5"/>
  <c r="I288" i="5" s="1" a="1"/>
  <c r="I288" i="5" s="1"/>
  <c r="G289" i="5"/>
  <c r="I289" i="5" s="1" a="1"/>
  <c r="I289" i="5" s="1"/>
  <c r="G290" i="5"/>
  <c r="I290" i="5" s="1" a="1"/>
  <c r="I290" i="5" s="1"/>
  <c r="G291" i="5"/>
  <c r="I291" i="5" s="1" a="1"/>
  <c r="I291" i="5" s="1"/>
  <c r="G292" i="5"/>
  <c r="I292" i="5" s="1" a="1"/>
  <c r="I292" i="5" s="1"/>
  <c r="G293" i="5"/>
  <c r="I293" i="5" s="1" a="1"/>
  <c r="I293" i="5" s="1"/>
  <c r="G294" i="5"/>
  <c r="I294" i="5" s="1" a="1"/>
  <c r="I294" i="5" s="1"/>
  <c r="G295" i="5"/>
  <c r="I295" i="5" s="1" a="1"/>
  <c r="I295" i="5" s="1"/>
  <c r="G296" i="5"/>
  <c r="I296" i="5" s="1" a="1"/>
  <c r="I296" i="5" s="1"/>
  <c r="G297" i="5"/>
  <c r="I297" i="5" s="1" a="1"/>
  <c r="I297" i="5" s="1"/>
  <c r="G298" i="5"/>
  <c r="I298" i="5" s="1" a="1"/>
  <c r="I298" i="5" s="1"/>
  <c r="G299" i="5"/>
  <c r="I299" i="5" s="1" a="1"/>
  <c r="I299" i="5" s="1"/>
  <c r="G300" i="5"/>
  <c r="I300" i="5" s="1" a="1"/>
  <c r="I300" i="5" s="1"/>
  <c r="G286" i="5"/>
  <c r="I286" i="5" s="1" a="1"/>
  <c r="I286" i="5" s="1"/>
  <c r="G259" i="5"/>
  <c r="I259" i="5" s="1" a="1"/>
  <c r="I259" i="5" s="1"/>
  <c r="G260" i="5"/>
  <c r="G261" i="5"/>
  <c r="I261" i="5" s="1" a="1"/>
  <c r="I261" i="5" s="1"/>
  <c r="G262" i="5"/>
  <c r="I262" i="5" s="1" a="1"/>
  <c r="I262" i="5" s="1"/>
  <c r="G263" i="5"/>
  <c r="I263" i="5" s="1" a="1"/>
  <c r="I263" i="5" s="1"/>
  <c r="G264" i="5"/>
  <c r="I264" i="5" s="1" a="1"/>
  <c r="I264" i="5" s="1"/>
  <c r="G265" i="5"/>
  <c r="I265" i="5" s="1" a="1"/>
  <c r="I265" i="5" s="1"/>
  <c r="G266" i="5"/>
  <c r="I266" i="5" s="1" a="1"/>
  <c r="I266" i="5" s="1"/>
  <c r="G258" i="5"/>
  <c r="G236" i="5"/>
  <c r="I236" i="5" s="1" a="1"/>
  <c r="I236" i="5" s="1"/>
  <c r="G237" i="5"/>
  <c r="I237" i="5" s="1" a="1"/>
  <c r="I237" i="5" s="1"/>
  <c r="G238" i="5"/>
  <c r="I238" i="5" s="1" a="1"/>
  <c r="I238" i="5" s="1"/>
  <c r="G239" i="5"/>
  <c r="I239" i="5" s="1" a="1"/>
  <c r="I239" i="5" s="1"/>
  <c r="G240" i="5"/>
  <c r="I240" i="5" s="1" a="1"/>
  <c r="I240" i="5" s="1"/>
  <c r="G241" i="5"/>
  <c r="G242" i="5"/>
  <c r="I242" i="5" s="1" a="1"/>
  <c r="I242" i="5" s="1"/>
  <c r="G243" i="5"/>
  <c r="G235" i="5"/>
  <c r="I235" i="5" s="1" a="1"/>
  <c r="I235" i="5" s="1"/>
  <c r="G213" i="5"/>
  <c r="G214" i="5"/>
  <c r="G215" i="5"/>
  <c r="G216" i="5"/>
  <c r="I216" i="5" s="1" a="1"/>
  <c r="I216" i="5" s="1"/>
  <c r="G217" i="5"/>
  <c r="I217" i="5" s="1" a="1"/>
  <c r="I217" i="5" s="1"/>
  <c r="G218" i="5"/>
  <c r="I218" i="5" s="1" a="1"/>
  <c r="I218" i="5" s="1"/>
  <c r="G219" i="5"/>
  <c r="I219" i="5" s="1" a="1"/>
  <c r="I219" i="5" s="1"/>
  <c r="G220" i="5"/>
  <c r="I220" i="5" s="1" a="1"/>
  <c r="I220" i="5" s="1"/>
  <c r="G221" i="5"/>
  <c r="I221" i="5" s="1" a="1"/>
  <c r="I221" i="5" s="1"/>
  <c r="G222" i="5"/>
  <c r="I222" i="5" s="1" a="1"/>
  <c r="I222" i="5" s="1"/>
  <c r="G223" i="5"/>
  <c r="I223" i="5" s="1" a="1"/>
  <c r="I223" i="5" s="1"/>
  <c r="G224" i="5"/>
  <c r="I224" i="5" s="1" a="1"/>
  <c r="I224" i="5" s="1"/>
  <c r="G225" i="5"/>
  <c r="G226" i="5"/>
  <c r="G227" i="5"/>
  <c r="G228" i="5"/>
  <c r="I228" i="5" s="1" a="1"/>
  <c r="I228" i="5" s="1"/>
  <c r="G229" i="5"/>
  <c r="I229" i="5" s="1" a="1"/>
  <c r="I229" i="5" s="1"/>
  <c r="G230" i="5"/>
  <c r="I230" i="5" s="1" a="1"/>
  <c r="I230" i="5" s="1"/>
  <c r="G231" i="5"/>
  <c r="I231" i="5" s="1" a="1"/>
  <c r="I231" i="5" s="1"/>
  <c r="G232" i="5"/>
  <c r="I232" i="5" s="1" a="1"/>
  <c r="I232" i="5" s="1"/>
  <c r="G233" i="5"/>
  <c r="I233" i="5" s="1" a="1"/>
  <c r="I233" i="5" s="1"/>
  <c r="G234" i="5"/>
  <c r="I234" i="5" s="1" a="1"/>
  <c r="I234" i="5" s="1"/>
  <c r="G212" i="5"/>
  <c r="I212" i="5" s="1" a="1"/>
  <c r="I212" i="5" s="1"/>
  <c r="G199" i="5"/>
  <c r="I199" i="5" s="1" a="1"/>
  <c r="I199" i="5" s="1"/>
  <c r="G200" i="5"/>
  <c r="I200" i="5" s="1" a="1"/>
  <c r="I200" i="5" s="1"/>
  <c r="G201" i="5"/>
  <c r="G202" i="5"/>
  <c r="G203" i="5"/>
  <c r="G204" i="5"/>
  <c r="I204" i="5" s="1" a="1"/>
  <c r="I204" i="5" s="1"/>
  <c r="G205" i="5"/>
  <c r="I205" i="5" s="1" a="1"/>
  <c r="I205" i="5" s="1"/>
  <c r="G206" i="5"/>
  <c r="I206" i="5" s="1" a="1"/>
  <c r="I206" i="5" s="1"/>
  <c r="G207" i="5"/>
  <c r="I207" i="5" s="1" a="1"/>
  <c r="I207" i="5" s="1"/>
  <c r="G208" i="5"/>
  <c r="I208" i="5" s="1" a="1"/>
  <c r="I208" i="5" s="1"/>
  <c r="G209" i="5"/>
  <c r="I209" i="5" s="1" a="1"/>
  <c r="I209" i="5" s="1"/>
  <c r="G210" i="5"/>
  <c r="I210" i="5" s="1" a="1"/>
  <c r="I210" i="5" s="1"/>
  <c r="G211" i="5"/>
  <c r="I211" i="5" s="1" a="1"/>
  <c r="I211" i="5" s="1"/>
  <c r="G198" i="5"/>
  <c r="I198" i="5" s="1" a="1"/>
  <c r="I198" i="5" s="1"/>
  <c r="G151" i="5"/>
  <c r="I151" i="5" s="1" a="1"/>
  <c r="I151" i="5" s="1"/>
  <c r="G152" i="5"/>
  <c r="I152" i="5" s="1" a="1"/>
  <c r="I152" i="5" s="1"/>
  <c r="G153" i="5"/>
  <c r="I153" i="5" s="1" a="1"/>
  <c r="I153" i="5" s="1"/>
  <c r="G154" i="5"/>
  <c r="I154" i="5" s="1" a="1"/>
  <c r="I154" i="5" s="1"/>
  <c r="G155" i="5"/>
  <c r="I155" i="5" s="1" a="1"/>
  <c r="I155" i="5" s="1"/>
  <c r="G150" i="5"/>
  <c r="I150" i="5" s="1" a="1"/>
  <c r="I150" i="5" s="1"/>
  <c r="G128" i="5"/>
  <c r="I128" i="5" s="1" a="1"/>
  <c r="I128" i="5" s="1"/>
  <c r="G129" i="5"/>
  <c r="G130" i="5"/>
  <c r="G131" i="5"/>
  <c r="G132" i="5"/>
  <c r="I132" i="5" s="1" a="1"/>
  <c r="I132" i="5" s="1"/>
  <c r="G133" i="5"/>
  <c r="I133" i="5" s="1" a="1"/>
  <c r="I133" i="5" s="1"/>
  <c r="G134" i="5"/>
  <c r="I134" i="5" s="1" a="1"/>
  <c r="I134" i="5" s="1"/>
  <c r="G135" i="5"/>
  <c r="I135" i="5" s="1" a="1"/>
  <c r="I135" i="5" s="1"/>
  <c r="G136" i="5"/>
  <c r="I136" i="5" s="1" a="1"/>
  <c r="I136" i="5" s="1"/>
  <c r="G137" i="5"/>
  <c r="I137" i="5" s="1" a="1"/>
  <c r="I137" i="5" s="1"/>
  <c r="G138" i="5"/>
  <c r="I138" i="5" s="1" a="1"/>
  <c r="I138" i="5" s="1"/>
  <c r="G139" i="5"/>
  <c r="I139" i="5" s="1" a="1"/>
  <c r="I139" i="5" s="1"/>
  <c r="G140" i="5"/>
  <c r="I140" i="5" s="1" a="1"/>
  <c r="I140" i="5" s="1"/>
  <c r="G141" i="5"/>
  <c r="G142" i="5"/>
  <c r="G143" i="5"/>
  <c r="G144" i="5"/>
  <c r="I144" i="5" s="1" a="1"/>
  <c r="I144" i="5" s="1"/>
  <c r="G145" i="5"/>
  <c r="I145" i="5" s="1" a="1"/>
  <c r="I145" i="5" s="1"/>
  <c r="G146" i="5"/>
  <c r="I146" i="5" s="1" a="1"/>
  <c r="I146" i="5" s="1"/>
  <c r="G147" i="5"/>
  <c r="I147" i="5" s="1" a="1"/>
  <c r="I147" i="5" s="1"/>
  <c r="G148" i="5"/>
  <c r="I148" i="5" s="1" a="1"/>
  <c r="I148" i="5" s="1"/>
  <c r="G149" i="5"/>
  <c r="I149" i="5" s="1" a="1"/>
  <c r="I149" i="5" s="1"/>
  <c r="G127" i="5"/>
  <c r="I127" i="5" s="1" a="1"/>
  <c r="I127" i="5" s="1"/>
  <c r="G427" i="5"/>
  <c r="G428" i="5"/>
  <c r="G429" i="5"/>
  <c r="G430" i="5"/>
  <c r="G431" i="5"/>
  <c r="G426" i="5"/>
  <c r="G399" i="5"/>
  <c r="G400" i="5"/>
  <c r="G401" i="5"/>
  <c r="G402" i="5"/>
  <c r="G403" i="5"/>
  <c r="G404" i="5"/>
  <c r="G405" i="5"/>
  <c r="G406" i="5"/>
  <c r="G407" i="5"/>
  <c r="G408" i="5"/>
  <c r="G398" i="5"/>
  <c r="G356" i="5"/>
  <c r="G357" i="5"/>
  <c r="G358" i="5"/>
  <c r="G359" i="5"/>
  <c r="G360" i="5"/>
  <c r="G361" i="5"/>
  <c r="G362" i="5"/>
  <c r="G363" i="5"/>
  <c r="G355" i="5"/>
  <c r="G340" i="5"/>
  <c r="G341" i="5"/>
  <c r="G342" i="5"/>
  <c r="G343" i="5"/>
  <c r="G344" i="5"/>
  <c r="G345" i="5"/>
  <c r="G339" i="5"/>
  <c r="G302" i="5"/>
  <c r="G303" i="5"/>
  <c r="G304" i="5"/>
  <c r="G305" i="5"/>
  <c r="G306" i="5"/>
  <c r="G307" i="5"/>
  <c r="G308" i="5"/>
  <c r="G301" i="5"/>
  <c r="G268" i="5"/>
  <c r="G269" i="5"/>
  <c r="G270" i="5"/>
  <c r="G271" i="5"/>
  <c r="G272" i="5"/>
  <c r="G273" i="5"/>
  <c r="G274" i="5"/>
  <c r="G275" i="5"/>
  <c r="G281" i="5"/>
  <c r="G282" i="5"/>
  <c r="G283" i="5"/>
  <c r="G284" i="5"/>
  <c r="G285" i="5"/>
  <c r="G267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44" i="5"/>
  <c r="G194" i="5"/>
  <c r="G195" i="5"/>
  <c r="G196" i="5"/>
  <c r="G197" i="5"/>
  <c r="G193" i="5"/>
  <c r="G187" i="5"/>
  <c r="G186" i="5"/>
  <c r="G174" i="5"/>
  <c r="G175" i="5"/>
  <c r="G176" i="5"/>
  <c r="G173" i="5"/>
  <c r="G157" i="5"/>
  <c r="G158" i="5"/>
  <c r="G159" i="5"/>
  <c r="G156" i="5"/>
  <c r="G125" i="5"/>
  <c r="G126" i="5"/>
  <c r="G124" i="5"/>
  <c r="G115" i="5"/>
  <c r="G116" i="5"/>
  <c r="G117" i="5"/>
  <c r="G118" i="5"/>
  <c r="F125" i="5"/>
  <c r="F126" i="5"/>
  <c r="F115" i="5"/>
  <c r="F116" i="5"/>
  <c r="F117" i="5"/>
  <c r="F118" i="5"/>
  <c r="F95" i="5"/>
  <c r="F96" i="5"/>
  <c r="F97" i="5"/>
  <c r="F98" i="5"/>
  <c r="F99" i="5"/>
  <c r="I99" i="5" s="1" a="1"/>
  <c r="I99" i="5" s="1"/>
  <c r="F100" i="5"/>
  <c r="F101" i="5"/>
  <c r="F102" i="5"/>
  <c r="F103" i="5"/>
  <c r="F104" i="5"/>
  <c r="F105" i="5" s="1"/>
  <c r="F106" i="5" s="1"/>
  <c r="F107" i="5" s="1"/>
  <c r="F108" i="5" s="1"/>
  <c r="F109" i="5" s="1"/>
  <c r="F110" i="5" s="1"/>
  <c r="F111" i="5" s="1"/>
  <c r="F112" i="5" s="1"/>
  <c r="F113" i="5" s="1"/>
  <c r="F124" i="5"/>
  <c r="G114" i="5"/>
  <c r="I114" i="5" s="1" a="1"/>
  <c r="I114" i="5" s="1"/>
  <c r="G92" i="5"/>
  <c r="G93" i="5"/>
  <c r="I93" i="5" s="1" a="1"/>
  <c r="I93" i="5" s="1"/>
  <c r="G94" i="5"/>
  <c r="G95" i="5"/>
  <c r="G96" i="5"/>
  <c r="G97" i="5"/>
  <c r="G98" i="5"/>
  <c r="G99" i="5"/>
  <c r="G100" i="5"/>
  <c r="G101" i="5"/>
  <c r="G102" i="5"/>
  <c r="G103" i="5"/>
  <c r="G104" i="5"/>
  <c r="G91" i="5"/>
  <c r="G70" i="5"/>
  <c r="I70" i="5" s="1" a="1"/>
  <c r="I70" i="5" s="1"/>
  <c r="G71" i="5"/>
  <c r="I71" i="5" s="1" a="1"/>
  <c r="I71" i="5" s="1"/>
  <c r="G72" i="5"/>
  <c r="I72" i="5" s="1" a="1"/>
  <c r="I72" i="5" s="1"/>
  <c r="G73" i="5"/>
  <c r="I73" i="5" s="1" a="1"/>
  <c r="I73" i="5" s="1"/>
  <c r="G74" i="5"/>
  <c r="I74" i="5" s="1" a="1"/>
  <c r="I74" i="5" s="1"/>
  <c r="G75" i="5"/>
  <c r="I75" i="5" s="1" a="1"/>
  <c r="I75" i="5" s="1"/>
  <c r="G76" i="5"/>
  <c r="I76" i="5" s="1" a="1"/>
  <c r="I76" i="5" s="1"/>
  <c r="G77" i="5"/>
  <c r="I77" i="5" s="1" a="1"/>
  <c r="I77" i="5" s="1"/>
  <c r="G78" i="5"/>
  <c r="G79" i="5"/>
  <c r="G80" i="5"/>
  <c r="G81" i="5"/>
  <c r="I81" i="5" s="1" a="1"/>
  <c r="I81" i="5" s="1"/>
  <c r="G82" i="5"/>
  <c r="I82" i="5" s="1" a="1"/>
  <c r="I82" i="5" s="1"/>
  <c r="G83" i="5"/>
  <c r="I83" i="5" s="1" a="1"/>
  <c r="I83" i="5" s="1"/>
  <c r="G84" i="5"/>
  <c r="I84" i="5" s="1" a="1"/>
  <c r="I84" i="5" s="1"/>
  <c r="G85" i="5"/>
  <c r="I85" i="5" s="1" a="1"/>
  <c r="I85" i="5" s="1"/>
  <c r="G86" i="5"/>
  <c r="I86" i="5" s="1" a="1"/>
  <c r="I86" i="5" s="1"/>
  <c r="G87" i="5"/>
  <c r="I87" i="5" s="1" a="1"/>
  <c r="I87" i="5" s="1"/>
  <c r="G88" i="5"/>
  <c r="I88" i="5" s="1" a="1"/>
  <c r="I88" i="5" s="1"/>
  <c r="G89" i="5"/>
  <c r="I89" i="5" s="1" a="1"/>
  <c r="I89" i="5" s="1"/>
  <c r="G90" i="5"/>
  <c r="G69" i="5"/>
  <c r="I69" i="5" s="1" a="1"/>
  <c r="I69" i="5" s="1"/>
  <c r="G49" i="5"/>
  <c r="I49" i="5" s="1" a="1"/>
  <c r="I49" i="5" s="1"/>
  <c r="G50" i="5"/>
  <c r="G51" i="5"/>
  <c r="G52" i="5"/>
  <c r="G53" i="5"/>
  <c r="I53" i="5" s="1" a="1"/>
  <c r="I53" i="5" s="1"/>
  <c r="G54" i="5"/>
  <c r="I54" i="5" s="1" a="1"/>
  <c r="I54" i="5" s="1"/>
  <c r="G55" i="5"/>
  <c r="I55" i="5" s="1" a="1"/>
  <c r="I55" i="5" s="1"/>
  <c r="G56" i="5"/>
  <c r="I56" i="5" s="1" a="1"/>
  <c r="I56" i="5" s="1"/>
  <c r="G57" i="5"/>
  <c r="I57" i="5" s="1" a="1"/>
  <c r="I57" i="5" s="1"/>
  <c r="G58" i="5"/>
  <c r="I58" i="5" s="1" a="1"/>
  <c r="I58" i="5" s="1"/>
  <c r="G59" i="5"/>
  <c r="I59" i="5" s="1" a="1"/>
  <c r="I59" i="5" s="1"/>
  <c r="G60" i="5"/>
  <c r="I60" i="5" s="1" a="1"/>
  <c r="I60" i="5" s="1"/>
  <c r="G61" i="5"/>
  <c r="I61" i="5" s="1" a="1"/>
  <c r="I61" i="5" s="1"/>
  <c r="G62" i="5"/>
  <c r="G63" i="5"/>
  <c r="G64" i="5"/>
  <c r="G65" i="5"/>
  <c r="I65" i="5" s="1" a="1"/>
  <c r="I65" i="5" s="1"/>
  <c r="G66" i="5"/>
  <c r="I66" i="5" s="1" a="1"/>
  <c r="I66" i="5" s="1"/>
  <c r="G67" i="5"/>
  <c r="I67" i="5" s="1" a="1"/>
  <c r="I67" i="5" s="1"/>
  <c r="G68" i="5"/>
  <c r="I68" i="5" s="1" a="1"/>
  <c r="I68" i="5" s="1"/>
  <c r="G48" i="5"/>
  <c r="I48" i="5" s="1" a="1"/>
  <c r="I48" i="5" s="1"/>
  <c r="G26" i="5"/>
  <c r="G27" i="5"/>
  <c r="G28" i="5"/>
  <c r="G29" i="5"/>
  <c r="I29" i="5" s="1" a="1"/>
  <c r="I29" i="5" s="1"/>
  <c r="G30" i="5"/>
  <c r="I30" i="5" s="1" a="1"/>
  <c r="I30" i="5" s="1"/>
  <c r="G31" i="5"/>
  <c r="I31" i="5" s="1" a="1"/>
  <c r="I31" i="5" s="1"/>
  <c r="G32" i="5"/>
  <c r="I32" i="5" s="1" a="1"/>
  <c r="I32" i="5" s="1"/>
  <c r="G33" i="5"/>
  <c r="I33" i="5" s="1" a="1"/>
  <c r="I33" i="5" s="1"/>
  <c r="G34" i="5"/>
  <c r="I34" i="5" s="1" a="1"/>
  <c r="I34" i="5" s="1"/>
  <c r="G35" i="5"/>
  <c r="I35" i="5" s="1" a="1"/>
  <c r="I35" i="5" s="1"/>
  <c r="G36" i="5"/>
  <c r="I36" i="5" s="1" a="1"/>
  <c r="I36" i="5" s="1"/>
  <c r="G37" i="5"/>
  <c r="I37" i="5" s="1" a="1"/>
  <c r="I37" i="5" s="1"/>
  <c r="G38" i="5"/>
  <c r="G39" i="5"/>
  <c r="G40" i="5"/>
  <c r="G41" i="5"/>
  <c r="I41" i="5" s="1" a="1"/>
  <c r="I41" i="5" s="1"/>
  <c r="G42" i="5"/>
  <c r="I42" i="5" s="1" a="1"/>
  <c r="I42" i="5" s="1"/>
  <c r="G43" i="5"/>
  <c r="I43" i="5" s="1" a="1"/>
  <c r="I43" i="5" s="1"/>
  <c r="G44" i="5"/>
  <c r="I44" i="5" s="1" a="1"/>
  <c r="I44" i="5" s="1"/>
  <c r="G45" i="5"/>
  <c r="I45" i="5" s="1" a="1"/>
  <c r="I45" i="5" s="1"/>
  <c r="G46" i="5"/>
  <c r="I46" i="5" s="1" a="1"/>
  <c r="I46" i="5" s="1"/>
  <c r="G47" i="5"/>
  <c r="I47" i="5" s="1" a="1"/>
  <c r="I47" i="5" s="1"/>
  <c r="G25" i="5"/>
  <c r="I25" i="5" s="1" a="1"/>
  <c r="I25" i="5" s="1"/>
  <c r="G3" i="5"/>
  <c r="G4" i="5"/>
  <c r="G5" i="5"/>
  <c r="I5" i="5" s="1" a="1"/>
  <c r="I5" i="5" s="1"/>
  <c r="G6" i="5"/>
  <c r="I6" i="5" s="1" a="1"/>
  <c r="I6" i="5" s="1"/>
  <c r="G7" i="5"/>
  <c r="I7" i="5" s="1" a="1"/>
  <c r="I7" i="5" s="1"/>
  <c r="G8" i="5"/>
  <c r="I8" i="5" s="1" a="1"/>
  <c r="I8" i="5" s="1"/>
  <c r="G9" i="5"/>
  <c r="I9" i="5" s="1" a="1"/>
  <c r="I9" i="5" s="1"/>
  <c r="G10" i="5"/>
  <c r="I10" i="5" s="1" a="1"/>
  <c r="I10" i="5" s="1"/>
  <c r="G11" i="5"/>
  <c r="I11" i="5" s="1" a="1"/>
  <c r="I11" i="5" s="1"/>
  <c r="G12" i="5"/>
  <c r="I12" i="5" s="1" a="1"/>
  <c r="I12" i="5" s="1"/>
  <c r="G13" i="5"/>
  <c r="I13" i="5" s="1" a="1"/>
  <c r="I13" i="5" s="1"/>
  <c r="G14" i="5"/>
  <c r="G15" i="5"/>
  <c r="G16" i="5"/>
  <c r="G17" i="5"/>
  <c r="I17" i="5" s="1" a="1"/>
  <c r="I17" i="5" s="1"/>
  <c r="G18" i="5"/>
  <c r="I18" i="5" s="1" a="1"/>
  <c r="I18" i="5" s="1"/>
  <c r="G19" i="5"/>
  <c r="I19" i="5" s="1" a="1"/>
  <c r="I19" i="5" s="1"/>
  <c r="G20" i="5"/>
  <c r="I20" i="5" s="1" a="1"/>
  <c r="I20" i="5" s="1"/>
  <c r="G21" i="5"/>
  <c r="I21" i="5" s="1" a="1"/>
  <c r="I21" i="5" s="1"/>
  <c r="G22" i="5"/>
  <c r="I22" i="5" s="1" a="1"/>
  <c r="I22" i="5" s="1"/>
  <c r="G23" i="5"/>
  <c r="I23" i="5" s="1" a="1"/>
  <c r="I23" i="5" s="1"/>
  <c r="G24" i="5"/>
  <c r="I24" i="5" s="1" a="1"/>
  <c r="I24" i="5" s="1"/>
  <c r="G2" i="5"/>
  <c r="I2" i="5" s="1" a="1"/>
  <c r="I2" i="5" s="1"/>
  <c r="F427" i="5"/>
  <c r="I427" i="5" s="1" a="1"/>
  <c r="I427" i="5" s="1"/>
  <c r="F428" i="5"/>
  <c r="I428" i="5" s="1" a="1"/>
  <c r="I428" i="5" s="1"/>
  <c r="F429" i="5"/>
  <c r="I429" i="5" s="1" a="1"/>
  <c r="I429" i="5" s="1"/>
  <c r="F430" i="5"/>
  <c r="I430" i="5" s="1" a="1"/>
  <c r="I430" i="5" s="1"/>
  <c r="F431" i="5"/>
  <c r="I431" i="5" s="1" a="1"/>
  <c r="I431" i="5" s="1"/>
  <c r="F426" i="5"/>
  <c r="I426" i="5" s="1" a="1"/>
  <c r="I426" i="5" s="1"/>
  <c r="F399" i="5"/>
  <c r="F400" i="5"/>
  <c r="I400" i="5" s="1" a="1"/>
  <c r="I400" i="5" s="1"/>
  <c r="F401" i="5"/>
  <c r="I401" i="5" s="1" a="1"/>
  <c r="I401" i="5" s="1"/>
  <c r="F402" i="5"/>
  <c r="I402" i="5" s="1" a="1"/>
  <c r="I402" i="5" s="1"/>
  <c r="F403" i="5"/>
  <c r="I403" i="5" s="1" a="1"/>
  <c r="I403" i="5" s="1"/>
  <c r="F404" i="5"/>
  <c r="I404" i="5" s="1" a="1"/>
  <c r="I404" i="5" s="1"/>
  <c r="F405" i="5"/>
  <c r="I405" i="5" s="1" a="1"/>
  <c r="I405" i="5" s="1"/>
  <c r="F406" i="5"/>
  <c r="I406" i="5" s="1" a="1"/>
  <c r="I406" i="5" s="1"/>
  <c r="F407" i="5"/>
  <c r="I407" i="5" s="1" a="1"/>
  <c r="I407" i="5" s="1"/>
  <c r="F408" i="5"/>
  <c r="I408" i="5" s="1" a="1"/>
  <c r="I408" i="5" s="1"/>
  <c r="B5" i="6" s="1"/>
  <c r="F398" i="5"/>
  <c r="F355" i="5"/>
  <c r="I355" i="5" s="1" a="1"/>
  <c r="I355" i="5" s="1"/>
  <c r="F356" i="5"/>
  <c r="I356" i="5" s="1" a="1"/>
  <c r="I356" i="5" s="1"/>
  <c r="F357" i="5"/>
  <c r="F358" i="5"/>
  <c r="I358" i="5" s="1" a="1"/>
  <c r="I358" i="5" s="1"/>
  <c r="F359" i="5"/>
  <c r="I359" i="5" s="1" a="1"/>
  <c r="I359" i="5" s="1"/>
  <c r="F360" i="5"/>
  <c r="F361" i="5"/>
  <c r="F362" i="5"/>
  <c r="F363" i="5"/>
  <c r="F340" i="5"/>
  <c r="I340" i="5" s="1" a="1"/>
  <c r="I340" i="5" s="1"/>
  <c r="F341" i="5"/>
  <c r="I341" i="5" s="1" a="1"/>
  <c r="I341" i="5" s="1"/>
  <c r="F342" i="5"/>
  <c r="I342" i="5" s="1" a="1"/>
  <c r="I342" i="5" s="1"/>
  <c r="F343" i="5"/>
  <c r="I343" i="5" s="1" a="1"/>
  <c r="I343" i="5" s="1"/>
  <c r="F344" i="5"/>
  <c r="I344" i="5" s="1" a="1"/>
  <c r="I344" i="5" s="1"/>
  <c r="F345" i="5"/>
  <c r="I345" i="5" s="1" a="1"/>
  <c r="I345" i="5" s="1"/>
  <c r="F339" i="5"/>
  <c r="I339" i="5" s="1" a="1"/>
  <c r="I339" i="5" s="1"/>
  <c r="F302" i="5"/>
  <c r="I302" i="5" s="1" a="1"/>
  <c r="I302" i="5" s="1"/>
  <c r="F303" i="5"/>
  <c r="I303" i="5" s="1" a="1"/>
  <c r="I303" i="5" s="1"/>
  <c r="F304" i="5"/>
  <c r="I304" i="5" s="1" a="1"/>
  <c r="I304" i="5" s="1"/>
  <c r="F305" i="5"/>
  <c r="I305" i="5" s="1" a="1"/>
  <c r="I305" i="5" s="1"/>
  <c r="F306" i="5"/>
  <c r="I306" i="5" s="1" a="1"/>
  <c r="I306" i="5" s="1"/>
  <c r="F307" i="5"/>
  <c r="I307" i="5" s="1" a="1"/>
  <c r="I307" i="5" s="1"/>
  <c r="F308" i="5"/>
  <c r="I308" i="5" s="1" a="1"/>
  <c r="I308" i="5" s="1"/>
  <c r="B10" i="6" s="1"/>
  <c r="F301" i="5"/>
  <c r="F282" i="5"/>
  <c r="I282" i="5" s="1" a="1"/>
  <c r="I282" i="5" s="1"/>
  <c r="F283" i="5"/>
  <c r="I283" i="5" s="1" a="1"/>
  <c r="I283" i="5" s="1"/>
  <c r="F284" i="5"/>
  <c r="F285" i="5"/>
  <c r="I285" i="5" s="1" a="1"/>
  <c r="I285" i="5" s="1"/>
  <c r="F281" i="5"/>
  <c r="I281" i="5" s="1" a="1"/>
  <c r="I281" i="5" s="1"/>
  <c r="F268" i="5"/>
  <c r="I268" i="5" s="1" a="1"/>
  <c r="I268" i="5" s="1"/>
  <c r="F269" i="5"/>
  <c r="F270" i="5"/>
  <c r="F271" i="5"/>
  <c r="I271" i="5" s="1" a="1"/>
  <c r="I271" i="5" s="1"/>
  <c r="F272" i="5"/>
  <c r="F273" i="5"/>
  <c r="F274" i="5"/>
  <c r="F275" i="5"/>
  <c r="F276" i="5"/>
  <c r="F277" i="5" s="1"/>
  <c r="F278" i="5" s="1"/>
  <c r="F279" i="5" s="1"/>
  <c r="F280" i="5" s="1"/>
  <c r="F267" i="5"/>
  <c r="F245" i="5"/>
  <c r="I245" i="5" s="1" a="1"/>
  <c r="I245" i="5" s="1"/>
  <c r="F246" i="5"/>
  <c r="I246" i="5" s="1" a="1"/>
  <c r="I246" i="5" s="1"/>
  <c r="F247" i="5"/>
  <c r="F248" i="5"/>
  <c r="I248" i="5" s="1" a="1"/>
  <c r="I248" i="5" s="1"/>
  <c r="F249" i="5"/>
  <c r="F250" i="5"/>
  <c r="F251" i="5"/>
  <c r="I251" i="5" s="1" a="1"/>
  <c r="I251" i="5" s="1"/>
  <c r="F252" i="5"/>
  <c r="I252" i="5" s="1" a="1"/>
  <c r="I252" i="5" s="1"/>
  <c r="F253" i="5"/>
  <c r="F254" i="5"/>
  <c r="I254" i="5" s="1" a="1"/>
  <c r="I254" i="5" s="1"/>
  <c r="F255" i="5"/>
  <c r="F256" i="5"/>
  <c r="F257" i="5"/>
  <c r="I257" i="5" s="1" a="1"/>
  <c r="I257" i="5" s="1"/>
  <c r="B7" i="6" s="1"/>
  <c r="F244" i="5"/>
  <c r="I244" i="5" s="1" a="1"/>
  <c r="I244" i="5" s="1"/>
  <c r="F194" i="5"/>
  <c r="F195" i="5"/>
  <c r="I195" i="5" s="1" a="1"/>
  <c r="I195" i="5" s="1"/>
  <c r="F196" i="5"/>
  <c r="F197" i="5"/>
  <c r="F193" i="5"/>
  <c r="I193" i="5" s="1" a="1"/>
  <c r="I193" i="5" s="1"/>
  <c r="F187" i="5"/>
  <c r="I187" i="5" s="1" a="1"/>
  <c r="I187" i="5" s="1"/>
  <c r="I188" i="5" s="1"/>
  <c r="I189" i="5" s="1"/>
  <c r="I190" i="5" s="1"/>
  <c r="I191" i="5" s="1"/>
  <c r="I192" i="5" s="1"/>
  <c r="F157" i="5"/>
  <c r="F158" i="5"/>
  <c r="F159" i="5"/>
  <c r="I159" i="5" s="1" a="1"/>
  <c r="I159" i="5" s="1"/>
  <c r="I173" i="5" s="1" a="1"/>
  <c r="I173" i="5" s="1"/>
  <c r="F173" i="5"/>
  <c r="F174" i="5"/>
  <c r="F175" i="5"/>
  <c r="F176" i="5"/>
  <c r="F177" i="5"/>
  <c r="F180" i="5"/>
  <c r="F181" i="5" s="1"/>
  <c r="F156" i="5"/>
  <c r="I156" i="5" s="1" a="1"/>
  <c r="I156" i="5" s="1"/>
  <c r="F94" i="5"/>
  <c r="I94" i="5" s="1" a="1"/>
  <c r="I94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20" i="5" a="1"/>
  <c r="E120" i="5" s="1"/>
  <c r="E121" i="5" a="1"/>
  <c r="E121" i="5" s="1"/>
  <c r="E122" i="5" a="1"/>
  <c r="E122" i="5" s="1"/>
  <c r="E119" i="5" a="1"/>
  <c r="E119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 s="1"/>
  <c r="E495" i="5" a="1"/>
  <c r="E495" i="5" s="1"/>
  <c r="E496" i="5" a="1"/>
  <c r="E496" i="5" s="1"/>
  <c r="E497" i="5" a="1"/>
  <c r="E497" i="5" s="1"/>
  <c r="E498" i="5" a="1"/>
  <c r="E498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2" i="5" a="1"/>
  <c r="E2" i="5" s="1"/>
  <c r="E3" i="5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G2" i="3"/>
  <c r="F182" i="5" l="1"/>
  <c r="F183" i="5" s="1"/>
  <c r="F184" i="5" s="1"/>
  <c r="F185" i="5" s="1"/>
  <c r="I202" i="5" a="1"/>
  <c r="I202" i="5" s="1"/>
  <c r="I284" i="5" a="1"/>
  <c r="I284" i="5" s="1"/>
  <c r="I226" i="5" a="1"/>
  <c r="I226" i="5" s="1"/>
  <c r="I214" i="5" a="1"/>
  <c r="I214" i="5" s="1"/>
  <c r="I91" i="5" a="1"/>
  <c r="I91" i="5" s="1"/>
  <c r="I157" i="5" a="1"/>
  <c r="I157" i="5" s="1"/>
  <c r="I79" i="5" a="1"/>
  <c r="I79" i="5" s="1"/>
  <c r="I273" i="5" a="1"/>
  <c r="I273" i="5" s="1"/>
  <c r="I142" i="5" a="1"/>
  <c r="I142" i="5" s="1"/>
  <c r="I130" i="5" a="1"/>
  <c r="I130" i="5" s="1"/>
  <c r="K141" i="5" a="1"/>
  <c r="K141" i="5" s="1"/>
  <c r="J355" i="5" a="1"/>
  <c r="J355" i="5" s="1"/>
  <c r="I258" i="5" a="1"/>
  <c r="I258" i="5" s="1"/>
  <c r="J456" i="5" a="1"/>
  <c r="J456" i="5" s="1"/>
  <c r="I256" i="5" a="1"/>
  <c r="I256" i="5" s="1"/>
  <c r="I267" i="5" a="1"/>
  <c r="I267" i="5" s="1"/>
  <c r="I357" i="5" a="1"/>
  <c r="I357" i="5" s="1"/>
  <c r="I201" i="5" a="1"/>
  <c r="I201" i="5" s="1"/>
  <c r="J99" i="5" a="1"/>
  <c r="J99" i="5" s="1"/>
  <c r="I62" i="5" a="1"/>
  <c r="I62" i="5" s="1"/>
  <c r="I50" i="5" a="1"/>
  <c r="I50" i="5" s="1"/>
  <c r="I225" i="5" a="1"/>
  <c r="I225" i="5" s="1"/>
  <c r="I213" i="5" a="1"/>
  <c r="I213" i="5" s="1"/>
  <c r="K430" i="5" a="1"/>
  <c r="K430" i="5" s="1"/>
  <c r="I275" i="5" a="1"/>
  <c r="I275" i="5" s="1"/>
  <c r="J281" i="5" s="1" a="1"/>
  <c r="J281" i="5" s="1"/>
  <c r="I335" i="5" a="1"/>
  <c r="I335" i="5" s="1"/>
  <c r="I469" i="5" a="1"/>
  <c r="I469" i="5" s="1"/>
  <c r="I457" i="5" a="1"/>
  <c r="I457" i="5" s="1"/>
  <c r="I253" i="5" a="1"/>
  <c r="I253" i="5" s="1"/>
  <c r="I409" i="5" a="1"/>
  <c r="I409" i="5" s="1"/>
  <c r="I90" i="5" a="1"/>
  <c r="I90" i="5" s="1"/>
  <c r="I78" i="5" a="1"/>
  <c r="I78" i="5" s="1"/>
  <c r="I186" i="5" a="1"/>
  <c r="I186" i="5" s="1"/>
  <c r="I397" i="5" a="1"/>
  <c r="I397" i="5" s="1"/>
  <c r="I38" i="5" a="1"/>
  <c r="I38" i="5" s="1"/>
  <c r="I26" i="5" a="1"/>
  <c r="I26" i="5" s="1"/>
  <c r="I117" i="5" a="1"/>
  <c r="I117" i="5" s="1"/>
  <c r="I141" i="5" a="1"/>
  <c r="I141" i="5" s="1"/>
  <c r="I129" i="5" a="1"/>
  <c r="I129" i="5" s="1"/>
  <c r="I241" i="5" a="1"/>
  <c r="I241" i="5" s="1"/>
  <c r="I197" i="5" a="1"/>
  <c r="I197" i="5" s="1"/>
  <c r="B8" i="6" s="1"/>
  <c r="I250" i="5" a="1"/>
  <c r="I250" i="5" s="1"/>
  <c r="I116" i="5" a="1"/>
  <c r="I116" i="5" s="1"/>
  <c r="I385" i="5" a="1"/>
  <c r="I385" i="5" s="1"/>
  <c r="I373" i="5" a="1"/>
  <c r="I373" i="5" s="1"/>
  <c r="I445" i="5" a="1"/>
  <c r="I445" i="5" s="1"/>
  <c r="I433" i="5" a="1"/>
  <c r="I433" i="5" s="1"/>
  <c r="I270" i="5" a="1"/>
  <c r="I270" i="5" s="1"/>
  <c r="I14" i="5" a="1"/>
  <c r="I14" i="5" s="1"/>
  <c r="J69" i="5" a="1"/>
  <c r="J69" i="5" s="1"/>
  <c r="J228" i="5" a="1"/>
  <c r="J228" i="5" s="1"/>
  <c r="I269" i="5" a="1"/>
  <c r="I269" i="5" s="1"/>
  <c r="I101" i="5" a="1"/>
  <c r="I101" i="5" s="1"/>
  <c r="I323" i="5" a="1"/>
  <c r="I323" i="5" s="1"/>
  <c r="I311" i="5" a="1"/>
  <c r="I311" i="5" s="1"/>
  <c r="I421" i="5" a="1"/>
  <c r="I421" i="5" s="1"/>
  <c r="J92" i="5" a="1"/>
  <c r="J92" i="5" s="1"/>
  <c r="K103" i="5" a="1"/>
  <c r="K103" i="5" s="1"/>
  <c r="J227" i="5" a="1"/>
  <c r="J227" i="5" s="1"/>
  <c r="J215" i="5" a="1"/>
  <c r="J215" i="5" s="1"/>
  <c r="J203" i="5" a="1"/>
  <c r="J203" i="5" s="1"/>
  <c r="I194" i="5" a="1"/>
  <c r="I194" i="5" s="1"/>
  <c r="I247" i="5" a="1"/>
  <c r="I247" i="5" s="1"/>
  <c r="I360" i="5" a="1"/>
  <c r="I360" i="5" s="1"/>
  <c r="I100" i="5" a="1"/>
  <c r="I100" i="5" s="1"/>
  <c r="I63" i="5" a="1"/>
  <c r="I63" i="5" s="1"/>
  <c r="I51" i="5" a="1"/>
  <c r="I51" i="5" s="1"/>
  <c r="I39" i="5" a="1"/>
  <c r="I39" i="5" s="1"/>
  <c r="J79" i="5" a="1"/>
  <c r="J79" i="5" s="1"/>
  <c r="J91" i="5" a="1"/>
  <c r="J91" i="5" s="1"/>
  <c r="J226" i="5" a="1"/>
  <c r="J226" i="5" s="1"/>
  <c r="J214" i="5" a="1"/>
  <c r="J214" i="5" s="1"/>
  <c r="J202" i="5" a="1"/>
  <c r="J202" i="5" s="1"/>
  <c r="K362" i="5" a="1"/>
  <c r="K362" i="5" s="1"/>
  <c r="I203" i="5" a="1"/>
  <c r="I203" i="5" s="1"/>
  <c r="F346" i="5"/>
  <c r="F347" i="5" s="1"/>
  <c r="F348" i="5" s="1"/>
  <c r="F349" i="5" s="1"/>
  <c r="F350" i="5" s="1"/>
  <c r="F351" i="5" s="1"/>
  <c r="F352" i="5" s="1"/>
  <c r="F353" i="5" s="1"/>
  <c r="F354" i="5" s="1"/>
  <c r="I64" i="5" a="1"/>
  <c r="I64" i="5" s="1"/>
  <c r="I52" i="5" a="1"/>
  <c r="I52" i="5" s="1"/>
  <c r="I98" i="5" a="1"/>
  <c r="I98" i="5" s="1"/>
  <c r="I227" i="5" a="1"/>
  <c r="I227" i="5" s="1"/>
  <c r="I215" i="5" a="1"/>
  <c r="I215" i="5" s="1"/>
  <c r="J334" i="5" a="1"/>
  <c r="J334" i="5" s="1"/>
  <c r="K322" i="5" a="1"/>
  <c r="K322" i="5" s="1"/>
  <c r="K310" i="5" a="1"/>
  <c r="K310" i="5" s="1"/>
  <c r="K298" i="5" a="1"/>
  <c r="K298" i="5" s="1"/>
  <c r="K286" i="5" a="1"/>
  <c r="K286" i="5" s="1"/>
  <c r="J444" i="5" a="1"/>
  <c r="J444" i="5" s="1"/>
  <c r="I97" i="5" a="1"/>
  <c r="I97" i="5" s="1"/>
  <c r="I337" i="5" a="1"/>
  <c r="I337" i="5" s="1"/>
  <c r="I471" i="5" a="1"/>
  <c r="I471" i="5" s="1"/>
  <c r="I459" i="5" a="1"/>
  <c r="I459" i="5" s="1"/>
  <c r="J151" i="5" a="1"/>
  <c r="J151" i="5" s="1"/>
  <c r="J321" i="5" a="1"/>
  <c r="J321" i="5" s="1"/>
  <c r="I255" i="5" a="1"/>
  <c r="I255" i="5" s="1"/>
  <c r="I399" i="5" a="1"/>
  <c r="I399" i="5" s="1"/>
  <c r="I96" i="5" a="1"/>
  <c r="I96" i="5" s="1"/>
  <c r="J98" i="5" a="1"/>
  <c r="J98" i="5" s="1"/>
  <c r="J150" i="5" a="1"/>
  <c r="J150" i="5" s="1"/>
  <c r="K418" i="5" a="1"/>
  <c r="K418" i="5" s="1"/>
  <c r="K406" i="5" a="1"/>
  <c r="K406" i="5" s="1"/>
  <c r="K394" i="5" a="1"/>
  <c r="K394" i="5" s="1"/>
  <c r="K358" i="5" a="1"/>
  <c r="K358" i="5" s="1"/>
  <c r="I158" i="5" a="1"/>
  <c r="I158" i="5" s="1"/>
  <c r="I80" i="5" a="1"/>
  <c r="I80" i="5" s="1"/>
  <c r="I92" i="5" a="1"/>
  <c r="I92" i="5" s="1"/>
  <c r="I95" i="5" a="1"/>
  <c r="I95" i="5" s="1"/>
  <c r="I387" i="5" a="1"/>
  <c r="I387" i="5" s="1"/>
  <c r="I274" i="5" a="1"/>
  <c r="I274" i="5" s="1"/>
  <c r="I301" i="5" a="1"/>
  <c r="I301" i="5" s="1"/>
  <c r="I40" i="5" a="1"/>
  <c r="I40" i="5" s="1"/>
  <c r="I28" i="5" a="1"/>
  <c r="I28" i="5" s="1"/>
  <c r="I143" i="5" a="1"/>
  <c r="I143" i="5" s="1"/>
  <c r="I131" i="5" a="1"/>
  <c r="I131" i="5" s="1"/>
  <c r="I243" i="5" a="1"/>
  <c r="I243" i="5" s="1"/>
  <c r="J57" i="5" a="1"/>
  <c r="J57" i="5" s="1"/>
  <c r="J45" i="5" a="1"/>
  <c r="J45" i="5" s="1"/>
  <c r="I118" i="5" a="1"/>
  <c r="I118" i="5" s="1"/>
  <c r="I375" i="5" a="1"/>
  <c r="I375" i="5" s="1"/>
  <c r="I447" i="5" a="1"/>
  <c r="I447" i="5" s="1"/>
  <c r="I435" i="5" a="1"/>
  <c r="I435" i="5" s="1"/>
  <c r="J68" i="5" a="1"/>
  <c r="J68" i="5" s="1"/>
  <c r="J56" i="5" a="1"/>
  <c r="J56" i="5" s="1"/>
  <c r="J44" i="5" a="1"/>
  <c r="J44" i="5" s="1"/>
  <c r="I272" i="5" a="1"/>
  <c r="I272" i="5" s="1"/>
  <c r="I16" i="5" a="1"/>
  <c r="I16" i="5" s="1"/>
  <c r="I4" i="5" a="1"/>
  <c r="I4" i="5" s="1"/>
  <c r="K67" i="5" a="1"/>
  <c r="K67" i="5" s="1"/>
  <c r="K55" i="5" a="1"/>
  <c r="K55" i="5" s="1"/>
  <c r="K115" i="5" a="1"/>
  <c r="K115" i="5" s="1"/>
  <c r="I363" i="5" a="1"/>
  <c r="I363" i="5" s="1"/>
  <c r="B6" i="6" s="1"/>
  <c r="B20" i="6" s="1"/>
  <c r="I103" i="5" a="1"/>
  <c r="I103" i="5" s="1"/>
  <c r="I260" i="5" a="1"/>
  <c r="I260" i="5" s="1"/>
  <c r="I325" i="5" a="1"/>
  <c r="I325" i="5" s="1"/>
  <c r="I313" i="5" a="1"/>
  <c r="I313" i="5" s="1"/>
  <c r="I423" i="5" a="1"/>
  <c r="I423" i="5" s="1"/>
  <c r="I411" i="5" a="1"/>
  <c r="I411" i="5" s="1"/>
  <c r="J93" i="5" a="1"/>
  <c r="J93" i="5" s="1"/>
  <c r="J274" i="5" a="1"/>
  <c r="J274" i="5" s="1"/>
  <c r="K262" i="5" a="1"/>
  <c r="K262" i="5" s="1"/>
  <c r="I196" i="5" a="1"/>
  <c r="I196" i="5" s="1"/>
  <c r="I249" i="5" a="1"/>
  <c r="I249" i="5" s="1"/>
  <c r="I102" i="5" a="1"/>
  <c r="I102" i="5" s="1"/>
  <c r="I115" i="5" a="1"/>
  <c r="I115" i="5" s="1"/>
  <c r="J216" i="5" a="1"/>
  <c r="J216" i="5" s="1"/>
  <c r="J204" i="5" a="1"/>
  <c r="J204" i="5" s="1"/>
  <c r="J273" i="5" a="1"/>
  <c r="J273" i="5" s="1"/>
  <c r="J364" i="5" a="1"/>
  <c r="J364" i="5" s="1"/>
  <c r="J15" i="5" a="1"/>
  <c r="J15" i="5" s="1"/>
  <c r="K15" i="5" a="1"/>
  <c r="K15" i="5" s="1"/>
  <c r="K271" i="5" a="1"/>
  <c r="K271" i="5" s="1"/>
  <c r="J271" i="5" a="1"/>
  <c r="J271" i="5" s="1"/>
  <c r="K324" i="5" a="1"/>
  <c r="K324" i="5" s="1"/>
  <c r="J324" i="5" a="1"/>
  <c r="J324" i="5" s="1"/>
  <c r="K288" i="5" a="1"/>
  <c r="K288" i="5" s="1"/>
  <c r="J288" i="5" a="1"/>
  <c r="J288" i="5" s="1"/>
  <c r="J470" i="5" a="1"/>
  <c r="J470" i="5" s="1"/>
  <c r="K470" i="5" a="1"/>
  <c r="K470" i="5" s="1"/>
  <c r="J422" i="5" a="1"/>
  <c r="J422" i="5" s="1"/>
  <c r="K422" i="5" a="1"/>
  <c r="K422" i="5" s="1"/>
  <c r="J374" i="5" a="1"/>
  <c r="J374" i="5" s="1"/>
  <c r="K374" i="5" a="1"/>
  <c r="K374" i="5" s="1"/>
  <c r="J322" i="5" a="1"/>
  <c r="J322" i="5" s="1"/>
  <c r="J62" i="5" a="1"/>
  <c r="J62" i="5" s="1"/>
  <c r="K62" i="5" a="1"/>
  <c r="K62" i="5" s="1"/>
  <c r="J50" i="5" a="1"/>
  <c r="J50" i="5" s="1"/>
  <c r="K50" i="5" a="1"/>
  <c r="K50" i="5" s="1"/>
  <c r="J38" i="5" a="1"/>
  <c r="J38" i="5" s="1"/>
  <c r="K38" i="5" a="1"/>
  <c r="K38" i="5" s="1"/>
  <c r="J26" i="5" a="1"/>
  <c r="J26" i="5" s="1"/>
  <c r="K26" i="5" a="1"/>
  <c r="K26" i="5" s="1"/>
  <c r="J14" i="5" a="1"/>
  <c r="J14" i="5" s="1"/>
  <c r="K14" i="5" a="1"/>
  <c r="K14" i="5" s="1"/>
  <c r="J90" i="5" a="1"/>
  <c r="J90" i="5" s="1"/>
  <c r="K90" i="5" a="1"/>
  <c r="K90" i="5" s="1"/>
  <c r="J78" i="5" a="1"/>
  <c r="J78" i="5" s="1"/>
  <c r="K78" i="5" a="1"/>
  <c r="K78" i="5" s="1"/>
  <c r="K126" i="5" a="1"/>
  <c r="K126" i="5" s="1"/>
  <c r="J101" i="5" a="1"/>
  <c r="J101" i="5" s="1"/>
  <c r="K101" i="5" a="1"/>
  <c r="K101" i="5" s="1"/>
  <c r="J153" i="5" a="1"/>
  <c r="J153" i="5" s="1"/>
  <c r="J141" i="5" a="1"/>
  <c r="J141" i="5" s="1"/>
  <c r="J129" i="5" a="1"/>
  <c r="J129" i="5" s="1"/>
  <c r="K186" i="5" a="1"/>
  <c r="K186" i="5" s="1"/>
  <c r="J225" i="5" a="1"/>
  <c r="J225" i="5" s="1"/>
  <c r="K225" i="5" a="1"/>
  <c r="K225" i="5" s="1"/>
  <c r="J213" i="5" a="1"/>
  <c r="J213" i="5" s="1"/>
  <c r="K213" i="5" a="1"/>
  <c r="K213" i="5" s="1"/>
  <c r="J201" i="5" a="1"/>
  <c r="J201" i="5" s="1"/>
  <c r="K201" i="5" a="1"/>
  <c r="K201" i="5" s="1"/>
  <c r="J253" i="5" a="1"/>
  <c r="J253" i="5" s="1"/>
  <c r="K253" i="5" a="1"/>
  <c r="K253" i="5" s="1"/>
  <c r="J241" i="5" a="1"/>
  <c r="J241" i="5" s="1"/>
  <c r="K241" i="5" a="1"/>
  <c r="K241" i="5" s="1"/>
  <c r="K270" i="5" a="1"/>
  <c r="K270" i="5" s="1"/>
  <c r="J270" i="5" a="1"/>
  <c r="J270" i="5" s="1"/>
  <c r="J258" i="5" a="1"/>
  <c r="J258" i="5" s="1"/>
  <c r="K258" i="5" a="1"/>
  <c r="K258" i="5" s="1"/>
  <c r="K335" i="5" a="1"/>
  <c r="K335" i="5" s="1"/>
  <c r="J335" i="5" a="1"/>
  <c r="J335" i="5" s="1"/>
  <c r="K323" i="5" a="1"/>
  <c r="K323" i="5" s="1"/>
  <c r="J323" i="5" a="1"/>
  <c r="J323" i="5" s="1"/>
  <c r="K311" i="5" a="1"/>
  <c r="K311" i="5" s="1"/>
  <c r="J311" i="5" a="1"/>
  <c r="J311" i="5" s="1"/>
  <c r="K299" i="5" a="1"/>
  <c r="K299" i="5" s="1"/>
  <c r="J299" i="5" a="1"/>
  <c r="J299" i="5" s="1"/>
  <c r="K287" i="5" a="1"/>
  <c r="K287" i="5" s="1"/>
  <c r="J287" i="5" a="1"/>
  <c r="J287" i="5" s="1"/>
  <c r="J493" i="5" a="1"/>
  <c r="J493" i="5" s="1"/>
  <c r="K493" i="5" a="1"/>
  <c r="K493" i="5" s="1"/>
  <c r="J481" i="5" a="1"/>
  <c r="J481" i="5" s="1"/>
  <c r="K481" i="5" a="1"/>
  <c r="K481" i="5" s="1"/>
  <c r="J469" i="5" a="1"/>
  <c r="J469" i="5" s="1"/>
  <c r="K469" i="5" a="1"/>
  <c r="K469" i="5" s="1"/>
  <c r="J457" i="5" a="1"/>
  <c r="J457" i="5" s="1"/>
  <c r="K457" i="5" a="1"/>
  <c r="K457" i="5" s="1"/>
  <c r="J445" i="5" a="1"/>
  <c r="J445" i="5" s="1"/>
  <c r="K445" i="5" a="1"/>
  <c r="K445" i="5" s="1"/>
  <c r="J433" i="5" a="1"/>
  <c r="J433" i="5" s="1"/>
  <c r="K433" i="5" a="1"/>
  <c r="K433" i="5" s="1"/>
  <c r="J421" i="5" a="1"/>
  <c r="J421" i="5" s="1"/>
  <c r="K421" i="5" a="1"/>
  <c r="K421" i="5" s="1"/>
  <c r="J409" i="5" a="1"/>
  <c r="J409" i="5" s="1"/>
  <c r="K409" i="5" a="1"/>
  <c r="K409" i="5" s="1"/>
  <c r="J397" i="5" a="1"/>
  <c r="J397" i="5" s="1"/>
  <c r="K397" i="5" a="1"/>
  <c r="K397" i="5" s="1"/>
  <c r="J385" i="5" a="1"/>
  <c r="J385" i="5" s="1"/>
  <c r="K385" i="5" a="1"/>
  <c r="K385" i="5" s="1"/>
  <c r="J373" i="5" a="1"/>
  <c r="J373" i="5" s="1"/>
  <c r="K373" i="5" a="1"/>
  <c r="K373" i="5" s="1"/>
  <c r="K361" i="5" a="1"/>
  <c r="K361" i="5" s="1"/>
  <c r="K129" i="5" a="1"/>
  <c r="K129" i="5" s="1"/>
  <c r="K154" i="5" a="1"/>
  <c r="K154" i="5" s="1"/>
  <c r="J154" i="5" a="1"/>
  <c r="J154" i="5" s="1"/>
  <c r="J174" i="5" a="1"/>
  <c r="J174" i="5" s="1"/>
  <c r="K174" i="5" a="1"/>
  <c r="K174" i="5" s="1"/>
  <c r="K300" i="5" a="1"/>
  <c r="K300" i="5" s="1"/>
  <c r="J300" i="5" a="1"/>
  <c r="J300" i="5" s="1"/>
  <c r="J61" i="5" a="1"/>
  <c r="J61" i="5" s="1"/>
  <c r="K61" i="5" a="1"/>
  <c r="K61" i="5" s="1"/>
  <c r="J49" i="5" a="1"/>
  <c r="J49" i="5" s="1"/>
  <c r="K49" i="5" a="1"/>
  <c r="K49" i="5" s="1"/>
  <c r="J37" i="5" a="1"/>
  <c r="J37" i="5" s="1"/>
  <c r="K37" i="5" a="1"/>
  <c r="K37" i="5" s="1"/>
  <c r="J25" i="5" a="1"/>
  <c r="J25" i="5" s="1"/>
  <c r="K25" i="5" a="1"/>
  <c r="K25" i="5" s="1"/>
  <c r="J13" i="5" a="1"/>
  <c r="J13" i="5" s="1"/>
  <c r="K13" i="5" a="1"/>
  <c r="K13" i="5" s="1"/>
  <c r="J89" i="5" a="1"/>
  <c r="J89" i="5" s="1"/>
  <c r="K89" i="5" a="1"/>
  <c r="K89" i="5" s="1"/>
  <c r="J77" i="5" a="1"/>
  <c r="J77" i="5" s="1"/>
  <c r="K77" i="5" a="1"/>
  <c r="K77" i="5" s="1"/>
  <c r="K125" i="5" a="1"/>
  <c r="K125" i="5" s="1"/>
  <c r="J100" i="5" a="1"/>
  <c r="J100" i="5" s="1"/>
  <c r="K100" i="5" a="1"/>
  <c r="K100" i="5" s="1"/>
  <c r="J152" i="5" a="1"/>
  <c r="J152" i="5" s="1"/>
  <c r="K152" i="5" a="1"/>
  <c r="K152" i="5" s="1"/>
  <c r="J140" i="5" a="1"/>
  <c r="J140" i="5" s="1"/>
  <c r="K140" i="5" a="1"/>
  <c r="K140" i="5" s="1"/>
  <c r="J128" i="5" a="1"/>
  <c r="J128" i="5" s="1"/>
  <c r="K128" i="5" a="1"/>
  <c r="K128" i="5" s="1"/>
  <c r="K187" i="5" a="1"/>
  <c r="K187" i="5" s="1"/>
  <c r="J224" i="5" a="1"/>
  <c r="J224" i="5" s="1"/>
  <c r="K224" i="5" a="1"/>
  <c r="K224" i="5" s="1"/>
  <c r="J212" i="5" a="1"/>
  <c r="J212" i="5" s="1"/>
  <c r="K212" i="5" a="1"/>
  <c r="K212" i="5" s="1"/>
  <c r="J200" i="5" a="1"/>
  <c r="J200" i="5" s="1"/>
  <c r="K200" i="5" a="1"/>
  <c r="K200" i="5" s="1"/>
  <c r="K252" i="5" a="1"/>
  <c r="K252" i="5" s="1"/>
  <c r="K240" i="5" a="1"/>
  <c r="K240" i="5" s="1"/>
  <c r="K269" i="5" a="1"/>
  <c r="K269" i="5" s="1"/>
  <c r="J269" i="5" a="1"/>
  <c r="J269" i="5" s="1"/>
  <c r="K281" i="5" a="1"/>
  <c r="K281" i="5" s="1"/>
  <c r="K492" i="5" a="1"/>
  <c r="K492" i="5" s="1"/>
  <c r="K480" i="5" a="1"/>
  <c r="K480" i="5" s="1"/>
  <c r="K468" i="5" a="1"/>
  <c r="K468" i="5" s="1"/>
  <c r="K456" i="5" a="1"/>
  <c r="K456" i="5" s="1"/>
  <c r="K444" i="5" a="1"/>
  <c r="K444" i="5" s="1"/>
  <c r="K432" i="5" a="1"/>
  <c r="K432" i="5" s="1"/>
  <c r="K420" i="5" a="1"/>
  <c r="K420" i="5" s="1"/>
  <c r="K408" i="5" a="1"/>
  <c r="K408" i="5" s="1"/>
  <c r="K396" i="5" a="1"/>
  <c r="K396" i="5" s="1"/>
  <c r="K384" i="5" a="1"/>
  <c r="K384" i="5" s="1"/>
  <c r="K372" i="5" a="1"/>
  <c r="K372" i="5" s="1"/>
  <c r="K360" i="5" a="1"/>
  <c r="K360" i="5" s="1"/>
  <c r="J310" i="5" a="1"/>
  <c r="J310" i="5" s="1"/>
  <c r="J432" i="5" a="1"/>
  <c r="J432" i="5" s="1"/>
  <c r="K274" i="5" a="1"/>
  <c r="K274" i="5" s="1"/>
  <c r="J27" i="5" a="1"/>
  <c r="J27" i="5" s="1"/>
  <c r="K27" i="5" a="1"/>
  <c r="K27" i="5" s="1"/>
  <c r="J259" i="5" a="1"/>
  <c r="J259" i="5" s="1"/>
  <c r="K259" i="5" a="1"/>
  <c r="K259" i="5" s="1"/>
  <c r="J494" i="5" a="1"/>
  <c r="J494" i="5" s="1"/>
  <c r="K494" i="5" a="1"/>
  <c r="K494" i="5" s="1"/>
  <c r="J434" i="5" a="1"/>
  <c r="J434" i="5" s="1"/>
  <c r="K434" i="5" a="1"/>
  <c r="K434" i="5" s="1"/>
  <c r="J60" i="5" a="1"/>
  <c r="J60" i="5" s="1"/>
  <c r="K60" i="5" a="1"/>
  <c r="K60" i="5" s="1"/>
  <c r="J48" i="5" a="1"/>
  <c r="J48" i="5" s="1"/>
  <c r="K48" i="5" a="1"/>
  <c r="K48" i="5" s="1"/>
  <c r="J36" i="5" a="1"/>
  <c r="J36" i="5" s="1"/>
  <c r="K36" i="5" a="1"/>
  <c r="K36" i="5" s="1"/>
  <c r="J24" i="5" a="1"/>
  <c r="J24" i="5" s="1"/>
  <c r="K24" i="5" a="1"/>
  <c r="K24" i="5" s="1"/>
  <c r="J12" i="5" a="1"/>
  <c r="J12" i="5" s="1"/>
  <c r="K12" i="5" a="1"/>
  <c r="K12" i="5" s="1"/>
  <c r="J88" i="5" a="1"/>
  <c r="J88" i="5" s="1"/>
  <c r="K88" i="5" a="1"/>
  <c r="K88" i="5" s="1"/>
  <c r="J76" i="5" a="1"/>
  <c r="J76" i="5" s="1"/>
  <c r="K76" i="5" a="1"/>
  <c r="K76" i="5" s="1"/>
  <c r="K124" i="5" a="1"/>
  <c r="K124" i="5" s="1"/>
  <c r="K99" i="5" a="1"/>
  <c r="K99" i="5" s="1"/>
  <c r="K151" i="5" a="1"/>
  <c r="K151" i="5" s="1"/>
  <c r="K139" i="5" a="1"/>
  <c r="K139" i="5" s="1"/>
  <c r="J159" i="5" a="1"/>
  <c r="J159" i="5" s="1"/>
  <c r="K159" i="5" a="1"/>
  <c r="K159" i="5" s="1"/>
  <c r="K193" i="5" a="1"/>
  <c r="K193" i="5" s="1"/>
  <c r="J223" i="5" a="1"/>
  <c r="J223" i="5" s="1"/>
  <c r="K223" i="5" a="1"/>
  <c r="K223" i="5" s="1"/>
  <c r="J211" i="5" a="1"/>
  <c r="J211" i="5" s="1"/>
  <c r="K211" i="5" a="1"/>
  <c r="K211" i="5" s="1"/>
  <c r="J199" i="5" a="1"/>
  <c r="J199" i="5" s="1"/>
  <c r="K199" i="5" a="1"/>
  <c r="K199" i="5" s="1"/>
  <c r="K251" i="5" a="1"/>
  <c r="K251" i="5" s="1"/>
  <c r="K239" i="5" a="1"/>
  <c r="K239" i="5" s="1"/>
  <c r="K268" i="5" a="1"/>
  <c r="K268" i="5" s="1"/>
  <c r="J268" i="5" a="1"/>
  <c r="J268" i="5" s="1"/>
  <c r="K345" i="5" a="1"/>
  <c r="K345" i="5" s="1"/>
  <c r="K333" i="5" a="1"/>
  <c r="K333" i="5" s="1"/>
  <c r="K321" i="5" a="1"/>
  <c r="K321" i="5" s="1"/>
  <c r="K309" i="5" a="1"/>
  <c r="K309" i="5" s="1"/>
  <c r="K297" i="5" a="1"/>
  <c r="K297" i="5" s="1"/>
  <c r="K285" i="5" a="1"/>
  <c r="K285" i="5" s="1"/>
  <c r="K491" i="5" a="1"/>
  <c r="K491" i="5" s="1"/>
  <c r="J491" i="5" a="1"/>
  <c r="J491" i="5" s="1"/>
  <c r="K479" i="5" a="1"/>
  <c r="K479" i="5" s="1"/>
  <c r="J479" i="5" a="1"/>
  <c r="J479" i="5" s="1"/>
  <c r="K467" i="5" a="1"/>
  <c r="K467" i="5" s="1"/>
  <c r="J467" i="5" a="1"/>
  <c r="J467" i="5" s="1"/>
  <c r="K455" i="5" a="1"/>
  <c r="K455" i="5" s="1"/>
  <c r="J455" i="5" a="1"/>
  <c r="J455" i="5" s="1"/>
  <c r="K443" i="5" a="1"/>
  <c r="K443" i="5" s="1"/>
  <c r="J443" i="5" a="1"/>
  <c r="J443" i="5" s="1"/>
  <c r="K431" i="5" a="1"/>
  <c r="K431" i="5" s="1"/>
  <c r="J431" i="5" a="1"/>
  <c r="J431" i="5" s="1"/>
  <c r="K419" i="5" a="1"/>
  <c r="K419" i="5" s="1"/>
  <c r="J419" i="5" a="1"/>
  <c r="J419" i="5" s="1"/>
  <c r="K407" i="5" a="1"/>
  <c r="K407" i="5" s="1"/>
  <c r="J407" i="5" a="1"/>
  <c r="J407" i="5" s="1"/>
  <c r="K395" i="5" a="1"/>
  <c r="K395" i="5" s="1"/>
  <c r="J395" i="5" a="1"/>
  <c r="J395" i="5" s="1"/>
  <c r="K383" i="5" a="1"/>
  <c r="K383" i="5" s="1"/>
  <c r="J383" i="5" a="1"/>
  <c r="J383" i="5" s="1"/>
  <c r="K371" i="5" a="1"/>
  <c r="K371" i="5" s="1"/>
  <c r="J371" i="5" a="1"/>
  <c r="J371" i="5" s="1"/>
  <c r="K359" i="5" a="1"/>
  <c r="K359" i="5" s="1"/>
  <c r="J309" i="5" a="1"/>
  <c r="J309" i="5" s="1"/>
  <c r="J420" i="5" a="1"/>
  <c r="J420" i="5" s="1"/>
  <c r="J51" i="5" a="1"/>
  <c r="J51" i="5" s="1"/>
  <c r="K51" i="5" a="1"/>
  <c r="K51" i="5" s="1"/>
  <c r="J3" i="5" a="1"/>
  <c r="J3" i="5" s="1"/>
  <c r="K3" i="5" a="1"/>
  <c r="K3" i="5" s="1"/>
  <c r="J102" i="5" a="1"/>
  <c r="J102" i="5" s="1"/>
  <c r="K102" i="5" a="1"/>
  <c r="K102" i="5" s="1"/>
  <c r="J254" i="5" a="1"/>
  <c r="J254" i="5" s="1"/>
  <c r="K254" i="5" a="1"/>
  <c r="K254" i="5" s="1"/>
  <c r="I470" i="5" a="1"/>
  <c r="I470" i="5" s="1"/>
  <c r="I458" i="5" a="1"/>
  <c r="I458" i="5" s="1"/>
  <c r="J59" i="5" a="1"/>
  <c r="J59" i="5" s="1"/>
  <c r="K59" i="5" a="1"/>
  <c r="K59" i="5" s="1"/>
  <c r="J47" i="5" a="1"/>
  <c r="J47" i="5" s="1"/>
  <c r="K47" i="5" a="1"/>
  <c r="K47" i="5" s="1"/>
  <c r="J35" i="5" a="1"/>
  <c r="J35" i="5" s="1"/>
  <c r="K35" i="5" a="1"/>
  <c r="K35" i="5" s="1"/>
  <c r="J23" i="5" a="1"/>
  <c r="J23" i="5" s="1"/>
  <c r="K23" i="5" a="1"/>
  <c r="K23" i="5" s="1"/>
  <c r="J11" i="5" a="1"/>
  <c r="J11" i="5" s="1"/>
  <c r="K11" i="5" a="1"/>
  <c r="K11" i="5" s="1"/>
  <c r="J87" i="5" a="1"/>
  <c r="J87" i="5" s="1"/>
  <c r="K87" i="5" a="1"/>
  <c r="K87" i="5" s="1"/>
  <c r="J75" i="5" a="1"/>
  <c r="J75" i="5" s="1"/>
  <c r="K75" i="5" a="1"/>
  <c r="K75" i="5" s="1"/>
  <c r="K119" i="5" a="1"/>
  <c r="K119" i="5" s="1"/>
  <c r="K98" i="5" a="1"/>
  <c r="K98" i="5" s="1"/>
  <c r="K150" i="5" a="1"/>
  <c r="K150" i="5" s="1"/>
  <c r="K138" i="5" a="1"/>
  <c r="K138" i="5" s="1"/>
  <c r="K158" i="5" a="1"/>
  <c r="K158" i="5" s="1"/>
  <c r="J234" i="5" a="1"/>
  <c r="J234" i="5" s="1"/>
  <c r="K234" i="5" a="1"/>
  <c r="K234" i="5" s="1"/>
  <c r="J222" i="5" a="1"/>
  <c r="J222" i="5" s="1"/>
  <c r="K222" i="5" a="1"/>
  <c r="K222" i="5" s="1"/>
  <c r="J210" i="5" a="1"/>
  <c r="J210" i="5" s="1"/>
  <c r="K210" i="5" a="1"/>
  <c r="K210" i="5" s="1"/>
  <c r="J198" i="5" a="1"/>
  <c r="J198" i="5" s="1"/>
  <c r="K198" i="5" a="1"/>
  <c r="K198" i="5" s="1"/>
  <c r="J250" i="5" a="1"/>
  <c r="J250" i="5" s="1"/>
  <c r="J238" i="5" a="1"/>
  <c r="J238" i="5" s="1"/>
  <c r="K267" i="5" a="1"/>
  <c r="K267" i="5" s="1"/>
  <c r="J267" i="5" a="1"/>
  <c r="J267" i="5" s="1"/>
  <c r="K344" i="5" a="1"/>
  <c r="K344" i="5" s="1"/>
  <c r="J344" i="5" a="1"/>
  <c r="J344" i="5" s="1"/>
  <c r="K332" i="5" a="1"/>
  <c r="K332" i="5" s="1"/>
  <c r="J332" i="5" a="1"/>
  <c r="J332" i="5" s="1"/>
  <c r="K320" i="5" a="1"/>
  <c r="K320" i="5" s="1"/>
  <c r="J320" i="5" a="1"/>
  <c r="J320" i="5" s="1"/>
  <c r="K308" i="5" a="1"/>
  <c r="K308" i="5" s="1"/>
  <c r="J308" i="5" a="1"/>
  <c r="J308" i="5" s="1"/>
  <c r="K296" i="5" a="1"/>
  <c r="K296" i="5" s="1"/>
  <c r="J296" i="5" a="1"/>
  <c r="J296" i="5" s="1"/>
  <c r="K284" i="5" a="1"/>
  <c r="K284" i="5" s="1"/>
  <c r="J490" i="5" a="1"/>
  <c r="J490" i="5" s="1"/>
  <c r="J478" i="5" a="1"/>
  <c r="J478" i="5" s="1"/>
  <c r="J466" i="5" a="1"/>
  <c r="J466" i="5" s="1"/>
  <c r="J454" i="5" a="1"/>
  <c r="J454" i="5" s="1"/>
  <c r="J442" i="5" a="1"/>
  <c r="J442" i="5" s="1"/>
  <c r="J430" i="5" a="1"/>
  <c r="J430" i="5" s="1"/>
  <c r="J418" i="5" a="1"/>
  <c r="J418" i="5" s="1"/>
  <c r="J406" i="5" a="1"/>
  <c r="J406" i="5" s="1"/>
  <c r="J394" i="5" a="1"/>
  <c r="J394" i="5" s="1"/>
  <c r="J382" i="5" a="1"/>
  <c r="J382" i="5" s="1"/>
  <c r="J370" i="5" a="1"/>
  <c r="J370" i="5" s="1"/>
  <c r="J139" i="5" a="1"/>
  <c r="J139" i="5" s="1"/>
  <c r="J298" i="5" a="1"/>
  <c r="J298" i="5" s="1"/>
  <c r="J408" i="5" a="1"/>
  <c r="J408" i="5" s="1"/>
  <c r="K382" i="5" a="1"/>
  <c r="K382" i="5" s="1"/>
  <c r="K334" i="5" a="1"/>
  <c r="K334" i="5" s="1"/>
  <c r="K250" i="5" a="1"/>
  <c r="K250" i="5" s="1"/>
  <c r="K91" i="5" a="1"/>
  <c r="K91" i="5" s="1"/>
  <c r="K142" i="5" a="1"/>
  <c r="K142" i="5" s="1"/>
  <c r="J142" i="5" a="1"/>
  <c r="J142" i="5" s="1"/>
  <c r="K130" i="5" a="1"/>
  <c r="K130" i="5" s="1"/>
  <c r="J130" i="5" a="1"/>
  <c r="J130" i="5" s="1"/>
  <c r="J242" i="5" a="1"/>
  <c r="J242" i="5" s="1"/>
  <c r="K242" i="5" a="1"/>
  <c r="K242" i="5" s="1"/>
  <c r="K312" i="5" a="1"/>
  <c r="K312" i="5" s="1"/>
  <c r="J312" i="5" a="1"/>
  <c r="J312" i="5" s="1"/>
  <c r="J482" i="5" a="1"/>
  <c r="J482" i="5" s="1"/>
  <c r="K482" i="5" a="1"/>
  <c r="K482" i="5" s="1"/>
  <c r="J458" i="5" a="1"/>
  <c r="J458" i="5" s="1"/>
  <c r="K458" i="5" a="1"/>
  <c r="K458" i="5" s="1"/>
  <c r="J410" i="5" a="1"/>
  <c r="J410" i="5" s="1"/>
  <c r="K410" i="5" a="1"/>
  <c r="K410" i="5" s="1"/>
  <c r="J386" i="5" a="1"/>
  <c r="J386" i="5" s="1"/>
  <c r="K386" i="5" a="1"/>
  <c r="K386" i="5" s="1"/>
  <c r="I3" i="5" a="1"/>
  <c r="I3" i="5" s="1"/>
  <c r="J58" i="5" a="1"/>
  <c r="J58" i="5" s="1"/>
  <c r="K58" i="5" a="1"/>
  <c r="K58" i="5" s="1"/>
  <c r="J46" i="5" a="1"/>
  <c r="J46" i="5" s="1"/>
  <c r="K46" i="5" a="1"/>
  <c r="K46" i="5" s="1"/>
  <c r="J34" i="5" a="1"/>
  <c r="J34" i="5" s="1"/>
  <c r="K34" i="5" a="1"/>
  <c r="K34" i="5" s="1"/>
  <c r="J22" i="5" a="1"/>
  <c r="J22" i="5" s="1"/>
  <c r="K22" i="5" a="1"/>
  <c r="K22" i="5" s="1"/>
  <c r="J10" i="5" a="1"/>
  <c r="J10" i="5" s="1"/>
  <c r="K10" i="5" a="1"/>
  <c r="K10" i="5" s="1"/>
  <c r="J86" i="5" a="1"/>
  <c r="J86" i="5" s="1"/>
  <c r="K86" i="5" a="1"/>
  <c r="K86" i="5" s="1"/>
  <c r="J74" i="5" a="1"/>
  <c r="J74" i="5" s="1"/>
  <c r="K74" i="5" a="1"/>
  <c r="K74" i="5" s="1"/>
  <c r="K118" i="5" a="1"/>
  <c r="K118" i="5" s="1"/>
  <c r="K97" i="5" a="1"/>
  <c r="K97" i="5" s="1"/>
  <c r="J97" i="5" a="1"/>
  <c r="J97" i="5" s="1"/>
  <c r="K149" i="5" a="1"/>
  <c r="K149" i="5" s="1"/>
  <c r="J149" i="5" a="1"/>
  <c r="J149" i="5" s="1"/>
  <c r="K137" i="5" a="1"/>
  <c r="K137" i="5" s="1"/>
  <c r="J137" i="5" a="1"/>
  <c r="J137" i="5" s="1"/>
  <c r="K157" i="5" a="1"/>
  <c r="K157" i="5" s="1"/>
  <c r="J233" i="5" a="1"/>
  <c r="J233" i="5" s="1"/>
  <c r="K233" i="5" a="1"/>
  <c r="K233" i="5" s="1"/>
  <c r="J221" i="5" a="1"/>
  <c r="J221" i="5" s="1"/>
  <c r="K221" i="5" a="1"/>
  <c r="K221" i="5" s="1"/>
  <c r="J209" i="5" a="1"/>
  <c r="J209" i="5" s="1"/>
  <c r="K209" i="5" a="1"/>
  <c r="K209" i="5" s="1"/>
  <c r="K197" i="5" a="1"/>
  <c r="K197" i="5" s="1"/>
  <c r="J249" i="5" a="1"/>
  <c r="J249" i="5" s="1"/>
  <c r="K249" i="5" a="1"/>
  <c r="K249" i="5" s="1"/>
  <c r="J237" i="5" a="1"/>
  <c r="J237" i="5" s="1"/>
  <c r="K237" i="5" a="1"/>
  <c r="K237" i="5" s="1"/>
  <c r="K266" i="5" a="1"/>
  <c r="K266" i="5" s="1"/>
  <c r="J266" i="5" a="1"/>
  <c r="J266" i="5" s="1"/>
  <c r="K343" i="5" a="1"/>
  <c r="K343" i="5" s="1"/>
  <c r="J343" i="5" a="1"/>
  <c r="J343" i="5" s="1"/>
  <c r="K331" i="5" a="1"/>
  <c r="K331" i="5" s="1"/>
  <c r="J331" i="5" a="1"/>
  <c r="J331" i="5" s="1"/>
  <c r="K319" i="5" a="1"/>
  <c r="K319" i="5" s="1"/>
  <c r="J319" i="5" a="1"/>
  <c r="J319" i="5" s="1"/>
  <c r="K307" i="5" a="1"/>
  <c r="K307" i="5" s="1"/>
  <c r="J307" i="5" a="1"/>
  <c r="J307" i="5" s="1"/>
  <c r="K295" i="5" a="1"/>
  <c r="K295" i="5" s="1"/>
  <c r="J295" i="5" a="1"/>
  <c r="J295" i="5" s="1"/>
  <c r="K283" i="5" a="1"/>
  <c r="K283" i="5" s="1"/>
  <c r="J489" i="5" a="1"/>
  <c r="J489" i="5" s="1"/>
  <c r="K489" i="5" a="1"/>
  <c r="K489" i="5" s="1"/>
  <c r="J477" i="5" a="1"/>
  <c r="J477" i="5" s="1"/>
  <c r="K477" i="5" a="1"/>
  <c r="K477" i="5" s="1"/>
  <c r="J465" i="5" a="1"/>
  <c r="J465" i="5" s="1"/>
  <c r="K465" i="5" a="1"/>
  <c r="K465" i="5" s="1"/>
  <c r="J453" i="5" a="1"/>
  <c r="J453" i="5" s="1"/>
  <c r="K453" i="5" a="1"/>
  <c r="K453" i="5" s="1"/>
  <c r="J441" i="5" a="1"/>
  <c r="J441" i="5" s="1"/>
  <c r="K441" i="5" a="1"/>
  <c r="K441" i="5" s="1"/>
  <c r="J429" i="5" a="1"/>
  <c r="J429" i="5" s="1"/>
  <c r="K429" i="5" a="1"/>
  <c r="K429" i="5" s="1"/>
  <c r="J417" i="5" a="1"/>
  <c r="J417" i="5" s="1"/>
  <c r="K417" i="5" a="1"/>
  <c r="K417" i="5" s="1"/>
  <c r="J405" i="5" a="1"/>
  <c r="J405" i="5" s="1"/>
  <c r="K405" i="5" a="1"/>
  <c r="K405" i="5" s="1"/>
  <c r="J393" i="5" a="1"/>
  <c r="J393" i="5" s="1"/>
  <c r="K393" i="5" a="1"/>
  <c r="K393" i="5" s="1"/>
  <c r="J381" i="5" a="1"/>
  <c r="J381" i="5" s="1"/>
  <c r="K381" i="5" a="1"/>
  <c r="K381" i="5" s="1"/>
  <c r="K369" i="5" a="1"/>
  <c r="K369" i="5" s="1"/>
  <c r="K357" i="5" a="1"/>
  <c r="K357" i="5" s="1"/>
  <c r="F160" i="5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J138" i="5" a="1"/>
  <c r="J138" i="5" s="1"/>
  <c r="J297" i="5" a="1"/>
  <c r="J297" i="5" s="1"/>
  <c r="J396" i="5" a="1"/>
  <c r="J396" i="5" s="1"/>
  <c r="K370" i="5" a="1"/>
  <c r="K370" i="5" s="1"/>
  <c r="K238" i="5" a="1"/>
  <c r="K238" i="5" s="1"/>
  <c r="K79" i="5" a="1"/>
  <c r="K79" i="5" s="1"/>
  <c r="J39" i="5" a="1"/>
  <c r="J39" i="5" s="1"/>
  <c r="K39" i="5" a="1"/>
  <c r="K39" i="5" s="1"/>
  <c r="K336" i="5" a="1"/>
  <c r="K336" i="5" s="1"/>
  <c r="J336" i="5" a="1"/>
  <c r="J336" i="5" s="1"/>
  <c r="J446" i="5" a="1"/>
  <c r="J446" i="5" s="1"/>
  <c r="K446" i="5" a="1"/>
  <c r="K446" i="5" s="1"/>
  <c r="I27" i="5" a="1"/>
  <c r="I27" i="5" s="1"/>
  <c r="I398" i="5" a="1"/>
  <c r="I398" i="5" s="1"/>
  <c r="I386" i="5" a="1"/>
  <c r="I386" i="5" s="1"/>
  <c r="J2" i="5" a="1"/>
  <c r="J2" i="5" s="1"/>
  <c r="K2" i="5" a="1"/>
  <c r="K2" i="5" s="1"/>
  <c r="K57" i="5" a="1"/>
  <c r="K57" i="5" s="1"/>
  <c r="K45" i="5" a="1"/>
  <c r="K45" i="5" s="1"/>
  <c r="K33" i="5" a="1"/>
  <c r="K33" i="5" s="1"/>
  <c r="K21" i="5" a="1"/>
  <c r="K21" i="5" s="1"/>
  <c r="K9" i="5" a="1"/>
  <c r="K9" i="5" s="1"/>
  <c r="J85" i="5" a="1"/>
  <c r="J85" i="5" s="1"/>
  <c r="K85" i="5" a="1"/>
  <c r="K85" i="5" s="1"/>
  <c r="J73" i="5" a="1"/>
  <c r="J73" i="5" s="1"/>
  <c r="K73" i="5" a="1"/>
  <c r="K73" i="5" s="1"/>
  <c r="K117" i="5" a="1"/>
  <c r="K117" i="5" s="1"/>
  <c r="K96" i="5" a="1"/>
  <c r="K96" i="5" s="1"/>
  <c r="J96" i="5" a="1"/>
  <c r="J96" i="5" s="1"/>
  <c r="K148" i="5" a="1"/>
  <c r="K148" i="5" s="1"/>
  <c r="J148" i="5" a="1"/>
  <c r="J148" i="5" s="1"/>
  <c r="K136" i="5" a="1"/>
  <c r="K136" i="5" s="1"/>
  <c r="J136" i="5" a="1"/>
  <c r="J136" i="5" s="1"/>
  <c r="K156" i="5" a="1"/>
  <c r="K156" i="5" s="1"/>
  <c r="J156" i="5" a="1"/>
  <c r="J156" i="5" s="1"/>
  <c r="J232" i="5" a="1"/>
  <c r="J232" i="5" s="1"/>
  <c r="K232" i="5" a="1"/>
  <c r="K232" i="5" s="1"/>
  <c r="J220" i="5" a="1"/>
  <c r="J220" i="5" s="1"/>
  <c r="K220" i="5" a="1"/>
  <c r="K220" i="5" s="1"/>
  <c r="J208" i="5" a="1"/>
  <c r="J208" i="5" s="1"/>
  <c r="K208" i="5" a="1"/>
  <c r="K208" i="5" s="1"/>
  <c r="K196" i="5" a="1"/>
  <c r="K196" i="5" s="1"/>
  <c r="J248" i="5" a="1"/>
  <c r="J248" i="5" s="1"/>
  <c r="K248" i="5" a="1"/>
  <c r="K248" i="5" s="1"/>
  <c r="J236" i="5" a="1"/>
  <c r="J236" i="5" s="1"/>
  <c r="K236" i="5" a="1"/>
  <c r="K236" i="5" s="1"/>
  <c r="K265" i="5" a="1"/>
  <c r="K265" i="5" s="1"/>
  <c r="J265" i="5" a="1"/>
  <c r="J265" i="5" s="1"/>
  <c r="K342" i="5" a="1"/>
  <c r="K342" i="5" s="1"/>
  <c r="J342" i="5" a="1"/>
  <c r="J342" i="5" s="1"/>
  <c r="K330" i="5" a="1"/>
  <c r="K330" i="5" s="1"/>
  <c r="J330" i="5" a="1"/>
  <c r="J330" i="5" s="1"/>
  <c r="K318" i="5" a="1"/>
  <c r="K318" i="5" s="1"/>
  <c r="J318" i="5" a="1"/>
  <c r="J318" i="5" s="1"/>
  <c r="K306" i="5" a="1"/>
  <c r="K306" i="5" s="1"/>
  <c r="J306" i="5" a="1"/>
  <c r="J306" i="5" s="1"/>
  <c r="K294" i="5" a="1"/>
  <c r="K294" i="5" s="1"/>
  <c r="J294" i="5" a="1"/>
  <c r="J294" i="5" s="1"/>
  <c r="K282" i="5" a="1"/>
  <c r="K282" i="5" s="1"/>
  <c r="J488" i="5" a="1"/>
  <c r="J488" i="5" s="1"/>
  <c r="K488" i="5" a="1"/>
  <c r="K488" i="5" s="1"/>
  <c r="J476" i="5" a="1"/>
  <c r="J476" i="5" s="1"/>
  <c r="K476" i="5" a="1"/>
  <c r="K476" i="5" s="1"/>
  <c r="J464" i="5" a="1"/>
  <c r="J464" i="5" s="1"/>
  <c r="K464" i="5" a="1"/>
  <c r="K464" i="5" s="1"/>
  <c r="J452" i="5" a="1"/>
  <c r="J452" i="5" s="1"/>
  <c r="K452" i="5" a="1"/>
  <c r="K452" i="5" s="1"/>
  <c r="J440" i="5" a="1"/>
  <c r="J440" i="5" s="1"/>
  <c r="K440" i="5" a="1"/>
  <c r="K440" i="5" s="1"/>
  <c r="J428" i="5" a="1"/>
  <c r="J428" i="5" s="1"/>
  <c r="K428" i="5" a="1"/>
  <c r="K428" i="5" s="1"/>
  <c r="J416" i="5" a="1"/>
  <c r="J416" i="5" s="1"/>
  <c r="K416" i="5" a="1"/>
  <c r="K416" i="5" s="1"/>
  <c r="J404" i="5" a="1"/>
  <c r="J404" i="5" s="1"/>
  <c r="K404" i="5" a="1"/>
  <c r="K404" i="5" s="1"/>
  <c r="J392" i="5" a="1"/>
  <c r="J392" i="5" s="1"/>
  <c r="K392" i="5" a="1"/>
  <c r="K392" i="5" s="1"/>
  <c r="J380" i="5" a="1"/>
  <c r="J380" i="5" s="1"/>
  <c r="K380" i="5" a="1"/>
  <c r="K380" i="5" s="1"/>
  <c r="K368" i="5" a="1"/>
  <c r="K368" i="5" s="1"/>
  <c r="J368" i="5" a="1"/>
  <c r="J368" i="5" s="1"/>
  <c r="K356" i="5" a="1"/>
  <c r="K356" i="5" s="1"/>
  <c r="J33" i="5" a="1"/>
  <c r="J33" i="5" s="1"/>
  <c r="J158" i="5" a="1"/>
  <c r="J158" i="5" s="1"/>
  <c r="J384" i="5" a="1"/>
  <c r="J384" i="5" s="1"/>
  <c r="K226" i="5" a="1"/>
  <c r="K226" i="5" s="1"/>
  <c r="J398" i="5" a="1"/>
  <c r="J398" i="5" s="1"/>
  <c r="K398" i="5" a="1"/>
  <c r="K398" i="5" s="1"/>
  <c r="K68" i="5" a="1"/>
  <c r="K68" i="5" s="1"/>
  <c r="K56" i="5" a="1"/>
  <c r="K56" i="5" s="1"/>
  <c r="K44" i="5" a="1"/>
  <c r="K44" i="5" s="1"/>
  <c r="K32" i="5" a="1"/>
  <c r="K32" i="5" s="1"/>
  <c r="K20" i="5" a="1"/>
  <c r="K20" i="5" s="1"/>
  <c r="K8" i="5" a="1"/>
  <c r="K8" i="5" s="1"/>
  <c r="J84" i="5" a="1"/>
  <c r="J84" i="5" s="1"/>
  <c r="K84" i="5" a="1"/>
  <c r="K84" i="5" s="1"/>
  <c r="J72" i="5" a="1"/>
  <c r="J72" i="5" s="1"/>
  <c r="K72" i="5" a="1"/>
  <c r="K72" i="5" s="1"/>
  <c r="K116" i="5" a="1"/>
  <c r="K116" i="5" s="1"/>
  <c r="K95" i="5" a="1"/>
  <c r="K95" i="5" s="1"/>
  <c r="J95" i="5" a="1"/>
  <c r="J95" i="5" s="1"/>
  <c r="K147" i="5" a="1"/>
  <c r="K147" i="5" s="1"/>
  <c r="J147" i="5" a="1"/>
  <c r="J147" i="5" s="1"/>
  <c r="K135" i="5" a="1"/>
  <c r="K135" i="5" s="1"/>
  <c r="J135" i="5" a="1"/>
  <c r="J135" i="5" s="1"/>
  <c r="J173" i="5" a="1"/>
  <c r="J173" i="5" s="1"/>
  <c r="K173" i="5" a="1"/>
  <c r="K173" i="5" s="1"/>
  <c r="J231" i="5" a="1"/>
  <c r="J231" i="5" s="1"/>
  <c r="K231" i="5" a="1"/>
  <c r="K231" i="5" s="1"/>
  <c r="J219" i="5" a="1"/>
  <c r="J219" i="5" s="1"/>
  <c r="K219" i="5" a="1"/>
  <c r="K219" i="5" s="1"/>
  <c r="J207" i="5" a="1"/>
  <c r="J207" i="5" s="1"/>
  <c r="K207" i="5" a="1"/>
  <c r="K207" i="5" s="1"/>
  <c r="K195" i="5" a="1"/>
  <c r="K195" i="5" s="1"/>
  <c r="J247" i="5" a="1"/>
  <c r="J247" i="5" s="1"/>
  <c r="K247" i="5" a="1"/>
  <c r="K247" i="5" s="1"/>
  <c r="J235" i="5" a="1"/>
  <c r="J235" i="5" s="1"/>
  <c r="K235" i="5" a="1"/>
  <c r="K235" i="5" s="1"/>
  <c r="K264" i="5" a="1"/>
  <c r="K264" i="5" s="1"/>
  <c r="J264" i="5" a="1"/>
  <c r="J264" i="5" s="1"/>
  <c r="K341" i="5" a="1"/>
  <c r="K341" i="5" s="1"/>
  <c r="J341" i="5" a="1"/>
  <c r="J341" i="5" s="1"/>
  <c r="K329" i="5" a="1"/>
  <c r="K329" i="5" s="1"/>
  <c r="J329" i="5" a="1"/>
  <c r="J329" i="5" s="1"/>
  <c r="K317" i="5" a="1"/>
  <c r="K317" i="5" s="1"/>
  <c r="J317" i="5" a="1"/>
  <c r="J317" i="5" s="1"/>
  <c r="K305" i="5" a="1"/>
  <c r="K305" i="5" s="1"/>
  <c r="J305" i="5" a="1"/>
  <c r="J305" i="5" s="1"/>
  <c r="K293" i="5" a="1"/>
  <c r="K293" i="5" s="1"/>
  <c r="J293" i="5" a="1"/>
  <c r="J293" i="5" s="1"/>
  <c r="K355" i="5" a="1"/>
  <c r="K355" i="5" s="1"/>
  <c r="J487" i="5" a="1"/>
  <c r="J487" i="5" s="1"/>
  <c r="K487" i="5" a="1"/>
  <c r="K487" i="5" s="1"/>
  <c r="J475" i="5" a="1"/>
  <c r="J475" i="5" s="1"/>
  <c r="K475" i="5" a="1"/>
  <c r="K475" i="5" s="1"/>
  <c r="J463" i="5" a="1"/>
  <c r="J463" i="5" s="1"/>
  <c r="K463" i="5" a="1"/>
  <c r="K463" i="5" s="1"/>
  <c r="J451" i="5" a="1"/>
  <c r="J451" i="5" s="1"/>
  <c r="K451" i="5" a="1"/>
  <c r="K451" i="5" s="1"/>
  <c r="J439" i="5" a="1"/>
  <c r="J439" i="5" s="1"/>
  <c r="K439" i="5" a="1"/>
  <c r="K439" i="5" s="1"/>
  <c r="J427" i="5" a="1"/>
  <c r="J427" i="5" s="1"/>
  <c r="K427" i="5" a="1"/>
  <c r="K427" i="5" s="1"/>
  <c r="J415" i="5" a="1"/>
  <c r="J415" i="5" s="1"/>
  <c r="K415" i="5" a="1"/>
  <c r="K415" i="5" s="1"/>
  <c r="J403" i="5" a="1"/>
  <c r="J403" i="5" s="1"/>
  <c r="K403" i="5" a="1"/>
  <c r="K403" i="5" s="1"/>
  <c r="J391" i="5" a="1"/>
  <c r="J391" i="5" s="1"/>
  <c r="K391" i="5" a="1"/>
  <c r="K391" i="5" s="1"/>
  <c r="J379" i="5" a="1"/>
  <c r="J379" i="5" s="1"/>
  <c r="K379" i="5" a="1"/>
  <c r="K379" i="5" s="1"/>
  <c r="K367" i="5" a="1"/>
  <c r="K367" i="5" s="1"/>
  <c r="J367" i="5" a="1"/>
  <c r="J367" i="5" s="1"/>
  <c r="F120" i="5"/>
  <c r="F121" i="5" s="1"/>
  <c r="F122" i="5" s="1"/>
  <c r="J32" i="5" a="1"/>
  <c r="J32" i="5" s="1"/>
  <c r="J157" i="5" a="1"/>
  <c r="J157" i="5" s="1"/>
  <c r="J369" i="5" a="1"/>
  <c r="J369" i="5" s="1"/>
  <c r="K490" i="5" a="1"/>
  <c r="K490" i="5" s="1"/>
  <c r="K214" i="5" a="1"/>
  <c r="K214" i="5" s="1"/>
  <c r="J63" i="5" a="1"/>
  <c r="J63" i="5" s="1"/>
  <c r="K63" i="5" a="1"/>
  <c r="K63" i="5" s="1"/>
  <c r="I15" i="5" a="1"/>
  <c r="I15" i="5" s="1"/>
  <c r="I374" i="5" a="1"/>
  <c r="I374" i="5" s="1"/>
  <c r="I446" i="5" a="1"/>
  <c r="I446" i="5" s="1"/>
  <c r="I434" i="5" a="1"/>
  <c r="I434" i="5" s="1"/>
  <c r="J67" i="5" a="1"/>
  <c r="J67" i="5" s="1"/>
  <c r="J55" i="5" a="1"/>
  <c r="J55" i="5" s="1"/>
  <c r="J43" i="5" a="1"/>
  <c r="J43" i="5" s="1"/>
  <c r="J31" i="5" a="1"/>
  <c r="J31" i="5" s="1"/>
  <c r="J19" i="5" a="1"/>
  <c r="J19" i="5" s="1"/>
  <c r="J7" i="5" a="1"/>
  <c r="J7" i="5" s="1"/>
  <c r="J83" i="5" a="1"/>
  <c r="J83" i="5" s="1"/>
  <c r="K83" i="5" a="1"/>
  <c r="K83" i="5" s="1"/>
  <c r="J71" i="5" a="1"/>
  <c r="J71" i="5" s="1"/>
  <c r="K71" i="5" a="1"/>
  <c r="K71" i="5" s="1"/>
  <c r="K94" i="5" a="1"/>
  <c r="K94" i="5" s="1"/>
  <c r="J94" i="5" a="1"/>
  <c r="J94" i="5" s="1"/>
  <c r="K146" i="5" a="1"/>
  <c r="K146" i="5" s="1"/>
  <c r="J146" i="5" a="1"/>
  <c r="J146" i="5" s="1"/>
  <c r="K134" i="5" a="1"/>
  <c r="K134" i="5" s="1"/>
  <c r="J134" i="5" a="1"/>
  <c r="J134" i="5" s="1"/>
  <c r="J230" i="5" a="1"/>
  <c r="J230" i="5" s="1"/>
  <c r="K230" i="5" a="1"/>
  <c r="K230" i="5" s="1"/>
  <c r="J218" i="5" a="1"/>
  <c r="J218" i="5" s="1"/>
  <c r="K218" i="5" a="1"/>
  <c r="K218" i="5" s="1"/>
  <c r="J206" i="5" a="1"/>
  <c r="J206" i="5" s="1"/>
  <c r="K206" i="5" a="1"/>
  <c r="K206" i="5" s="1"/>
  <c r="K194" i="5" a="1"/>
  <c r="K194" i="5" s="1"/>
  <c r="J246" i="5" a="1"/>
  <c r="J246" i="5" s="1"/>
  <c r="K246" i="5" a="1"/>
  <c r="K246" i="5" s="1"/>
  <c r="K275" i="5" a="1"/>
  <c r="K275" i="5" s="1"/>
  <c r="J275" i="5" a="1"/>
  <c r="J275" i="5" s="1"/>
  <c r="K263" i="5" a="1"/>
  <c r="K263" i="5" s="1"/>
  <c r="J263" i="5" a="1"/>
  <c r="J263" i="5" s="1"/>
  <c r="K340" i="5" a="1"/>
  <c r="K340" i="5" s="1"/>
  <c r="J340" i="5" a="1"/>
  <c r="J340" i="5" s="1"/>
  <c r="K328" i="5" a="1"/>
  <c r="K328" i="5" s="1"/>
  <c r="J328" i="5" a="1"/>
  <c r="J328" i="5" s="1"/>
  <c r="K316" i="5" a="1"/>
  <c r="K316" i="5" s="1"/>
  <c r="J316" i="5" a="1"/>
  <c r="J316" i="5" s="1"/>
  <c r="K304" i="5" a="1"/>
  <c r="K304" i="5" s="1"/>
  <c r="J304" i="5" a="1"/>
  <c r="J304" i="5" s="1"/>
  <c r="K292" i="5" a="1"/>
  <c r="K292" i="5" s="1"/>
  <c r="J292" i="5" a="1"/>
  <c r="J292" i="5" s="1"/>
  <c r="J498" i="5" a="1"/>
  <c r="J498" i="5" s="1"/>
  <c r="K498" i="5" a="1"/>
  <c r="K498" i="5" s="1"/>
  <c r="J486" i="5" a="1"/>
  <c r="J486" i="5" s="1"/>
  <c r="K486" i="5" a="1"/>
  <c r="K486" i="5" s="1"/>
  <c r="J474" i="5" a="1"/>
  <c r="J474" i="5" s="1"/>
  <c r="K474" i="5" a="1"/>
  <c r="K474" i="5" s="1"/>
  <c r="J462" i="5" a="1"/>
  <c r="J462" i="5" s="1"/>
  <c r="K462" i="5" a="1"/>
  <c r="K462" i="5" s="1"/>
  <c r="J450" i="5" a="1"/>
  <c r="J450" i="5" s="1"/>
  <c r="K450" i="5" a="1"/>
  <c r="K450" i="5" s="1"/>
  <c r="J438" i="5" a="1"/>
  <c r="J438" i="5" s="1"/>
  <c r="K438" i="5" a="1"/>
  <c r="K438" i="5" s="1"/>
  <c r="J426" i="5" a="1"/>
  <c r="J426" i="5" s="1"/>
  <c r="K426" i="5" a="1"/>
  <c r="K426" i="5" s="1"/>
  <c r="J414" i="5" a="1"/>
  <c r="J414" i="5" s="1"/>
  <c r="K414" i="5" a="1"/>
  <c r="K414" i="5" s="1"/>
  <c r="J402" i="5" a="1"/>
  <c r="J402" i="5" s="1"/>
  <c r="K402" i="5" a="1"/>
  <c r="K402" i="5" s="1"/>
  <c r="J390" i="5" a="1"/>
  <c r="J390" i="5" s="1"/>
  <c r="K390" i="5" a="1"/>
  <c r="K390" i="5" s="1"/>
  <c r="J378" i="5" a="1"/>
  <c r="J378" i="5" s="1"/>
  <c r="K378" i="5" a="1"/>
  <c r="K378" i="5" s="1"/>
  <c r="K366" i="5" a="1"/>
  <c r="K366" i="5" s="1"/>
  <c r="J366" i="5" a="1"/>
  <c r="J366" i="5" s="1"/>
  <c r="I104" i="5" a="1"/>
  <c r="I104" i="5" s="1"/>
  <c r="J21" i="5" a="1"/>
  <c r="J21" i="5" s="1"/>
  <c r="J252" i="5" a="1"/>
  <c r="J252" i="5" s="1"/>
  <c r="J286" i="5" a="1"/>
  <c r="J286" i="5" s="1"/>
  <c r="J372" i="5" a="1"/>
  <c r="J372" i="5" s="1"/>
  <c r="K478" i="5" a="1"/>
  <c r="K478" i="5" s="1"/>
  <c r="K202" i="5" a="1"/>
  <c r="K202" i="5" s="1"/>
  <c r="K43" i="5" a="1"/>
  <c r="K43" i="5" s="1"/>
  <c r="J66" i="5" a="1"/>
  <c r="J66" i="5" s="1"/>
  <c r="K66" i="5" a="1"/>
  <c r="K66" i="5" s="1"/>
  <c r="J54" i="5" a="1"/>
  <c r="J54" i="5" s="1"/>
  <c r="K54" i="5" a="1"/>
  <c r="K54" i="5" s="1"/>
  <c r="J42" i="5" a="1"/>
  <c r="J42" i="5" s="1"/>
  <c r="K42" i="5" a="1"/>
  <c r="K42" i="5" s="1"/>
  <c r="J30" i="5" a="1"/>
  <c r="J30" i="5" s="1"/>
  <c r="K30" i="5" a="1"/>
  <c r="K30" i="5" s="1"/>
  <c r="J18" i="5" a="1"/>
  <c r="J18" i="5" s="1"/>
  <c r="K18" i="5" a="1"/>
  <c r="K18" i="5" s="1"/>
  <c r="J6" i="5" a="1"/>
  <c r="J6" i="5" s="1"/>
  <c r="K6" i="5" a="1"/>
  <c r="K6" i="5" s="1"/>
  <c r="J82" i="5" a="1"/>
  <c r="J82" i="5" s="1"/>
  <c r="K82" i="5" a="1"/>
  <c r="K82" i="5" s="1"/>
  <c r="J70" i="5" a="1"/>
  <c r="J70" i="5" s="1"/>
  <c r="K70" i="5" a="1"/>
  <c r="K70" i="5" s="1"/>
  <c r="K114" i="5" a="1"/>
  <c r="K114" i="5" s="1"/>
  <c r="K93" i="5" a="1"/>
  <c r="K93" i="5" s="1"/>
  <c r="K145" i="5" a="1"/>
  <c r="K145" i="5" s="1"/>
  <c r="J145" i="5" a="1"/>
  <c r="J145" i="5" s="1"/>
  <c r="K133" i="5" a="1"/>
  <c r="K133" i="5" s="1"/>
  <c r="J133" i="5" a="1"/>
  <c r="J133" i="5" s="1"/>
  <c r="K177" i="5" a="1"/>
  <c r="K177" i="5" s="1"/>
  <c r="J229" i="5" a="1"/>
  <c r="J229" i="5" s="1"/>
  <c r="K229" i="5" a="1"/>
  <c r="K229" i="5" s="1"/>
  <c r="J217" i="5" a="1"/>
  <c r="J217" i="5" s="1"/>
  <c r="K217" i="5" a="1"/>
  <c r="K217" i="5" s="1"/>
  <c r="J205" i="5" a="1"/>
  <c r="J205" i="5" s="1"/>
  <c r="K205" i="5" a="1"/>
  <c r="K205" i="5" s="1"/>
  <c r="J257" i="5" a="1"/>
  <c r="J257" i="5" s="1"/>
  <c r="K257" i="5" a="1"/>
  <c r="K257" i="5" s="1"/>
  <c r="J245" i="5" a="1"/>
  <c r="J245" i="5" s="1"/>
  <c r="K245" i="5" a="1"/>
  <c r="K245" i="5" s="1"/>
  <c r="J262" i="5" a="1"/>
  <c r="J262" i="5" s="1"/>
  <c r="K339" i="5" a="1"/>
  <c r="K339" i="5" s="1"/>
  <c r="J339" i="5" a="1"/>
  <c r="J339" i="5" s="1"/>
  <c r="K327" i="5" a="1"/>
  <c r="K327" i="5" s="1"/>
  <c r="J327" i="5" a="1"/>
  <c r="J327" i="5" s="1"/>
  <c r="K315" i="5" a="1"/>
  <c r="K315" i="5" s="1"/>
  <c r="J315" i="5" a="1"/>
  <c r="J315" i="5" s="1"/>
  <c r="K303" i="5" a="1"/>
  <c r="K303" i="5" s="1"/>
  <c r="J303" i="5" a="1"/>
  <c r="J303" i="5" s="1"/>
  <c r="K291" i="5" a="1"/>
  <c r="K291" i="5" s="1"/>
  <c r="J291" i="5" a="1"/>
  <c r="J291" i="5" s="1"/>
  <c r="J497" i="5" a="1"/>
  <c r="J497" i="5" s="1"/>
  <c r="K497" i="5" a="1"/>
  <c r="K497" i="5" s="1"/>
  <c r="J485" i="5" a="1"/>
  <c r="J485" i="5" s="1"/>
  <c r="K485" i="5" a="1"/>
  <c r="K485" i="5" s="1"/>
  <c r="J473" i="5" a="1"/>
  <c r="J473" i="5" s="1"/>
  <c r="K473" i="5" a="1"/>
  <c r="K473" i="5" s="1"/>
  <c r="J461" i="5" a="1"/>
  <c r="J461" i="5" s="1"/>
  <c r="K461" i="5" a="1"/>
  <c r="K461" i="5" s="1"/>
  <c r="J449" i="5" a="1"/>
  <c r="J449" i="5" s="1"/>
  <c r="K449" i="5" a="1"/>
  <c r="K449" i="5" s="1"/>
  <c r="J437" i="5" a="1"/>
  <c r="J437" i="5" s="1"/>
  <c r="K437" i="5" a="1"/>
  <c r="K437" i="5" s="1"/>
  <c r="J425" i="5" a="1"/>
  <c r="J425" i="5" s="1"/>
  <c r="K425" i="5" a="1"/>
  <c r="K425" i="5" s="1"/>
  <c r="J413" i="5" a="1"/>
  <c r="J413" i="5" s="1"/>
  <c r="K413" i="5" a="1"/>
  <c r="K413" i="5" s="1"/>
  <c r="J401" i="5" a="1"/>
  <c r="J401" i="5" s="1"/>
  <c r="K401" i="5" a="1"/>
  <c r="K401" i="5" s="1"/>
  <c r="J389" i="5" a="1"/>
  <c r="J389" i="5" s="1"/>
  <c r="K389" i="5" a="1"/>
  <c r="K389" i="5" s="1"/>
  <c r="J377" i="5" a="1"/>
  <c r="J377" i="5" s="1"/>
  <c r="K377" i="5" a="1"/>
  <c r="K377" i="5" s="1"/>
  <c r="K365" i="5" a="1"/>
  <c r="K365" i="5" s="1"/>
  <c r="J365" i="5" a="1"/>
  <c r="J365" i="5" s="1"/>
  <c r="J20" i="5" a="1"/>
  <c r="J20" i="5" s="1"/>
  <c r="J251" i="5" a="1"/>
  <c r="J251" i="5" s="1"/>
  <c r="J345" i="5" a="1"/>
  <c r="J345" i="5" s="1"/>
  <c r="J492" i="5" a="1"/>
  <c r="J492" i="5" s="1"/>
  <c r="K466" i="5" a="1"/>
  <c r="K466" i="5" s="1"/>
  <c r="K31" i="5" a="1"/>
  <c r="K31" i="5" s="1"/>
  <c r="I362" i="5" a="1"/>
  <c r="I362" i="5" s="1"/>
  <c r="I422" i="5" a="1"/>
  <c r="I422" i="5" s="1"/>
  <c r="I410" i="5" a="1"/>
  <c r="I410" i="5" s="1"/>
  <c r="J65" i="5" a="1"/>
  <c r="J65" i="5" s="1"/>
  <c r="K65" i="5" a="1"/>
  <c r="K65" i="5" s="1"/>
  <c r="J53" i="5" a="1"/>
  <c r="J53" i="5" s="1"/>
  <c r="K53" i="5" a="1"/>
  <c r="K53" i="5" s="1"/>
  <c r="J41" i="5" a="1"/>
  <c r="J41" i="5" s="1"/>
  <c r="K41" i="5" a="1"/>
  <c r="K41" i="5" s="1"/>
  <c r="J29" i="5" a="1"/>
  <c r="J29" i="5" s="1"/>
  <c r="K29" i="5" a="1"/>
  <c r="K29" i="5" s="1"/>
  <c r="J17" i="5" a="1"/>
  <c r="J17" i="5" s="1"/>
  <c r="K17" i="5" a="1"/>
  <c r="K17" i="5" s="1"/>
  <c r="J5" i="5" a="1"/>
  <c r="J5" i="5" s="1"/>
  <c r="K5" i="5" a="1"/>
  <c r="K5" i="5" s="1"/>
  <c r="K81" i="5" a="1"/>
  <c r="K81" i="5" s="1"/>
  <c r="K69" i="5" a="1"/>
  <c r="K69" i="5" s="1"/>
  <c r="K104" i="5" a="1"/>
  <c r="K104" i="5" s="1"/>
  <c r="J104" i="5" a="1"/>
  <c r="J104" i="5" s="1"/>
  <c r="J127" i="5" a="1"/>
  <c r="J127" i="5" s="1"/>
  <c r="K127" i="5" a="1"/>
  <c r="K127" i="5" s="1"/>
  <c r="K144" i="5" a="1"/>
  <c r="K144" i="5" s="1"/>
  <c r="J144" i="5" a="1"/>
  <c r="J144" i="5" s="1"/>
  <c r="K132" i="5" a="1"/>
  <c r="K132" i="5" s="1"/>
  <c r="J132" i="5" a="1"/>
  <c r="J132" i="5" s="1"/>
  <c r="K176" i="5" a="1"/>
  <c r="K176" i="5" s="1"/>
  <c r="K228" i="5" a="1"/>
  <c r="K228" i="5" s="1"/>
  <c r="K216" i="5" a="1"/>
  <c r="K216" i="5" s="1"/>
  <c r="K204" i="5" a="1"/>
  <c r="K204" i="5" s="1"/>
  <c r="J256" i="5" a="1"/>
  <c r="J256" i="5" s="1"/>
  <c r="K256" i="5" a="1"/>
  <c r="K256" i="5" s="1"/>
  <c r="J244" i="5" a="1"/>
  <c r="J244" i="5" s="1"/>
  <c r="K244" i="5" a="1"/>
  <c r="K244" i="5" s="1"/>
  <c r="K273" i="5" a="1"/>
  <c r="K273" i="5" s="1"/>
  <c r="J261" i="5" a="1"/>
  <c r="J261" i="5" s="1"/>
  <c r="K261" i="5" a="1"/>
  <c r="K261" i="5" s="1"/>
  <c r="K338" i="5" a="1"/>
  <c r="K338" i="5" s="1"/>
  <c r="J338" i="5" a="1"/>
  <c r="J338" i="5" s="1"/>
  <c r="K326" i="5" a="1"/>
  <c r="K326" i="5" s="1"/>
  <c r="J326" i="5" a="1"/>
  <c r="J326" i="5" s="1"/>
  <c r="K314" i="5" a="1"/>
  <c r="K314" i="5" s="1"/>
  <c r="J314" i="5" a="1"/>
  <c r="J314" i="5" s="1"/>
  <c r="K302" i="5" a="1"/>
  <c r="K302" i="5" s="1"/>
  <c r="J302" i="5" a="1"/>
  <c r="J302" i="5" s="1"/>
  <c r="K290" i="5" a="1"/>
  <c r="K290" i="5" s="1"/>
  <c r="J290" i="5" a="1"/>
  <c r="J290" i="5" s="1"/>
  <c r="J496" i="5" a="1"/>
  <c r="J496" i="5" s="1"/>
  <c r="K496" i="5" a="1"/>
  <c r="K496" i="5" s="1"/>
  <c r="J484" i="5" a="1"/>
  <c r="J484" i="5" s="1"/>
  <c r="K484" i="5" a="1"/>
  <c r="K484" i="5" s="1"/>
  <c r="J472" i="5" a="1"/>
  <c r="J472" i="5" s="1"/>
  <c r="K472" i="5" a="1"/>
  <c r="K472" i="5" s="1"/>
  <c r="J460" i="5" a="1"/>
  <c r="J460" i="5" s="1"/>
  <c r="K460" i="5" a="1"/>
  <c r="K460" i="5" s="1"/>
  <c r="J448" i="5" a="1"/>
  <c r="J448" i="5" s="1"/>
  <c r="K448" i="5" a="1"/>
  <c r="K448" i="5" s="1"/>
  <c r="J436" i="5" a="1"/>
  <c r="J436" i="5" s="1"/>
  <c r="K436" i="5" a="1"/>
  <c r="K436" i="5" s="1"/>
  <c r="J424" i="5" a="1"/>
  <c r="J424" i="5" s="1"/>
  <c r="K424" i="5" a="1"/>
  <c r="K424" i="5" s="1"/>
  <c r="J412" i="5" a="1"/>
  <c r="J412" i="5" s="1"/>
  <c r="K412" i="5" a="1"/>
  <c r="K412" i="5" s="1"/>
  <c r="J400" i="5" a="1"/>
  <c r="J400" i="5" s="1"/>
  <c r="K400" i="5" a="1"/>
  <c r="K400" i="5" s="1"/>
  <c r="J388" i="5" a="1"/>
  <c r="J388" i="5" s="1"/>
  <c r="K388" i="5" a="1"/>
  <c r="K388" i="5" s="1"/>
  <c r="J376" i="5" a="1"/>
  <c r="J376" i="5" s="1"/>
  <c r="K376" i="5" a="1"/>
  <c r="K376" i="5" s="1"/>
  <c r="K364" i="5" a="1"/>
  <c r="K364" i="5" s="1"/>
  <c r="F188" i="5"/>
  <c r="F189" i="5" s="1"/>
  <c r="F190" i="5" s="1"/>
  <c r="F191" i="5" s="1"/>
  <c r="F192" i="5" s="1"/>
  <c r="J81" i="5" a="1"/>
  <c r="J81" i="5" s="1"/>
  <c r="J9" i="5" a="1"/>
  <c r="J9" i="5" s="1"/>
  <c r="J240" i="5" a="1"/>
  <c r="J240" i="5" s="1"/>
  <c r="J480" i="5" a="1"/>
  <c r="J480" i="5" s="1"/>
  <c r="K454" i="5" a="1"/>
  <c r="K454" i="5" s="1"/>
  <c r="K19" i="5" a="1"/>
  <c r="K19" i="5" s="1"/>
  <c r="I361" i="5" a="1"/>
  <c r="I361" i="5" s="1"/>
  <c r="J64" i="5" a="1"/>
  <c r="J64" i="5" s="1"/>
  <c r="K64" i="5" a="1"/>
  <c r="K64" i="5" s="1"/>
  <c r="J52" i="5" a="1"/>
  <c r="J52" i="5" s="1"/>
  <c r="K52" i="5" a="1"/>
  <c r="K52" i="5" s="1"/>
  <c r="J40" i="5" a="1"/>
  <c r="J40" i="5" s="1"/>
  <c r="K40" i="5" a="1"/>
  <c r="K40" i="5" s="1"/>
  <c r="J28" i="5" a="1"/>
  <c r="J28" i="5" s="1"/>
  <c r="K28" i="5" a="1"/>
  <c r="K28" i="5" s="1"/>
  <c r="J16" i="5" a="1"/>
  <c r="J16" i="5" s="1"/>
  <c r="K16" i="5" a="1"/>
  <c r="K16" i="5" s="1"/>
  <c r="J4" i="5" a="1"/>
  <c r="J4" i="5" s="1"/>
  <c r="K4" i="5" a="1"/>
  <c r="K4" i="5" s="1"/>
  <c r="K80" i="5" a="1"/>
  <c r="K80" i="5" s="1"/>
  <c r="K92" i="5" a="1"/>
  <c r="K92" i="5" s="1"/>
  <c r="J103" i="5" a="1"/>
  <c r="J103" i="5" s="1"/>
  <c r="K155" i="5" a="1"/>
  <c r="K155" i="5" s="1"/>
  <c r="J155" i="5" a="1"/>
  <c r="J155" i="5" s="1"/>
  <c r="K143" i="5" a="1"/>
  <c r="K143" i="5" s="1"/>
  <c r="J143" i="5" a="1"/>
  <c r="J143" i="5" s="1"/>
  <c r="K131" i="5" a="1"/>
  <c r="K131" i="5" s="1"/>
  <c r="J131" i="5" a="1"/>
  <c r="J131" i="5" s="1"/>
  <c r="J175" i="5" a="1"/>
  <c r="J175" i="5" s="1"/>
  <c r="K175" i="5" a="1"/>
  <c r="K175" i="5" s="1"/>
  <c r="K227" i="5" a="1"/>
  <c r="K227" i="5" s="1"/>
  <c r="K215" i="5" a="1"/>
  <c r="K215" i="5" s="1"/>
  <c r="K203" i="5" a="1"/>
  <c r="K203" i="5" s="1"/>
  <c r="J255" i="5" a="1"/>
  <c r="J255" i="5" s="1"/>
  <c r="K255" i="5" a="1"/>
  <c r="K255" i="5" s="1"/>
  <c r="J243" i="5" a="1"/>
  <c r="J243" i="5" s="1"/>
  <c r="K243" i="5" a="1"/>
  <c r="K243" i="5" s="1"/>
  <c r="K272" i="5" a="1"/>
  <c r="K272" i="5" s="1"/>
  <c r="J272" i="5" a="1"/>
  <c r="J272" i="5" s="1"/>
  <c r="J260" i="5" a="1"/>
  <c r="J260" i="5" s="1"/>
  <c r="K260" i="5" a="1"/>
  <c r="K260" i="5" s="1"/>
  <c r="K337" i="5" a="1"/>
  <c r="K337" i="5" s="1"/>
  <c r="J337" i="5" a="1"/>
  <c r="J337" i="5" s="1"/>
  <c r="K325" i="5" a="1"/>
  <c r="K325" i="5" s="1"/>
  <c r="J325" i="5" a="1"/>
  <c r="J325" i="5" s="1"/>
  <c r="K313" i="5" a="1"/>
  <c r="K313" i="5" s="1"/>
  <c r="J313" i="5" a="1"/>
  <c r="J313" i="5" s="1"/>
  <c r="K301" i="5" a="1"/>
  <c r="K301" i="5" s="1"/>
  <c r="J301" i="5" a="1"/>
  <c r="J301" i="5" s="1"/>
  <c r="K289" i="5" a="1"/>
  <c r="K289" i="5" s="1"/>
  <c r="J289" i="5" a="1"/>
  <c r="J289" i="5" s="1"/>
  <c r="J495" i="5" a="1"/>
  <c r="J495" i="5" s="1"/>
  <c r="K495" i="5" a="1"/>
  <c r="K495" i="5" s="1"/>
  <c r="J483" i="5" a="1"/>
  <c r="J483" i="5" s="1"/>
  <c r="K483" i="5" a="1"/>
  <c r="K483" i="5" s="1"/>
  <c r="J471" i="5" a="1"/>
  <c r="J471" i="5" s="1"/>
  <c r="K471" i="5" a="1"/>
  <c r="K471" i="5" s="1"/>
  <c r="J459" i="5" a="1"/>
  <c r="J459" i="5" s="1"/>
  <c r="K459" i="5" a="1"/>
  <c r="K459" i="5" s="1"/>
  <c r="J447" i="5" a="1"/>
  <c r="J447" i="5" s="1"/>
  <c r="K447" i="5" a="1"/>
  <c r="K447" i="5" s="1"/>
  <c r="J435" i="5" a="1"/>
  <c r="J435" i="5" s="1"/>
  <c r="K435" i="5" a="1"/>
  <c r="K435" i="5" s="1"/>
  <c r="J423" i="5" a="1"/>
  <c r="J423" i="5" s="1"/>
  <c r="K423" i="5" a="1"/>
  <c r="K423" i="5" s="1"/>
  <c r="J411" i="5" a="1"/>
  <c r="J411" i="5" s="1"/>
  <c r="K411" i="5" a="1"/>
  <c r="K411" i="5" s="1"/>
  <c r="J399" i="5" a="1"/>
  <c r="J399" i="5" s="1"/>
  <c r="K399" i="5" a="1"/>
  <c r="K399" i="5" s="1"/>
  <c r="J387" i="5" a="1"/>
  <c r="J387" i="5" s="1"/>
  <c r="K387" i="5" a="1"/>
  <c r="K387" i="5" s="1"/>
  <c r="J375" i="5" a="1"/>
  <c r="J375" i="5" s="1"/>
  <c r="K375" i="5" a="1"/>
  <c r="K375" i="5" s="1"/>
  <c r="K363" i="5" a="1"/>
  <c r="K363" i="5" s="1"/>
  <c r="J80" i="5" a="1"/>
  <c r="J80" i="5" s="1"/>
  <c r="J8" i="5" a="1"/>
  <c r="J8" i="5" s="1"/>
  <c r="J239" i="5" a="1"/>
  <c r="J239" i="5" s="1"/>
  <c r="J333" i="5" a="1"/>
  <c r="J333" i="5" s="1"/>
  <c r="J468" i="5" a="1"/>
  <c r="J468" i="5" s="1"/>
  <c r="K442" i="5" a="1"/>
  <c r="K442" i="5" s="1"/>
  <c r="K153" i="5" a="1"/>
  <c r="K153" i="5" s="1"/>
  <c r="K7" i="5" a="1"/>
  <c r="K7" i="5" s="1"/>
  <c r="J285" i="5" a="1"/>
  <c r="J285" i="5" s="1"/>
  <c r="I160" i="5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B4" i="6" s="1"/>
  <c r="J362" i="5" a="1"/>
  <c r="J362" i="5" s="1"/>
  <c r="J363" i="5" a="1"/>
  <c r="J363" i="5" s="1"/>
  <c r="J356" i="5" a="1"/>
  <c r="J356" i="5" s="1"/>
  <c r="J357" i="5" a="1"/>
  <c r="J357" i="5" s="1"/>
  <c r="J358" i="5" a="1"/>
  <c r="J358" i="5" s="1"/>
  <c r="J359" i="5" a="1"/>
  <c r="J359" i="5" s="1"/>
  <c r="J360" i="5" a="1"/>
  <c r="J360" i="5" s="1"/>
  <c r="I346" i="5"/>
  <c r="I347" i="5" s="1"/>
  <c r="I348" i="5" s="1"/>
  <c r="I349" i="5" s="1"/>
  <c r="I350" i="5" s="1"/>
  <c r="I351" i="5" s="1"/>
  <c r="I352" i="5" s="1"/>
  <c r="I353" i="5" s="1"/>
  <c r="I354" i="5" s="1"/>
  <c r="J361" i="5" a="1"/>
  <c r="J361" i="5" s="1"/>
  <c r="J284" i="5" a="1"/>
  <c r="J284" i="5" s="1"/>
  <c r="I176" i="5" a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J283" i="5" a="1"/>
  <c r="J283" i="5" s="1"/>
  <c r="I175" i="5" a="1"/>
  <c r="I175" i="5" s="1"/>
  <c r="J282" i="5" a="1"/>
  <c r="J282" i="5" s="1"/>
  <c r="I174" i="5" a="1"/>
  <c r="I174" i="5" s="1"/>
  <c r="I276" i="5"/>
  <c r="I277" i="5" s="1"/>
  <c r="I278" i="5" s="1"/>
  <c r="I279" i="5" s="1"/>
  <c r="I280" i="5" s="1"/>
  <c r="I119" i="5" l="1"/>
  <c r="I124" i="5" a="1"/>
  <c r="I124" i="5" s="1"/>
  <c r="I123" i="5" a="1"/>
  <c r="I123" i="5" s="1"/>
  <c r="I125" i="5" a="1"/>
  <c r="I125" i="5" s="1"/>
  <c r="I126" i="5" a="1"/>
  <c r="I126" i="5" s="1"/>
  <c r="B9" i="6" s="1"/>
  <c r="J115" i="5" a="1"/>
  <c r="J115" i="5" s="1"/>
  <c r="J118" i="5" a="1"/>
  <c r="J118" i="5" s="1"/>
  <c r="J123" i="5" a="1"/>
  <c r="J123" i="5" s="1"/>
  <c r="J116" i="5" a="1"/>
  <c r="J116" i="5" s="1"/>
  <c r="J125" i="5" a="1"/>
  <c r="J125" i="5" s="1"/>
  <c r="I105" i="5"/>
  <c r="I106" i="5" s="1"/>
  <c r="I107" i="5" s="1"/>
  <c r="I108" i="5" s="1"/>
  <c r="I109" i="5" s="1"/>
  <c r="I110" i="5" s="1"/>
  <c r="I111" i="5" s="1"/>
  <c r="I112" i="5" s="1"/>
  <c r="I113" i="5" s="1"/>
  <c r="B2" i="6" s="1"/>
  <c r="J117" i="5" a="1"/>
  <c r="J117" i="5" s="1"/>
  <c r="J186" i="5" a="1"/>
  <c r="J186" i="5" s="1"/>
  <c r="J195" i="5" a="1"/>
  <c r="J195" i="5" s="1"/>
  <c r="J197" i="5" a="1"/>
  <c r="J197" i="5" s="1"/>
  <c r="J194" i="5" a="1"/>
  <c r="J194" i="5" s="1"/>
  <c r="J196" i="5" a="1"/>
  <c r="J196" i="5" s="1"/>
  <c r="J187" i="5" a="1"/>
  <c r="J187" i="5" s="1"/>
  <c r="J193" i="5" a="1"/>
  <c r="J193" i="5" s="1"/>
  <c r="J126" i="5" a="1"/>
  <c r="J126" i="5" s="1"/>
  <c r="B13" i="6" s="1"/>
  <c r="B25" i="6" s="1"/>
  <c r="J114" i="5" a="1"/>
  <c r="J114" i="5" s="1"/>
  <c r="J124" i="5" a="1"/>
  <c r="J124" i="5" s="1"/>
  <c r="I120" i="5"/>
  <c r="I121" i="5" s="1"/>
  <c r="I122" i="5" s="1"/>
  <c r="B11" i="6" s="1"/>
  <c r="I502" i="5"/>
  <c r="B3" i="6"/>
  <c r="C13" i="6" l="1"/>
  <c r="B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Milioritsas, Ioannis</author>
  </authors>
  <commentList>
    <comment ref="J177" authorId="0" shapeId="0" xr:uid="{326463F6-451D-4454-B66E-C2A456F09BA6}">
      <text>
        <r>
          <rPr>
            <b/>
            <sz val="9"/>
            <color indexed="81"/>
            <rFont val="Tahoma"/>
            <family val="2"/>
          </rPr>
          <t>Milioritsas, Ioannis:</t>
        </r>
        <r>
          <rPr>
            <sz val="9"/>
            <color indexed="81"/>
            <rFont val="Tahoma"/>
            <family val="2"/>
          </rPr>
          <t xml:space="preserve">
need this here as no policy effect existed these years, but non-policy did!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<sst xmlns="http://schemas.openxmlformats.org/spreadsheetml/2006/main" count="2383" uniqueCount="152">
  <si>
    <t>id</t>
  </si>
  <si>
    <t>time</t>
  </si>
  <si>
    <t>policy</t>
  </si>
  <si>
    <t>effect_mw</t>
  </si>
  <si>
    <t>benchmark_mw</t>
  </si>
  <si>
    <t>cumulative_effect_mw</t>
  </si>
  <si>
    <t>DEU</t>
  </si>
  <si>
    <t>effect_tisDEU.2004</t>
  </si>
  <si>
    <t>effect_tisDEU.2015</t>
  </si>
  <si>
    <t>ESP</t>
  </si>
  <si>
    <t>effect_fesisESP.2019</t>
  </si>
  <si>
    <t>effect_tisESP.2007</t>
  </si>
  <si>
    <t>effect_tisESP.2017</t>
  </si>
  <si>
    <t>FRA</t>
  </si>
  <si>
    <t>effect_fesisFRA.2010</t>
  </si>
  <si>
    <t>GBR</t>
  </si>
  <si>
    <t>effect_tisGBR.2010</t>
  </si>
  <si>
    <t>effect_tisGBR.2019</t>
  </si>
  <si>
    <t>GRC</t>
  </si>
  <si>
    <t>effect_tisGRC.2016</t>
  </si>
  <si>
    <t>ITA</t>
  </si>
  <si>
    <t>effect_tisITA.2008</t>
  </si>
  <si>
    <t>effect_tisITA.2015</t>
  </si>
  <si>
    <t>NLD</t>
  </si>
  <si>
    <t>effect_tisNLD.2013</t>
  </si>
  <si>
    <t>POL</t>
  </si>
  <si>
    <t>effect_tisPOL.2018</t>
  </si>
  <si>
    <t>year</t>
  </si>
  <si>
    <t>country</t>
  </si>
  <si>
    <t>AUT</t>
  </si>
  <si>
    <t>BEL</t>
  </si>
  <si>
    <t>BGR</t>
  </si>
  <si>
    <t>CZE</t>
  </si>
  <si>
    <t>DNK</t>
  </si>
  <si>
    <t>EST</t>
  </si>
  <si>
    <t>FIN</t>
  </si>
  <si>
    <t>HUN</t>
  </si>
  <si>
    <t>LTU</t>
  </si>
  <si>
    <t>PRT</t>
  </si>
  <si>
    <t>SVN</t>
  </si>
  <si>
    <t>SWE</t>
  </si>
  <si>
    <t>solar.cap</t>
  </si>
  <si>
    <t>end sample year</t>
  </si>
  <si>
    <t>estimated_cumulative_solar_cap_MW</t>
  </si>
  <si>
    <t>Eur_estimated_cum_cap_GW</t>
  </si>
  <si>
    <t>full name</t>
  </si>
  <si>
    <t>dominant instrument</t>
  </si>
  <si>
    <t>cluster name</t>
  </si>
  <si>
    <t>FiT</t>
  </si>
  <si>
    <t>FiT/FiP-based</t>
  </si>
  <si>
    <t>FiT level increased</t>
  </si>
  <si>
    <t>FiT level increased, FiP level increased</t>
  </si>
  <si>
    <t>FiP</t>
  </si>
  <si>
    <t>tax incentive increase</t>
  </si>
  <si>
    <t>policy details</t>
  </si>
  <si>
    <t>policy effects and effect duration</t>
  </si>
  <si>
    <t>policy_group_name</t>
  </si>
  <si>
    <t>cumulative_policy_effect_mw</t>
  </si>
  <si>
    <t>observed cumulative MW deployed</t>
  </si>
  <si>
    <t>estimated cumulative  MW deployed</t>
  </si>
  <si>
    <t>error-adjusted total policy effect in MW</t>
  </si>
  <si>
    <t xml:space="preserve">error-adjusted non-policy &amp; unidentified policy effect in MW </t>
  </si>
  <si>
    <t>cumulative error-adjusted total policy mix effect in MW</t>
  </si>
  <si>
    <t>FiT intro - 2000</t>
  </si>
  <si>
    <t>FiT intro - 2000, FiT level reduced</t>
  </si>
  <si>
    <t>FiT intro - 2000, FiP intro</t>
  </si>
  <si>
    <t>negative break here:FiT degression changed - 2012, soft loan intro</t>
  </si>
  <si>
    <t>FiT degression changed, cap intro, soft loan intro</t>
  </si>
  <si>
    <t>soft loan interest rate increase</t>
  </si>
  <si>
    <r>
      <t xml:space="preserve">tender intro, FiP degression increased, </t>
    </r>
    <r>
      <rPr>
        <b/>
        <sz val="11"/>
        <color theme="1"/>
        <rFont val="Calibri"/>
        <family val="2"/>
        <scheme val="minor"/>
      </rPr>
      <t>new positive break here</t>
    </r>
  </si>
  <si>
    <t>FiP cancelled (except for PV rooftop)</t>
  </si>
  <si>
    <t>FiT cancelled, soft loan cap increased, FiP (PV rooftop) cap removed</t>
  </si>
  <si>
    <t>soft loan cap increased, FiP cancelled</t>
  </si>
  <si>
    <t>-</t>
  </si>
  <si>
    <t>soft loan intro 2012,2013, FiP intro 2011, tender intro 2015 (auction wih FiT) , FiT degression changed, cap intro</t>
  </si>
  <si>
    <t>soft loan intro 2012,2013, FiP intro 2011, tender intro 2015 , FiP cancelled (except for PV rooftop)</t>
  </si>
  <si>
    <t>soft loan intro 2012,2013, FiP intro 2011, tender intro 2015, FiT cancelled, soft loan cap increased, FiP (PV rooftop) cap removed</t>
  </si>
  <si>
    <t>soft loan intro 2012,2013, FiP intro 2011, tender intro 2015, soft loan cap increased, FiP cancelled</t>
  </si>
  <si>
    <t>soft loan intro 2012,2013, FiP intro 2011, tender intro 2015</t>
  </si>
  <si>
    <t>soft loan intro 2012,2013, tender intro 2015</t>
  </si>
  <si>
    <t>FiT level increased 2004, FiP level increased 2004</t>
  </si>
  <si>
    <t>FiT level increased 2004, FiP level increased 2004, FiT support duration increased, cap increased, FiP cancelled</t>
  </si>
  <si>
    <r>
      <t>negative break here: FiT level decresased - 2009, FiP cancelled 2008</t>
    </r>
    <r>
      <rPr>
        <sz val="11"/>
        <color rgb="FF000000"/>
        <rFont val="Calibri"/>
        <family val="2"/>
        <scheme val="minor"/>
      </rPr>
      <t>, FiT cap increased</t>
    </r>
  </si>
  <si>
    <t>FiT suspended</t>
  </si>
  <si>
    <t>FiT cancelled</t>
  </si>
  <si>
    <t>tax deduction cancelled</t>
  </si>
  <si>
    <t>new positive break here</t>
  </si>
  <si>
    <t xml:space="preserve"> FiT level reduced 2011</t>
  </si>
  <si>
    <t>FiT (large PV only) (re)intro, tender capacity supported changed</t>
  </si>
  <si>
    <t>tender capacity supported changed</t>
  </si>
  <si>
    <t>FiT intro 2010, subsidy cancelled</t>
  </si>
  <si>
    <t>FiT intro 2010, TGC phase-out decided</t>
  </si>
  <si>
    <t>FiT intro 2010, FiT degression increased</t>
  </si>
  <si>
    <t>FiT intro 2010, TGC certificated granted reduced, tax exemption cancelled</t>
  </si>
  <si>
    <t>FiT intro 2010, TGC aim increased</t>
  </si>
  <si>
    <r>
      <t xml:space="preserve">FiT intro 2010, </t>
    </r>
    <r>
      <rPr>
        <b/>
        <sz val="11"/>
        <color theme="1"/>
        <rFont val="Calibri"/>
        <family val="2"/>
        <scheme val="minor"/>
      </rPr>
      <t>tender intro (two-sided sliding FIP (CfD))</t>
    </r>
    <r>
      <rPr>
        <sz val="11"/>
        <color rgb="FF000000"/>
        <rFont val="Calibri"/>
        <family val="2"/>
        <scheme val="minor"/>
      </rPr>
      <t>, TGC aim increased, tax exemption cancelled</t>
    </r>
  </si>
  <si>
    <r>
      <t>negative break here: FiT degression increased - 2012, (TGC certificate granted reduced 2013, tax exemption cancelled 2015)</t>
    </r>
    <r>
      <rPr>
        <sz val="11"/>
        <color rgb="FF000000"/>
        <rFont val="Calibri"/>
        <family val="2"/>
        <scheme val="minor"/>
      </rPr>
      <t>, FiT bands changed</t>
    </r>
  </si>
  <si>
    <t>TGC expired</t>
  </si>
  <si>
    <t>negative break here</t>
  </si>
  <si>
    <t>tender intro 2016 (two-sided sliding FIP (CfD)), FiP intro 2015</t>
  </si>
  <si>
    <t>tender intro 2016, FiP intro 2015</t>
  </si>
  <si>
    <t>tender intro 2016, FiP intro 2015, subsidy (PV rooftop) intro</t>
  </si>
  <si>
    <t>FiT intro 2007</t>
  </si>
  <si>
    <t>FiT intro 2007, FiT cap intro, tax incentive level increased</t>
  </si>
  <si>
    <r>
      <t>negative break here: FiT cap intro - 2011</t>
    </r>
    <r>
      <rPr>
        <sz val="11"/>
        <color rgb="FF000000"/>
        <rFont val="Calibri"/>
        <family val="2"/>
        <scheme val="minor"/>
      </rPr>
      <t>, FiT cap increase</t>
    </r>
  </si>
  <si>
    <t>FiT cancelled, cap reached, tax incentive level increased</t>
  </si>
  <si>
    <r>
      <rPr>
        <sz val="11"/>
        <color theme="1"/>
        <rFont val="Calibri"/>
        <family val="2"/>
        <scheme val="minor"/>
      </rPr>
      <t>tender intro (two-sided sliding FIP (CfD))</t>
    </r>
    <r>
      <rPr>
        <sz val="11"/>
        <color rgb="FF000000"/>
        <rFont val="Calibri"/>
        <family val="2"/>
        <scheme val="minor"/>
      </rPr>
      <t>, FiT &amp; FiP (small PV only) intro</t>
    </r>
  </si>
  <si>
    <t>policy instrument</t>
  </si>
  <si>
    <t>error-adjusted Cumulative policy instrument effect in GW</t>
  </si>
  <si>
    <t>Total policy effect</t>
  </si>
  <si>
    <t>Non-policy factors</t>
  </si>
  <si>
    <t xml:space="preserve">Policy effect share </t>
  </si>
  <si>
    <t>reduced tax rate increased 2011, 2013</t>
  </si>
  <si>
    <r>
      <t>reduced tax rate increased 2011, 2013 (</t>
    </r>
    <r>
      <rPr>
        <b/>
        <sz val="11"/>
        <color theme="1"/>
        <rFont val="Calibri"/>
        <family val="2"/>
        <scheme val="minor"/>
      </rPr>
      <t>tender intro</t>
    </r>
    <r>
      <rPr>
        <sz val="11"/>
        <color rgb="FF000000"/>
        <rFont val="Calibri"/>
        <family val="2"/>
        <scheme val="minor"/>
      </rPr>
      <t>)</t>
    </r>
  </si>
  <si>
    <t>difference as model estimated cumulative capacity is not error adjusted!</t>
  </si>
  <si>
    <t>Eur_cum_cap_solar_GW</t>
  </si>
  <si>
    <r>
      <t xml:space="preserve">FiT cancelled, </t>
    </r>
    <r>
      <rPr>
        <b/>
        <sz val="11"/>
        <color rgb="FF000000"/>
        <rFont val="Calibri"/>
        <family val="2"/>
        <scheme val="minor"/>
      </rPr>
      <t>new postive break here</t>
    </r>
  </si>
  <si>
    <t>tax incentive prolonged, FiT (large PV only) cancelled, tender remuneration scheme changed (two-sided sliding FIP (CfD))</t>
  </si>
  <si>
    <t>FiT prolonged 2006, tax incentive prolonged, tender intro (auction wih FiT - PV &amp; PV-rooftop separately)</t>
  </si>
  <si>
    <t>tax incentive prolonged</t>
  </si>
  <si>
    <t>FiT prolonged 2006, tax incentive prolonged (2008), tender intro (auction wih FiT)</t>
  </si>
  <si>
    <t>FiT prolonged 2006, tax incentive prolonged (2008), tender intro (auction wih FiT) 2010, FiT level changed, tender cancelled</t>
  </si>
  <si>
    <t>FiP intro 2008 (PV-superseded) ,2011 (all RE), TGC aim increase</t>
  </si>
  <si>
    <t>FiP, TGC aim increase</t>
  </si>
  <si>
    <t>Soft loan, FiP, Tender</t>
  </si>
  <si>
    <t>Soft loan, Tender</t>
  </si>
  <si>
    <t>Tax incentive increase</t>
  </si>
  <si>
    <t>Tender intro 2014, Tender remuneration scheme changed (Auction with one-sided floating FIP)</t>
  </si>
  <si>
    <t>Tender</t>
  </si>
  <si>
    <t>Tender intro 2014</t>
  </si>
  <si>
    <t>Tender intro 2014, new positive break here</t>
  </si>
  <si>
    <t>Tender intro 2014, Tender remuneration scheme changed, technoloigy-specific Tenders introduced</t>
  </si>
  <si>
    <t>Tender intro 2014, subsidy intro, Tender support duration increased</t>
  </si>
  <si>
    <t>Tender intro 2014, tax incentive intro, Tender support duration decreased</t>
  </si>
  <si>
    <t>Tender intro 2014, tax incenitve cancelled</t>
  </si>
  <si>
    <t>Tender intro 2014, Tender remuneration scheme chganged, technology-specific Tenders introduced</t>
  </si>
  <si>
    <t>Tender intro 2014, tax incentive cancelled</t>
  </si>
  <si>
    <t>Tender intro (two-sided sliding FIP (CfD)) 2015</t>
  </si>
  <si>
    <t>Tender intro (two-sided sliding FIP (CfD)) 2015, FiP introduced</t>
  </si>
  <si>
    <t>Tender intro 2016</t>
  </si>
  <si>
    <t xml:space="preserve">Tender intro 2016 </t>
  </si>
  <si>
    <t>Tender intro 2016 , subsidy support level decreased</t>
  </si>
  <si>
    <t>Tender intro 2016, subsidy support level increased</t>
  </si>
  <si>
    <t>Tender intro 2016, soft loan ended, subsidy intro, subsidy budget increased</t>
  </si>
  <si>
    <t>Tender, FiP</t>
  </si>
  <si>
    <t>Tax-based</t>
  </si>
  <si>
    <t>Tender-based</t>
  </si>
  <si>
    <t>FiT prolonged, Tax incentive prolonged, Tender</t>
  </si>
  <si>
    <t>Tender, FiT level increased, Tax incentive prolonged</t>
  </si>
  <si>
    <t>Tax incentive</t>
  </si>
  <si>
    <t xml:space="preserve">Policy mix </t>
  </si>
  <si>
    <t>Other single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</si>
</sst>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7" fillId="0" borderId="0"/>
    <xf numFmtId="0" fontId="4" fillId="0" borderId="0"/>
  </cellStyleXfs>
  <cellXfs count="24">
    <xf numFmtId="0" fontId="0" fillId="0" borderId="0" xfId="0"/>
    <xf numFmtId="0" fontId="8" fillId="2" borderId="0" xfId="2" applyFont="1" applyFill="1"/>
    <xf numFmtId="164" fontId="0" fillId="0" borderId="0" xfId="0" applyNumberFormat="1"/>
    <xf numFmtId="0" fontId="7" fillId="0" borderId="0" xfId="2"/>
    <xf numFmtId="0" fontId="6" fillId="0" borderId="0" xfId="3" applyFont="1"/>
    <xf numFmtId="0" fontId="4" fillId="0" borderId="0" xfId="3"/>
    <xf numFmtId="0" fontId="0" fillId="0" borderId="0" xfId="0" applyAlignment="1">
      <alignment wrapText="1"/>
    </xf>
    <xf numFmtId="0" fontId="0" fillId="0" borderId="0" xfId="0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8" fillId="0" borderId="0" xfId="0" applyFont="1" applyAlignment="1"/>
    <xf numFmtId="0" fontId="4" fillId="0" borderId="0" xfId="0" applyFont="1" applyAlignment="1">
      <alignment wrapText="1"/>
    </xf>
    <xf numFmtId="0" fontId="0" fillId="0" borderId="0" xfId="0" applyFont="1" applyAlignment="1"/>
    <xf numFmtId="0" fontId="4" fillId="0" borderId="0" xfId="0" applyFont="1" applyAlignment="1"/>
    <xf numFmtId="0" fontId="6" fillId="0" borderId="0" xfId="0" applyFont="1"/>
    <xf numFmtId="165" fontId="8" fillId="0" borderId="0" xfId="1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1" fontId="0" fillId="0" borderId="0" xfId="0" applyNumberFormat="1"/>
    <xf numFmtId="0" fontId="3" fillId="0" borderId="0" xfId="3" applyFont="1"/>
    <xf numFmtId="0" fontId="2" fillId="0" borderId="0" xfId="0" applyFont="1" applyAlignment="1"/>
    <xf numFmtId="0" fontId="2" fillId="0" borderId="0" xfId="3" applyFont="1"/>
    <xf numFmtId="0" fontId="2" fillId="0" borderId="0" xfId="3" applyFont="1" applyAlignment="1">
      <alignment wrapText="1"/>
    </xf>
    <xf numFmtId="0" fontId="1" fillId="0" borderId="0" xfId="3" applyFont="1"/>
  </cellXfs>
  <cellStyles count="4">
    <cellStyle name="Normal" xfId="0" builtinId="0"/>
    <cellStyle name="Normal 2" xfId="2" xr:uid="{F534230A-A9AD-43DF-82C9-EFD3E5550492}"/>
    <cellStyle name="Normal 3" xfId="3" xr:uid="{E7978008-8481-458F-8480-4A117E4CF6A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0AF9-EDD6-4EA4-AB31-8DCEAC6D5062}">
  <sheetPr filterMode="1">
    <tabColor rgb="FFFF0000"/>
  </sheetPr>
  <dimension ref="A1:K502"/>
  <sheetViews>
    <sheetView zoomScale="80" zoomScaleNormal="80" workbookViewId="0">
      <pane xSplit="2" ySplit="1" topLeftCell="C257" activePane="bottomRight" state="frozen"/>
      <selection pane="topRight" activeCell="C1" sqref="C1"/>
      <selection pane="bottomLeft" activeCell="A2" sqref="A2"/>
      <selection pane="bottomRight" activeCell="E307" sqref="E307"/>
    </sheetView>
  </sheetViews>
  <sheetFormatPr defaultRowHeight="14.5" x14ac:dyDescent="0.35"/>
  <cols>
    <col min="1" max="1" width="4.6328125" style="7" bestFit="1" customWidth="1"/>
    <col min="2" max="2" width="7.6328125" style="7" bestFit="1" customWidth="1"/>
    <col min="3" max="3" width="39.1796875" style="7" customWidth="1"/>
    <col min="4" max="4" width="28.453125" style="7" bestFit="1" customWidth="1"/>
    <col min="5" max="5" width="17.453125" style="7" bestFit="1" customWidth="1"/>
    <col min="6" max="6" width="25.90625" style="7" bestFit="1" customWidth="1"/>
    <col min="7" max="7" width="30.7265625" style="7" bestFit="1" customWidth="1"/>
    <col min="8" max="8" width="31.7265625" style="7" bestFit="1" customWidth="1"/>
    <col min="9" max="9" width="34.1796875" style="7" bestFit="1" customWidth="1"/>
    <col min="10" max="10" width="52.26953125" style="7" bestFit="1" customWidth="1"/>
    <col min="11" max="11" width="47.453125" style="7" bestFit="1" customWidth="1"/>
  </cols>
  <sheetData>
    <row r="1" spans="1:11" s="6" customFormat="1" x14ac:dyDescent="0.35">
      <c r="A1" s="7" t="s">
        <v>0</v>
      </c>
      <c r="B1" s="7" t="s">
        <v>1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</row>
    <row r="2" spans="1:11" s="7" customFormat="1" hidden="1" x14ac:dyDescent="0.35">
      <c r="A2" s="7" t="s">
        <v>29</v>
      </c>
      <c r="B2" s="7">
        <v>2001</v>
      </c>
      <c r="D2" s="7" t="s">
        <v>73</v>
      </c>
      <c r="E2" s="7" t="str" cm="1">
        <f t="array" ref="E2">_xlfn.IFS(D2=policy_name_clustering!$A$2,policy_name_clustering!$C$2,D2=policy_name_clustering!$A$3,policy_name_clustering!$C$3,D2=policy_name_clustering!$A$4,policy_name_clustering!$C$4,D2=policy_name_clustering!$A$5,policy_name_clustering!$C$5,D2=policy_name_clustering!$A$6,policy_name_clustering!$C$6,D2=policy_name_clustering!$A$7,policy_name_clustering!$C$7,D2=policy_name_clustering!$A$8,policy_name_clustering!$C$8,D2=policy_name_clustering!$A$9,policy_name_clustering!$C$9,D2=policy_name_clustering!$A$10,policy_name_clustering!$C$10,D2=policy_name_clustering!$A$11,policy_name_clustering!$C$11,D2=policy_name_clustering!$A$12,policy_name_clustering!$C$12,D2="-","")</f>
        <v/>
      </c>
      <c r="G2" s="7">
        <f>solar_cum_cap!C3</f>
        <v>7</v>
      </c>
      <c r="H2" s="7">
        <f>estimated_capacity!C2</f>
        <v>37.662573053836098</v>
      </c>
      <c r="I2" s="7" cm="1">
        <f t="array" ref="I2">_xlfn.IFS(D2= ""," ",D2&lt;&gt; " ",F2*(G2/H2))</f>
        <v>0</v>
      </c>
      <c r="J2" s="7" cm="1">
        <f t="array" ref="J2">_xlfn.IFS(D2= ""," ",D2&lt;&gt; " ",(H2-F2)*(G2/H2))</f>
        <v>7</v>
      </c>
      <c r="K2" s="7" cm="1">
        <f t="array" ref="K2">IF(ISNUMBER(H2),_xlfn.IFS(D2= ""," ",D2&lt;&gt; " ",F2*(G2/H2)),"")</f>
        <v>0</v>
      </c>
    </row>
    <row r="3" spans="1:11" s="7" customFormat="1" hidden="1" x14ac:dyDescent="0.35">
      <c r="A3" s="7" t="s">
        <v>29</v>
      </c>
      <c r="B3" s="7">
        <v>2002</v>
      </c>
      <c r="D3" s="7" t="s">
        <v>73</v>
      </c>
      <c r="E3" s="7" t="str" cm="1">
        <f t="array" ref="E3">_xlfn.IFS(D3=policy_name_clustering!$A$2,policy_name_clustering!$C$2,D3=policy_name_clustering!$A$3,policy_name_clustering!$C$3,D3=policy_name_clustering!$A$4,policy_name_clustering!$C$4,D3=policy_name_clustering!$A$5,policy_name_clustering!$C$5,D3=policy_name_clustering!$A$6,policy_name_clustering!$C$6,D3=policy_name_clustering!$A$7,policy_name_clustering!$C$7,D3=policy_name_clustering!$A$8,policy_name_clustering!$C$8,D3=policy_name_clustering!$A$9,policy_name_clustering!$C$9,D3=policy_name_clustering!$A$10,policy_name_clustering!$C$10,D3=policy_name_clustering!$A$11,policy_name_clustering!$C$11,D3=policy_name_clustering!$A$12,policy_name_clustering!$C$12,D3="-","")</f>
        <v/>
      </c>
      <c r="G3" s="7">
        <f>solar_cum_cap!C4</f>
        <v>9</v>
      </c>
      <c r="H3" s="7">
        <f>estimated_capacity!C3</f>
        <v>67.605946259848594</v>
      </c>
      <c r="I3" s="7" cm="1">
        <f t="array" ref="I3">_xlfn.IFS(D3= ""," ",D3&lt;&gt; " ",F3*(G3/H3))</f>
        <v>0</v>
      </c>
      <c r="J3" s="7" cm="1">
        <f t="array" ref="J3">_xlfn.IFS(D3= ""," ",D3&lt;&gt; " ",(H3-F3)*(G3/H3))</f>
        <v>9</v>
      </c>
      <c r="K3" s="7" cm="1">
        <f t="array" ref="K3">IF(ISNUMBER(H3),_xlfn.IFS(D3= ""," ",D3&lt;&gt; " ",F3*(G3/H3)),"")</f>
        <v>0</v>
      </c>
    </row>
    <row r="4" spans="1:11" s="7" customFormat="1" hidden="1" x14ac:dyDescent="0.35">
      <c r="A4" s="7" t="s">
        <v>29</v>
      </c>
      <c r="B4" s="7">
        <v>2003</v>
      </c>
      <c r="D4" s="7" t="s">
        <v>73</v>
      </c>
      <c r="E4" s="7" t="str" cm="1">
        <f t="array" ref="E4">_xlfn.IFS(D4=policy_name_clustering!$A$2,policy_name_clustering!$C$2,D4=policy_name_clustering!$A$3,policy_name_clustering!$C$3,D4=policy_name_clustering!$A$4,policy_name_clustering!$C$4,D4=policy_name_clustering!$A$5,policy_name_clustering!$C$5,D4=policy_name_clustering!$A$6,policy_name_clustering!$C$6,D4=policy_name_clustering!$A$7,policy_name_clustering!$C$7,D4=policy_name_clustering!$A$8,policy_name_clustering!$C$8,D4=policy_name_clustering!$A$9,policy_name_clustering!$C$9,D4=policy_name_clustering!$A$10,policy_name_clustering!$C$10,D4=policy_name_clustering!$A$11,policy_name_clustering!$C$11,D4=policy_name_clustering!$A$12,policy_name_clustering!$C$12,D4="-","")</f>
        <v/>
      </c>
      <c r="G4" s="7">
        <f>solar_cum_cap!C5</f>
        <v>23</v>
      </c>
      <c r="H4" s="7">
        <f>estimated_capacity!C4</f>
        <v>111.458532541628</v>
      </c>
      <c r="I4" s="7" cm="1">
        <f t="array" ref="I4">_xlfn.IFS(D4= ""," ",D4&lt;&gt; " ",F4*(G4/H4))</f>
        <v>0</v>
      </c>
      <c r="J4" s="7" cm="1">
        <f t="array" ref="J4">_xlfn.IFS(D4= ""," ",D4&lt;&gt; " ",(H4-F4)*(G4/H4))</f>
        <v>23</v>
      </c>
      <c r="K4" s="7" cm="1">
        <f t="array" ref="K4">IF(ISNUMBER(H4),_xlfn.IFS(D4= ""," ",D4&lt;&gt; " ",F4*(G4/H4)),"")</f>
        <v>0</v>
      </c>
    </row>
    <row r="5" spans="1:11" s="7" customFormat="1" hidden="1" x14ac:dyDescent="0.35">
      <c r="A5" s="7" t="s">
        <v>29</v>
      </c>
      <c r="B5" s="7">
        <v>2004</v>
      </c>
      <c r="D5" s="7" t="s">
        <v>73</v>
      </c>
      <c r="E5" s="7" t="str" cm="1">
        <f t="array" ref="E5">_xlfn.IFS(D5=policy_name_clustering!$A$2,policy_name_clustering!$C$2,D5=policy_name_clustering!$A$3,policy_name_clustering!$C$3,D5=policy_name_clustering!$A$4,policy_name_clustering!$C$4,D5=policy_name_clustering!$A$5,policy_name_clustering!$C$5,D5=policy_name_clustering!$A$6,policy_name_clustering!$C$6,D5=policy_name_clustering!$A$7,policy_name_clustering!$C$7,D5=policy_name_clustering!$A$8,policy_name_clustering!$C$8,D5=policy_name_clustering!$A$9,policy_name_clustering!$C$9,D5=policy_name_clustering!$A$10,policy_name_clustering!$C$10,D5=policy_name_clustering!$A$11,policy_name_clustering!$C$11,D5=policy_name_clustering!$A$12,policy_name_clustering!$C$12,D5="-","")</f>
        <v/>
      </c>
      <c r="G5" s="7">
        <f>solar_cum_cap!C6</f>
        <v>27</v>
      </c>
      <c r="H5" s="7">
        <f>estimated_capacity!C5</f>
        <v>179.590202460499</v>
      </c>
      <c r="I5" s="7" cm="1">
        <f t="array" ref="I5">_xlfn.IFS(D5= ""," ",D5&lt;&gt; " ",F5*(G5/H5))</f>
        <v>0</v>
      </c>
      <c r="J5" s="7" cm="1">
        <f t="array" ref="J5">_xlfn.IFS(D5= ""," ",D5&lt;&gt; " ",(H5-F5)*(G5/H5))</f>
        <v>27</v>
      </c>
      <c r="K5" s="7" cm="1">
        <f t="array" ref="K5">IF(ISNUMBER(H5),_xlfn.IFS(D5= ""," ",D5&lt;&gt; " ",F5*(G5/H5)),"")</f>
        <v>0</v>
      </c>
    </row>
    <row r="6" spans="1:11" s="7" customFormat="1" hidden="1" x14ac:dyDescent="0.35">
      <c r="A6" s="7" t="s">
        <v>29</v>
      </c>
      <c r="B6" s="7">
        <v>2005</v>
      </c>
      <c r="D6" s="7" t="s">
        <v>73</v>
      </c>
      <c r="E6" s="7" t="str" cm="1">
        <f t="array" ref="E6">_xlfn.IFS(D6=policy_name_clustering!$A$2,policy_name_clustering!$C$2,D6=policy_name_clustering!$A$3,policy_name_clustering!$C$3,D6=policy_name_clustering!$A$4,policy_name_clustering!$C$4,D6=policy_name_clustering!$A$5,policy_name_clustering!$C$5,D6=policy_name_clustering!$A$6,policy_name_clustering!$C$6,D6=policy_name_clustering!$A$7,policy_name_clustering!$C$7,D6=policy_name_clustering!$A$8,policy_name_clustering!$C$8,D6=policy_name_clustering!$A$9,policy_name_clustering!$C$9,D6=policy_name_clustering!$A$10,policy_name_clustering!$C$10,D6=policy_name_clustering!$A$11,policy_name_clustering!$C$11,D6=policy_name_clustering!$A$12,policy_name_clustering!$C$12,D6="-","")</f>
        <v/>
      </c>
      <c r="G6" s="7">
        <f>solar_cum_cap!C7</f>
        <v>21.018000000000001</v>
      </c>
      <c r="H6" s="7">
        <f>estimated_capacity!C6</f>
        <v>248.19561843428301</v>
      </c>
      <c r="I6" s="7" cm="1">
        <f t="array" ref="I6">_xlfn.IFS(D6= ""," ",D6&lt;&gt; " ",F6*(G6/H6))</f>
        <v>0</v>
      </c>
      <c r="J6" s="7" cm="1">
        <f t="array" ref="J6">_xlfn.IFS(D6= ""," ",D6&lt;&gt; " ",(H6-F6)*(G6/H6))</f>
        <v>21.018000000000001</v>
      </c>
      <c r="K6" s="7" cm="1">
        <f t="array" ref="K6">IF(ISNUMBER(H6),_xlfn.IFS(D6= ""," ",D6&lt;&gt; " ",F6*(G6/H6)),"")</f>
        <v>0</v>
      </c>
    </row>
    <row r="7" spans="1:11" s="7" customFormat="1" hidden="1" x14ac:dyDescent="0.35">
      <c r="A7" s="7" t="s">
        <v>29</v>
      </c>
      <c r="B7" s="7">
        <v>2006</v>
      </c>
      <c r="D7" s="7" t="s">
        <v>73</v>
      </c>
      <c r="E7" s="7" t="str" cm="1">
        <f t="array" ref="E7">_xlfn.IFS(D7=policy_name_clustering!$A$2,policy_name_clustering!$C$2,D7=policy_name_clustering!$A$3,policy_name_clustering!$C$3,D7=policy_name_clustering!$A$4,policy_name_clustering!$C$4,D7=policy_name_clustering!$A$5,policy_name_clustering!$C$5,D7=policy_name_clustering!$A$6,policy_name_clustering!$C$6,D7=policy_name_clustering!$A$7,policy_name_clustering!$C$7,D7=policy_name_clustering!$A$8,policy_name_clustering!$C$8,D7=policy_name_clustering!$A$9,policy_name_clustering!$C$9,D7=policy_name_clustering!$A$10,policy_name_clustering!$C$10,D7=policy_name_clustering!$A$11,policy_name_clustering!$C$11,D7=policy_name_clustering!$A$12,policy_name_clustering!$C$12,D7="-","")</f>
        <v/>
      </c>
      <c r="G7" s="7">
        <f>solar_cum_cap!C8</f>
        <v>22.387</v>
      </c>
      <c r="H7" s="7">
        <f>estimated_capacity!C7</f>
        <v>322.68045763181402</v>
      </c>
      <c r="I7" s="7" cm="1">
        <f t="array" ref="I7">_xlfn.IFS(D7= ""," ",D7&lt;&gt; " ",F7*(G7/H7))</f>
        <v>0</v>
      </c>
      <c r="J7" s="7" cm="1">
        <f t="array" ref="J7">_xlfn.IFS(D7= ""," ",D7&lt;&gt; " ",(H7-F7)*(G7/H7))</f>
        <v>22.387</v>
      </c>
      <c r="K7" s="7" cm="1">
        <f t="array" ref="K7">IF(ISNUMBER(H7),_xlfn.IFS(D7= ""," ",D7&lt;&gt; " ",F7*(G7/H7)),"")</f>
        <v>0</v>
      </c>
    </row>
    <row r="8" spans="1:11" s="7" customFormat="1" hidden="1" x14ac:dyDescent="0.35">
      <c r="A8" s="7" t="s">
        <v>29</v>
      </c>
      <c r="B8" s="7">
        <v>2007</v>
      </c>
      <c r="D8" s="7" t="s">
        <v>73</v>
      </c>
      <c r="E8" s="7" t="str" cm="1">
        <f t="array" ref="E8">_xlfn.IFS(D8=policy_name_clustering!$A$2,policy_name_clustering!$C$2,D8=policy_name_clustering!$A$3,policy_name_clustering!$C$3,D8=policy_name_clustering!$A$4,policy_name_clustering!$C$4,D8=policy_name_clustering!$A$5,policy_name_clustering!$C$5,D8=policy_name_clustering!$A$6,policy_name_clustering!$C$6,D8=policy_name_clustering!$A$7,policy_name_clustering!$C$7,D8=policy_name_clustering!$A$8,policy_name_clustering!$C$8,D8=policy_name_clustering!$A$9,policy_name_clustering!$C$9,D8=policy_name_clustering!$A$10,policy_name_clustering!$C$10,D8=policy_name_clustering!$A$11,policy_name_clustering!$C$11,D8=policy_name_clustering!$A$12,policy_name_clustering!$C$12,D8="-","")</f>
        <v/>
      </c>
      <c r="G8" s="7">
        <f>solar_cum_cap!C9</f>
        <v>24.238</v>
      </c>
      <c r="H8" s="7">
        <f>estimated_capacity!C8</f>
        <v>402.12565359890198</v>
      </c>
      <c r="I8" s="7" cm="1">
        <f t="array" ref="I8">_xlfn.IFS(D8= ""," ",D8&lt;&gt; " ",F8*(G8/H8))</f>
        <v>0</v>
      </c>
      <c r="J8" s="7" cm="1">
        <f t="array" ref="J8">_xlfn.IFS(D8= ""," ",D8&lt;&gt; " ",(H8-F8)*(G8/H8))</f>
        <v>24.238</v>
      </c>
      <c r="K8" s="7" cm="1">
        <f t="array" ref="K8">IF(ISNUMBER(H8),_xlfn.IFS(D8= ""," ",D8&lt;&gt; " ",F8*(G8/H8)),"")</f>
        <v>0</v>
      </c>
    </row>
    <row r="9" spans="1:11" s="7" customFormat="1" hidden="1" x14ac:dyDescent="0.35">
      <c r="A9" s="7" t="s">
        <v>29</v>
      </c>
      <c r="B9" s="7">
        <v>2008</v>
      </c>
      <c r="D9" s="7" t="s">
        <v>73</v>
      </c>
      <c r="E9" s="7" t="str" cm="1">
        <f t="array" ref="E9">_xlfn.IFS(D9=policy_name_clustering!$A$2,policy_name_clustering!$C$2,D9=policy_name_clustering!$A$3,policy_name_clustering!$C$3,D9=policy_name_clustering!$A$4,policy_name_clustering!$C$4,D9=policy_name_clustering!$A$5,policy_name_clustering!$C$5,D9=policy_name_clustering!$A$6,policy_name_clustering!$C$6,D9=policy_name_clustering!$A$7,policy_name_clustering!$C$7,D9=policy_name_clustering!$A$8,policy_name_clustering!$C$8,D9=policy_name_clustering!$A$9,policy_name_clustering!$C$9,D9=policy_name_clustering!$A$10,policy_name_clustering!$C$10,D9=policy_name_clustering!$A$11,policy_name_clustering!$C$11,D9=policy_name_clustering!$A$12,policy_name_clustering!$C$12,D9="-","")</f>
        <v/>
      </c>
      <c r="G9" s="7">
        <f>solar_cum_cap!C10</f>
        <v>30.12</v>
      </c>
      <c r="H9" s="7">
        <f>estimated_capacity!C9</f>
        <v>499.52628268554298</v>
      </c>
      <c r="I9" s="7" cm="1">
        <f t="array" ref="I9">_xlfn.IFS(D9= ""," ",D9&lt;&gt; " ",F9*(G9/H9))</f>
        <v>0</v>
      </c>
      <c r="J9" s="7" cm="1">
        <f t="array" ref="J9">_xlfn.IFS(D9= ""," ",D9&lt;&gt; " ",(H9-F9)*(G9/H9))</f>
        <v>30.12</v>
      </c>
      <c r="K9" s="7" cm="1">
        <f t="array" ref="K9">IF(ISNUMBER(H9),_xlfn.IFS(D9= ""," ",D9&lt;&gt; " ",F9*(G9/H9)),"")</f>
        <v>0</v>
      </c>
    </row>
    <row r="10" spans="1:11" s="7" customFormat="1" hidden="1" x14ac:dyDescent="0.35">
      <c r="A10" s="7" t="s">
        <v>29</v>
      </c>
      <c r="B10" s="7">
        <v>2009</v>
      </c>
      <c r="D10" s="7" t="s">
        <v>73</v>
      </c>
      <c r="E10" s="7" t="str" cm="1">
        <f t="array" ref="E10">_xlfn.IFS(D10=policy_name_clustering!$A$2,policy_name_clustering!$C$2,D10=policy_name_clustering!$A$3,policy_name_clustering!$C$3,D10=policy_name_clustering!$A$4,policy_name_clustering!$C$4,D10=policy_name_clustering!$A$5,policy_name_clustering!$C$5,D10=policy_name_clustering!$A$6,policy_name_clustering!$C$6,D10=policy_name_clustering!$A$7,policy_name_clustering!$C$7,D10=policy_name_clustering!$A$8,policy_name_clustering!$C$8,D10=policy_name_clustering!$A$9,policy_name_clustering!$C$9,D10=policy_name_clustering!$A$10,policy_name_clustering!$C$10,D10=policy_name_clustering!$A$11,policy_name_clustering!$C$11,D10=policy_name_clustering!$A$12,policy_name_clustering!$C$12,D10="-","")</f>
        <v/>
      </c>
      <c r="G10" s="7">
        <f>solar_cum_cap!C11</f>
        <v>48.914999999999999</v>
      </c>
      <c r="H10" s="7">
        <f>estimated_capacity!C10</f>
        <v>601.77341150974803</v>
      </c>
      <c r="I10" s="7" cm="1">
        <f t="array" ref="I10">_xlfn.IFS(D10= ""," ",D10&lt;&gt; " ",F10*(G10/H10))</f>
        <v>0</v>
      </c>
      <c r="J10" s="7" cm="1">
        <f t="array" ref="J10">_xlfn.IFS(D10= ""," ",D10&lt;&gt; " ",(H10-F10)*(G10/H10))</f>
        <v>48.914999999999999</v>
      </c>
      <c r="K10" s="7" cm="1">
        <f t="array" ref="K10">IF(ISNUMBER(H10),_xlfn.IFS(D10= ""," ",D10&lt;&gt; " ",F10*(G10/H10)),"")</f>
        <v>0</v>
      </c>
    </row>
    <row r="11" spans="1:11" s="7" customFormat="1" hidden="1" x14ac:dyDescent="0.35">
      <c r="A11" s="7" t="s">
        <v>29</v>
      </c>
      <c r="B11" s="7">
        <v>2010</v>
      </c>
      <c r="D11" s="7" t="s">
        <v>73</v>
      </c>
      <c r="E11" s="7" t="str" cm="1">
        <f t="array" ref="E11">_xlfn.IFS(D11=policy_name_clustering!$A$2,policy_name_clustering!$C$2,D11=policy_name_clustering!$A$3,policy_name_clustering!$C$3,D11=policy_name_clustering!$A$4,policy_name_clustering!$C$4,D11=policy_name_clustering!$A$5,policy_name_clustering!$C$5,D11=policy_name_clustering!$A$6,policy_name_clustering!$C$6,D11=policy_name_clustering!$A$7,policy_name_clustering!$C$7,D11=policy_name_clustering!$A$8,policy_name_clustering!$C$8,D11=policy_name_clustering!$A$9,policy_name_clustering!$C$9,D11=policy_name_clustering!$A$10,policy_name_clustering!$C$10,D11=policy_name_clustering!$A$11,policy_name_clustering!$C$11,D11=policy_name_clustering!$A$12,policy_name_clustering!$C$12,D11="-","")</f>
        <v/>
      </c>
      <c r="G11" s="7">
        <f>solar_cum_cap!C12</f>
        <v>88.813000000000002</v>
      </c>
      <c r="H11" s="7">
        <f>estimated_capacity!C11</f>
        <v>745.20817653054803</v>
      </c>
      <c r="I11" s="7" cm="1">
        <f t="array" ref="I11">_xlfn.IFS(D11= ""," ",D11&lt;&gt; " ",F11*(G11/H11))</f>
        <v>0</v>
      </c>
      <c r="J11" s="7" cm="1">
        <f t="array" ref="J11">_xlfn.IFS(D11= ""," ",D11&lt;&gt; " ",(H11-F11)*(G11/H11))</f>
        <v>88.813000000000002</v>
      </c>
      <c r="K11" s="7" cm="1">
        <f t="array" ref="K11">IF(ISNUMBER(H11),_xlfn.IFS(D11= ""," ",D11&lt;&gt; " ",F11*(G11/H11)),"")</f>
        <v>0</v>
      </c>
    </row>
    <row r="12" spans="1:11" s="7" customFormat="1" hidden="1" x14ac:dyDescent="0.35">
      <c r="A12" s="7" t="s">
        <v>29</v>
      </c>
      <c r="B12" s="7">
        <v>2011</v>
      </c>
      <c r="D12" s="7" t="s">
        <v>73</v>
      </c>
      <c r="E12" s="7" t="str" cm="1">
        <f t="array" ref="E12">_xlfn.IFS(D12=policy_name_clustering!$A$2,policy_name_clustering!$C$2,D12=policy_name_clustering!$A$3,policy_name_clustering!$C$3,D12=policy_name_clustering!$A$4,policy_name_clustering!$C$4,D12=policy_name_clustering!$A$5,policy_name_clustering!$C$5,D12=policy_name_clustering!$A$6,policy_name_clustering!$C$6,D12=policy_name_clustering!$A$7,policy_name_clustering!$C$7,D12=policy_name_clustering!$A$8,policy_name_clustering!$C$8,D12=policy_name_clustering!$A$9,policy_name_clustering!$C$9,D12=policy_name_clustering!$A$10,policy_name_clustering!$C$10,D12=policy_name_clustering!$A$11,policy_name_clustering!$C$11,D12=policy_name_clustering!$A$12,policy_name_clustering!$C$12,D12="-","")</f>
        <v/>
      </c>
      <c r="G12" s="7">
        <f>solar_cum_cap!C13</f>
        <v>174.07</v>
      </c>
      <c r="H12" s="7">
        <f>estimated_capacity!C12</f>
        <v>942.06132768279394</v>
      </c>
      <c r="I12" s="7" cm="1">
        <f t="array" ref="I12">_xlfn.IFS(D12= ""," ",D12&lt;&gt; " ",F12*(G12/H12))</f>
        <v>0</v>
      </c>
      <c r="J12" s="7" cm="1">
        <f t="array" ref="J12">_xlfn.IFS(D12= ""," ",D12&lt;&gt; " ",(H12-F12)*(G12/H12))</f>
        <v>174.07</v>
      </c>
      <c r="K12" s="7" cm="1">
        <f t="array" ref="K12">IF(ISNUMBER(H12),_xlfn.IFS(D12= ""," ",D12&lt;&gt; " ",F12*(G12/H12)),"")</f>
        <v>0</v>
      </c>
    </row>
    <row r="13" spans="1:11" s="7" customFormat="1" hidden="1" x14ac:dyDescent="0.35">
      <c r="A13" s="7" t="s">
        <v>29</v>
      </c>
      <c r="B13" s="7">
        <v>2012</v>
      </c>
      <c r="D13" s="7" t="s">
        <v>73</v>
      </c>
      <c r="E13" s="7" t="str" cm="1">
        <f t="array" ref="E13">_xlfn.IFS(D13=policy_name_clustering!$A$2,policy_name_clustering!$C$2,D13=policy_name_clustering!$A$3,policy_name_clustering!$C$3,D13=policy_name_clustering!$A$4,policy_name_clustering!$C$4,D13=policy_name_clustering!$A$5,policy_name_clustering!$C$5,D13=policy_name_clustering!$A$6,policy_name_clustering!$C$6,D13=policy_name_clustering!$A$7,policy_name_clustering!$C$7,D13=policy_name_clustering!$A$8,policy_name_clustering!$C$8,D13=policy_name_clustering!$A$9,policy_name_clustering!$C$9,D13=policy_name_clustering!$A$10,policy_name_clustering!$C$10,D13=policy_name_clustering!$A$11,policy_name_clustering!$C$11,D13=policy_name_clustering!$A$12,policy_name_clustering!$C$12,D13="-","")</f>
        <v/>
      </c>
      <c r="G13" s="7">
        <f>solar_cum_cap!C14</f>
        <v>337.483</v>
      </c>
      <c r="H13" s="7">
        <f>estimated_capacity!C13</f>
        <v>1181.3721924640799</v>
      </c>
      <c r="I13" s="7" cm="1">
        <f t="array" ref="I13">_xlfn.IFS(D13= ""," ",D13&lt;&gt; " ",F13*(G13/H13))</f>
        <v>0</v>
      </c>
      <c r="J13" s="7" cm="1">
        <f t="array" ref="J13">_xlfn.IFS(D13= ""," ",D13&lt;&gt; " ",(H13-F13)*(G13/H13))</f>
        <v>337.483</v>
      </c>
      <c r="K13" s="7" cm="1">
        <f t="array" ref="K13">IF(ISNUMBER(H13),_xlfn.IFS(D13= ""," ",D13&lt;&gt; " ",F13*(G13/H13)),"")</f>
        <v>0</v>
      </c>
    </row>
    <row r="14" spans="1:11" s="7" customFormat="1" hidden="1" x14ac:dyDescent="0.35">
      <c r="A14" s="7" t="s">
        <v>29</v>
      </c>
      <c r="B14" s="7">
        <v>2013</v>
      </c>
      <c r="D14" s="7" t="s">
        <v>73</v>
      </c>
      <c r="E14" s="7" t="str" cm="1">
        <f t="array" ref="E14">_xlfn.IFS(D14=policy_name_clustering!$A$2,policy_name_clustering!$C$2,D14=policy_name_clustering!$A$3,policy_name_clustering!$C$3,D14=policy_name_clustering!$A$4,policy_name_clustering!$C$4,D14=policy_name_clustering!$A$5,policy_name_clustering!$C$5,D14=policy_name_clustering!$A$6,policy_name_clustering!$C$6,D14=policy_name_clustering!$A$7,policy_name_clustering!$C$7,D14=policy_name_clustering!$A$8,policy_name_clustering!$C$8,D14=policy_name_clustering!$A$9,policy_name_clustering!$C$9,D14=policy_name_clustering!$A$10,policy_name_clustering!$C$10,D14=policy_name_clustering!$A$11,policy_name_clustering!$C$11,D14=policy_name_clustering!$A$12,policy_name_clustering!$C$12,D14="-","")</f>
        <v/>
      </c>
      <c r="G14" s="7">
        <f>solar_cum_cap!C15</f>
        <v>625.97400000000005</v>
      </c>
      <c r="H14" s="7">
        <f>estimated_capacity!C14</f>
        <v>1478.00971741488</v>
      </c>
      <c r="I14" s="7" cm="1">
        <f t="array" ref="I14">_xlfn.IFS(D14= ""," ",D14&lt;&gt; " ",F14*(G14/H14))</f>
        <v>0</v>
      </c>
      <c r="J14" s="7" cm="1">
        <f t="array" ref="J14">_xlfn.IFS(D14= ""," ",D14&lt;&gt; " ",(H14-F14)*(G14/H14))</f>
        <v>625.97400000000005</v>
      </c>
      <c r="K14" s="7" cm="1">
        <f t="array" ref="K14">IF(ISNUMBER(H14),_xlfn.IFS(D14= ""," ",D14&lt;&gt; " ",F14*(G14/H14)),"")</f>
        <v>0</v>
      </c>
    </row>
    <row r="15" spans="1:11" s="7" customFormat="1" hidden="1" x14ac:dyDescent="0.35">
      <c r="A15" s="7" t="s">
        <v>29</v>
      </c>
      <c r="B15" s="7">
        <v>2014</v>
      </c>
      <c r="D15" s="7" t="s">
        <v>73</v>
      </c>
      <c r="E15" s="7" t="str" cm="1">
        <f t="array" ref="E15">_xlfn.IFS(D15=policy_name_clustering!$A$2,policy_name_clustering!$C$2,D15=policy_name_clustering!$A$3,policy_name_clustering!$C$3,D15=policy_name_clustering!$A$4,policy_name_clustering!$C$4,D15=policy_name_clustering!$A$5,policy_name_clustering!$C$5,D15=policy_name_clustering!$A$6,policy_name_clustering!$C$6,D15=policy_name_clustering!$A$7,policy_name_clustering!$C$7,D15=policy_name_clustering!$A$8,policy_name_clustering!$C$8,D15=policy_name_clustering!$A$9,policy_name_clustering!$C$9,D15=policy_name_clustering!$A$10,policy_name_clustering!$C$10,D15=policy_name_clustering!$A$11,policy_name_clustering!$C$11,D15=policy_name_clustering!$A$12,policy_name_clustering!$C$12,D15="-","")</f>
        <v/>
      </c>
      <c r="G15" s="7">
        <f>solar_cum_cap!C16</f>
        <v>785.24599999999998</v>
      </c>
      <c r="H15" s="7">
        <f>estimated_capacity!C15</f>
        <v>1789.77984982015</v>
      </c>
      <c r="I15" s="7" cm="1">
        <f t="array" ref="I15">_xlfn.IFS(D15= ""," ",D15&lt;&gt; " ",F15*(G15/H15))</f>
        <v>0</v>
      </c>
      <c r="J15" s="7" cm="1">
        <f t="array" ref="J15">_xlfn.IFS(D15= ""," ",D15&lt;&gt; " ",(H15-F15)*(G15/H15))</f>
        <v>785.24599999999998</v>
      </c>
      <c r="K15" s="7" cm="1">
        <f t="array" ref="K15">IF(ISNUMBER(H15),_xlfn.IFS(D15= ""," ",D15&lt;&gt; " ",F15*(G15/H15)),"")</f>
        <v>0</v>
      </c>
    </row>
    <row r="16" spans="1:11" s="7" customFormat="1" hidden="1" x14ac:dyDescent="0.35">
      <c r="A16" s="7" t="s">
        <v>29</v>
      </c>
      <c r="B16" s="7">
        <v>2015</v>
      </c>
      <c r="D16" s="7" t="s">
        <v>73</v>
      </c>
      <c r="E16" s="7" t="str" cm="1">
        <f t="array" ref="E16">_xlfn.IFS(D16=policy_name_clustering!$A$2,policy_name_clustering!$C$2,D16=policy_name_clustering!$A$3,policy_name_clustering!$C$3,D16=policy_name_clustering!$A$4,policy_name_clustering!$C$4,D16=policy_name_clustering!$A$5,policy_name_clustering!$C$5,D16=policy_name_clustering!$A$6,policy_name_clustering!$C$6,D16=policy_name_clustering!$A$7,policy_name_clustering!$C$7,D16=policy_name_clustering!$A$8,policy_name_clustering!$C$8,D16=policy_name_clustering!$A$9,policy_name_clustering!$C$9,D16=policy_name_clustering!$A$10,policy_name_clustering!$C$10,D16=policy_name_clustering!$A$11,policy_name_clustering!$C$11,D16=policy_name_clustering!$A$12,policy_name_clustering!$C$12,D16="-","")</f>
        <v/>
      </c>
      <c r="G16" s="7">
        <f>solar_cum_cap!C17</f>
        <v>937.09799999999996</v>
      </c>
      <c r="H16" s="7">
        <f>estimated_capacity!C16</f>
        <v>2056.9107953227799</v>
      </c>
      <c r="I16" s="7" cm="1">
        <f t="array" ref="I16">_xlfn.IFS(D16= ""," ",D16&lt;&gt; " ",F16*(G16/H16))</f>
        <v>0</v>
      </c>
      <c r="J16" s="7" cm="1">
        <f t="array" ref="J16">_xlfn.IFS(D16= ""," ",D16&lt;&gt; " ",(H16-F16)*(G16/H16))</f>
        <v>937.09799999999996</v>
      </c>
      <c r="K16" s="7" cm="1">
        <f t="array" ref="K16">IF(ISNUMBER(H16),_xlfn.IFS(D16= ""," ",D16&lt;&gt; " ",F16*(G16/H16)),"")</f>
        <v>0</v>
      </c>
    </row>
    <row r="17" spans="1:11" s="7" customFormat="1" hidden="1" x14ac:dyDescent="0.35">
      <c r="A17" s="7" t="s">
        <v>29</v>
      </c>
      <c r="B17" s="7">
        <v>2016</v>
      </c>
      <c r="D17" s="7" t="s">
        <v>73</v>
      </c>
      <c r="E17" s="7" t="str" cm="1">
        <f t="array" ref="E17">_xlfn.IFS(D17=policy_name_clustering!$A$2,policy_name_clustering!$C$2,D17=policy_name_clustering!$A$3,policy_name_clustering!$C$3,D17=policy_name_clustering!$A$4,policy_name_clustering!$C$4,D17=policy_name_clustering!$A$5,policy_name_clustering!$C$5,D17=policy_name_clustering!$A$6,policy_name_clustering!$C$6,D17=policy_name_clustering!$A$7,policy_name_clustering!$C$7,D17=policy_name_clustering!$A$8,policy_name_clustering!$C$8,D17=policy_name_clustering!$A$9,policy_name_clustering!$C$9,D17=policy_name_clustering!$A$10,policy_name_clustering!$C$10,D17=policy_name_clustering!$A$11,policy_name_clustering!$C$11,D17=policy_name_clustering!$A$12,policy_name_clustering!$C$12,D17="-","")</f>
        <v/>
      </c>
      <c r="G17" s="7">
        <f>solar_cum_cap!C18</f>
        <v>1096.0160000000001</v>
      </c>
      <c r="H17" s="7">
        <f>estimated_capacity!C17</f>
        <v>2306.72690194598</v>
      </c>
      <c r="I17" s="7" cm="1">
        <f t="array" ref="I17">_xlfn.IFS(D17= ""," ",D17&lt;&gt; " ",F17*(G17/H17))</f>
        <v>0</v>
      </c>
      <c r="J17" s="7" cm="1">
        <f t="array" ref="J17">_xlfn.IFS(D17= ""," ",D17&lt;&gt; " ",(H17-F17)*(G17/H17))</f>
        <v>1096.0160000000001</v>
      </c>
      <c r="K17" s="7" cm="1">
        <f t="array" ref="K17">IF(ISNUMBER(H17),_xlfn.IFS(D17= ""," ",D17&lt;&gt; " ",F17*(G17/H17)),"")</f>
        <v>0</v>
      </c>
    </row>
    <row r="18" spans="1:11" s="7" customFormat="1" hidden="1" x14ac:dyDescent="0.35">
      <c r="A18" s="7" t="s">
        <v>29</v>
      </c>
      <c r="B18" s="7">
        <v>2017</v>
      </c>
      <c r="D18" s="7" t="s">
        <v>73</v>
      </c>
      <c r="E18" s="7" t="str" cm="1">
        <f t="array" ref="E18">_xlfn.IFS(D18=policy_name_clustering!$A$2,policy_name_clustering!$C$2,D18=policy_name_clustering!$A$3,policy_name_clustering!$C$3,D18=policy_name_clustering!$A$4,policy_name_clustering!$C$4,D18=policy_name_clustering!$A$5,policy_name_clustering!$C$5,D18=policy_name_clustering!$A$6,policy_name_clustering!$C$6,D18=policy_name_clustering!$A$7,policy_name_clustering!$C$7,D18=policy_name_clustering!$A$8,policy_name_clustering!$C$8,D18=policy_name_clustering!$A$9,policy_name_clustering!$C$9,D18=policy_name_clustering!$A$10,policy_name_clustering!$C$10,D18=policy_name_clustering!$A$11,policy_name_clustering!$C$11,D18=policy_name_clustering!$A$12,policy_name_clustering!$C$12,D18="-","")</f>
        <v/>
      </c>
      <c r="G18" s="7">
        <f>solar_cum_cap!C19</f>
        <v>1268.971</v>
      </c>
      <c r="H18" s="7">
        <f>estimated_capacity!C18</f>
        <v>2608.7572250563298</v>
      </c>
      <c r="I18" s="7" cm="1">
        <f t="array" ref="I18">_xlfn.IFS(D18= ""," ",D18&lt;&gt; " ",F18*(G18/H18))</f>
        <v>0</v>
      </c>
      <c r="J18" s="7" cm="1">
        <f t="array" ref="J18">_xlfn.IFS(D18= ""," ",D18&lt;&gt; " ",(H18-F18)*(G18/H18))</f>
        <v>1268.971</v>
      </c>
      <c r="K18" s="7" cm="1">
        <f t="array" ref="K18">IF(ISNUMBER(H18),_xlfn.IFS(D18= ""," ",D18&lt;&gt; " ",F18*(G18/H18)),"")</f>
        <v>0</v>
      </c>
    </row>
    <row r="19" spans="1:11" s="7" customFormat="1" hidden="1" x14ac:dyDescent="0.35">
      <c r="A19" s="7" t="s">
        <v>29</v>
      </c>
      <c r="B19" s="7">
        <v>2018</v>
      </c>
      <c r="D19" s="7" t="s">
        <v>73</v>
      </c>
      <c r="E19" s="7" t="str" cm="1">
        <f t="array" ref="E19">_xlfn.IFS(D19=policy_name_clustering!$A$2,policy_name_clustering!$C$2,D19=policy_name_clustering!$A$3,policy_name_clustering!$C$3,D19=policy_name_clustering!$A$4,policy_name_clustering!$C$4,D19=policy_name_clustering!$A$5,policy_name_clustering!$C$5,D19=policy_name_clustering!$A$6,policy_name_clustering!$C$6,D19=policy_name_clustering!$A$7,policy_name_clustering!$C$7,D19=policy_name_clustering!$A$8,policy_name_clustering!$C$8,D19=policy_name_clustering!$A$9,policy_name_clustering!$C$9,D19=policy_name_clustering!$A$10,policy_name_clustering!$C$10,D19=policy_name_clustering!$A$11,policy_name_clustering!$C$11,D19=policy_name_clustering!$A$12,policy_name_clustering!$C$12,D19="-","")</f>
        <v/>
      </c>
      <c r="G19" s="7">
        <f>solar_cum_cap!C20</f>
        <v>1455.1320000000001</v>
      </c>
      <c r="H19" s="7">
        <f>estimated_capacity!C19</f>
        <v>2958.26963868026</v>
      </c>
      <c r="I19" s="7" cm="1">
        <f t="array" ref="I19">_xlfn.IFS(D19= ""," ",D19&lt;&gt; " ",F19*(G19/H19))</f>
        <v>0</v>
      </c>
      <c r="J19" s="7" cm="1">
        <f t="array" ref="J19">_xlfn.IFS(D19= ""," ",D19&lt;&gt; " ",(H19-F19)*(G19/H19))</f>
        <v>1455.1320000000001</v>
      </c>
      <c r="K19" s="7" cm="1">
        <f t="array" ref="K19">IF(ISNUMBER(H19),_xlfn.IFS(D19= ""," ",D19&lt;&gt; " ",F19*(G19/H19)),"")</f>
        <v>0</v>
      </c>
    </row>
    <row r="20" spans="1:11" s="7" customFormat="1" hidden="1" x14ac:dyDescent="0.35">
      <c r="A20" s="7" t="s">
        <v>29</v>
      </c>
      <c r="B20" s="7">
        <v>2019</v>
      </c>
      <c r="D20" s="7" t="s">
        <v>73</v>
      </c>
      <c r="E20" s="7" t="str" cm="1">
        <f t="array" ref="E20">_xlfn.IFS(D20=policy_name_clustering!$A$2,policy_name_clustering!$C$2,D20=policy_name_clustering!$A$3,policy_name_clustering!$C$3,D20=policy_name_clustering!$A$4,policy_name_clustering!$C$4,D20=policy_name_clustering!$A$5,policy_name_clustering!$C$5,D20=policy_name_clustering!$A$6,policy_name_clustering!$C$6,D20=policy_name_clustering!$A$7,policy_name_clustering!$C$7,D20=policy_name_clustering!$A$8,policy_name_clustering!$C$8,D20=policy_name_clustering!$A$9,policy_name_clustering!$C$9,D20=policy_name_clustering!$A$10,policy_name_clustering!$C$10,D20=policy_name_clustering!$A$11,policy_name_clustering!$C$11,D20=policy_name_clustering!$A$12,policy_name_clustering!$C$12,D20="-","")</f>
        <v/>
      </c>
      <c r="G20" s="7">
        <f>solar_cum_cap!C21</f>
        <v>1702.0930000000001</v>
      </c>
      <c r="H20" s="7">
        <f>estimated_capacity!C20</f>
        <v>3240.6345058628699</v>
      </c>
      <c r="I20" s="7" cm="1">
        <f t="array" ref="I20">_xlfn.IFS(D20= ""," ",D20&lt;&gt; " ",F20*(G20/H20))</f>
        <v>0</v>
      </c>
      <c r="J20" s="7" cm="1">
        <f t="array" ref="J20">_xlfn.IFS(D20= ""," ",D20&lt;&gt; " ",(H20-F20)*(G20/H20))</f>
        <v>1702.0929999999998</v>
      </c>
      <c r="K20" s="7" cm="1">
        <f t="array" ref="K20">IF(ISNUMBER(H20),_xlfn.IFS(D20= ""," ",D20&lt;&gt; " ",F20*(G20/H20)),"")</f>
        <v>0</v>
      </c>
    </row>
    <row r="21" spans="1:11" s="7" customFormat="1" hidden="1" x14ac:dyDescent="0.35">
      <c r="A21" s="7" t="s">
        <v>29</v>
      </c>
      <c r="B21" s="7">
        <v>2020</v>
      </c>
      <c r="D21" s="7" t="s">
        <v>73</v>
      </c>
      <c r="E21" s="7" t="str" cm="1">
        <f t="array" ref="E21">_xlfn.IFS(D21=policy_name_clustering!$A$2,policy_name_clustering!$C$2,D21=policy_name_clustering!$A$3,policy_name_clustering!$C$3,D21=policy_name_clustering!$A$4,policy_name_clustering!$C$4,D21=policy_name_clustering!$A$5,policy_name_clustering!$C$5,D21=policy_name_clustering!$A$6,policy_name_clustering!$C$6,D21=policy_name_clustering!$A$7,policy_name_clustering!$C$7,D21=policy_name_clustering!$A$8,policy_name_clustering!$C$8,D21=policy_name_clustering!$A$9,policy_name_clustering!$C$9,D21=policy_name_clustering!$A$10,policy_name_clustering!$C$10,D21=policy_name_clustering!$A$11,policy_name_clustering!$C$11,D21=policy_name_clustering!$A$12,policy_name_clustering!$C$12,D21="-","")</f>
        <v/>
      </c>
      <c r="G21" s="7">
        <f>solar_cum_cap!C22</f>
        <v>2042.934</v>
      </c>
      <c r="H21" s="7">
        <f>estimated_capacity!C21</f>
        <v>3477.29520889074</v>
      </c>
      <c r="I21" s="7" cm="1">
        <f t="array" ref="I21">_xlfn.IFS(D21= ""," ",D21&lt;&gt; " ",F21*(G21/H21))</f>
        <v>0</v>
      </c>
      <c r="J21" s="7" cm="1">
        <f t="array" ref="J21">_xlfn.IFS(D21= ""," ",D21&lt;&gt; " ",(H21-F21)*(G21/H21))</f>
        <v>2042.9339999999997</v>
      </c>
      <c r="K21" s="7" cm="1">
        <f t="array" ref="K21">IF(ISNUMBER(H21),_xlfn.IFS(D21= ""," ",D21&lt;&gt; " ",F21*(G21/H21)),"")</f>
        <v>0</v>
      </c>
    </row>
    <row r="22" spans="1:11" s="7" customFormat="1" hidden="1" x14ac:dyDescent="0.35">
      <c r="A22" s="7" t="s">
        <v>29</v>
      </c>
      <c r="B22" s="7">
        <v>2021</v>
      </c>
      <c r="D22" s="7" t="s">
        <v>73</v>
      </c>
      <c r="E22" s="7" t="str" cm="1">
        <f t="array" ref="E22">_xlfn.IFS(D22=policy_name_clustering!$A$2,policy_name_clustering!$C$2,D22=policy_name_clustering!$A$3,policy_name_clustering!$C$3,D22=policy_name_clustering!$A$4,policy_name_clustering!$C$4,D22=policy_name_clustering!$A$5,policy_name_clustering!$C$5,D22=policy_name_clustering!$A$6,policy_name_clustering!$C$6,D22=policy_name_clustering!$A$7,policy_name_clustering!$C$7,D22=policy_name_clustering!$A$8,policy_name_clustering!$C$8,D22=policy_name_clustering!$A$9,policy_name_clustering!$C$9,D22=policy_name_clustering!$A$10,policy_name_clustering!$C$10,D22=policy_name_clustering!$A$11,policy_name_clustering!$C$11,D22=policy_name_clustering!$A$12,policy_name_clustering!$C$12,D22="-","")</f>
        <v/>
      </c>
      <c r="G22" s="7">
        <f>solar_cum_cap!C23</f>
        <v>2782.6019999999999</v>
      </c>
      <c r="H22" s="7">
        <f>estimated_capacity!C22</f>
        <v>3741.8486909742901</v>
      </c>
      <c r="I22" s="7" cm="1">
        <f t="array" ref="I22">_xlfn.IFS(D22= ""," ",D22&lt;&gt; " ",F22*(G22/H22))</f>
        <v>0</v>
      </c>
      <c r="J22" s="7" cm="1">
        <f t="array" ref="J22">_xlfn.IFS(D22= ""," ",D22&lt;&gt; " ",(H22-F22)*(G22/H22))</f>
        <v>2782.6019999999999</v>
      </c>
      <c r="K22" s="7" cm="1">
        <f t="array" ref="K22">IF(ISNUMBER(H22),_xlfn.IFS(D22= ""," ",D22&lt;&gt; " ",F22*(G22/H22)),"")</f>
        <v>0</v>
      </c>
    </row>
    <row r="23" spans="1:11" s="7" customFormat="1" hidden="1" x14ac:dyDescent="0.35">
      <c r="A23" s="7" t="s">
        <v>29</v>
      </c>
      <c r="B23" s="7">
        <v>2022</v>
      </c>
      <c r="D23" s="7" t="s">
        <v>73</v>
      </c>
      <c r="E23" s="7" t="str" cm="1">
        <f t="array" ref="E23">_xlfn.IFS(D23=policy_name_clustering!$A$2,policy_name_clustering!$C$2,D23=policy_name_clustering!$A$3,policy_name_clustering!$C$3,D23=policy_name_clustering!$A$4,policy_name_clustering!$C$4,D23=policy_name_clustering!$A$5,policy_name_clustering!$C$5,D23=policy_name_clustering!$A$6,policy_name_clustering!$C$6,D23=policy_name_clustering!$A$7,policy_name_clustering!$C$7,D23=policy_name_clustering!$A$8,policy_name_clustering!$C$8,D23=policy_name_clustering!$A$9,policy_name_clustering!$C$9,D23=policy_name_clustering!$A$10,policy_name_clustering!$C$10,D23=policy_name_clustering!$A$11,policy_name_clustering!$C$11,D23=policy_name_clustering!$A$12,policy_name_clustering!$C$12,D23="-","")</f>
        <v/>
      </c>
      <c r="G23" s="7">
        <f>solar_cum_cap!C24</f>
        <v>3791.7040000000002</v>
      </c>
      <c r="H23" s="7">
        <f>estimated_capacity!C23</f>
        <v>4212.6803191906902</v>
      </c>
      <c r="I23" s="7" cm="1">
        <f t="array" ref="I23">_xlfn.IFS(D23= ""," ",D23&lt;&gt; " ",F23*(G23/H23))</f>
        <v>0</v>
      </c>
      <c r="J23" s="7" cm="1">
        <f t="array" ref="J23">_xlfn.IFS(D23= ""," ",D23&lt;&gt; " ",(H23-F23)*(G23/H23))</f>
        <v>3791.7040000000002</v>
      </c>
      <c r="K23" s="7" cm="1">
        <f t="array" ref="K23">IF(ISNUMBER(H23),_xlfn.IFS(D23= ""," ",D23&lt;&gt; " ",F23*(G23/H23)),"")</f>
        <v>0</v>
      </c>
    </row>
    <row r="24" spans="1:11" s="7" customFormat="1" hidden="1" x14ac:dyDescent="0.35">
      <c r="A24" s="7" t="s">
        <v>29</v>
      </c>
      <c r="B24" s="7">
        <v>2023</v>
      </c>
      <c r="D24" s="7" t="s">
        <v>73</v>
      </c>
      <c r="E24" s="7" t="str" cm="1">
        <f t="array" ref="E24">_xlfn.IFS(D24=policy_name_clustering!$A$2,policy_name_clustering!$C$2,D24=policy_name_clustering!$A$3,policy_name_clustering!$C$3,D24=policy_name_clustering!$A$4,policy_name_clustering!$C$4,D24=policy_name_clustering!$A$5,policy_name_clustering!$C$5,D24=policy_name_clustering!$A$6,policy_name_clustering!$C$6,D24=policy_name_clustering!$A$7,policy_name_clustering!$C$7,D24=policy_name_clustering!$A$8,policy_name_clustering!$C$8,D24=policy_name_clustering!$A$9,policy_name_clustering!$C$9,D24=policy_name_clustering!$A$10,policy_name_clustering!$C$10,D24=policy_name_clustering!$A$11,policy_name_clustering!$C$11,D24=policy_name_clustering!$A$12,policy_name_clustering!$C$12,D24="-","")</f>
        <v/>
      </c>
      <c r="G24" s="7">
        <f>solar_cum_cap!C25</f>
        <v>6394.8109999999997</v>
      </c>
      <c r="H24" s="7">
        <f>estimated_capacity!C24</f>
        <v>4802.3445979236403</v>
      </c>
      <c r="I24" s="7" cm="1">
        <f t="array" ref="I24">_xlfn.IFS(D24= ""," ",D24&lt;&gt; " ",F24*(G24/H24))</f>
        <v>0</v>
      </c>
      <c r="J24" s="7" cm="1">
        <f t="array" ref="J24">_xlfn.IFS(D24= ""," ",D24&lt;&gt; " ",(H24-F24)*(G24/H24))</f>
        <v>6394.8109999999997</v>
      </c>
      <c r="K24" s="7" cm="1">
        <f t="array" ref="K24">IF(ISNUMBER(H24),_xlfn.IFS(D24= ""," ",D24&lt;&gt; " ",F24*(G24/H24)),"")</f>
        <v>0</v>
      </c>
    </row>
    <row r="25" spans="1:11" s="7" customFormat="1" hidden="1" x14ac:dyDescent="0.35">
      <c r="A25" s="7" t="s">
        <v>30</v>
      </c>
      <c r="B25" s="7">
        <v>2001</v>
      </c>
      <c r="D25" s="7" t="s">
        <v>73</v>
      </c>
      <c r="E25" s="7" t="str" cm="1">
        <f t="array" ref="E25">_xlfn.IFS(D25=policy_name_clustering!$A$2,policy_name_clustering!$C$2,D25=policy_name_clustering!$A$3,policy_name_clustering!$C$3,D25=policy_name_clustering!$A$4,policy_name_clustering!$C$4,D25=policy_name_clustering!$A$5,policy_name_clustering!$C$5,D25=policy_name_clustering!$A$6,policy_name_clustering!$C$6,D25=policy_name_clustering!$A$7,policy_name_clustering!$C$7,D25=policy_name_clustering!$A$8,policy_name_clustering!$C$8,D25=policy_name_clustering!$A$9,policy_name_clustering!$C$9,D25=policy_name_clustering!$A$10,policy_name_clustering!$C$10,D25=policy_name_clustering!$A$11,policy_name_clustering!$C$11,D25=policy_name_clustering!$A$12,policy_name_clustering!$C$12,D25="-","")</f>
        <v/>
      </c>
      <c r="G25" s="7">
        <f>solar_cum_cap!C27</f>
        <v>0</v>
      </c>
      <c r="H25" s="7">
        <f>estimated_capacity!C25</f>
        <v>100.108939927264</v>
      </c>
      <c r="I25" s="7" cm="1">
        <f t="array" ref="I25">_xlfn.IFS(D25= ""," ",D25&lt;&gt; " ",F25*(G25/H25))</f>
        <v>0</v>
      </c>
      <c r="J25" s="7" cm="1">
        <f t="array" ref="J25">_xlfn.IFS(D25= ""," ",D25&lt;&gt; " ",(H25-F25)*(G25/H25))</f>
        <v>0</v>
      </c>
      <c r="K25" s="7" cm="1">
        <f t="array" ref="K25">IF(ISNUMBER(H25),_xlfn.IFS(D25= ""," ",D25&lt;&gt; " ",F25*(G25/H25)),"")</f>
        <v>0</v>
      </c>
    </row>
    <row r="26" spans="1:11" s="7" customFormat="1" hidden="1" x14ac:dyDescent="0.35">
      <c r="A26" s="7" t="s">
        <v>30</v>
      </c>
      <c r="B26" s="7">
        <v>2002</v>
      </c>
      <c r="D26" s="7" t="s">
        <v>73</v>
      </c>
      <c r="E26" s="7" t="str" cm="1">
        <f t="array" ref="E26">_xlfn.IFS(D26=policy_name_clustering!$A$2,policy_name_clustering!$C$2,D26=policy_name_clustering!$A$3,policy_name_clustering!$C$3,D26=policy_name_clustering!$A$4,policy_name_clustering!$C$4,D26=policy_name_clustering!$A$5,policy_name_clustering!$C$5,D26=policy_name_clustering!$A$6,policy_name_clustering!$C$6,D26=policy_name_clustering!$A$7,policy_name_clustering!$C$7,D26=policy_name_clustering!$A$8,policy_name_clustering!$C$8,D26=policy_name_clustering!$A$9,policy_name_clustering!$C$9,D26=policy_name_clustering!$A$10,policy_name_clustering!$C$10,D26=policy_name_clustering!$A$11,policy_name_clustering!$C$11,D26=policy_name_clustering!$A$12,policy_name_clustering!$C$12,D26="-","")</f>
        <v/>
      </c>
      <c r="G26" s="7">
        <f>solar_cum_cap!C28</f>
        <v>0</v>
      </c>
      <c r="H26" s="7">
        <f>estimated_capacity!C26</f>
        <v>191.18880717227901</v>
      </c>
      <c r="I26" s="7" cm="1">
        <f t="array" ref="I26">_xlfn.IFS(D26= ""," ",D26&lt;&gt; " ",F26*(G26/H26))</f>
        <v>0</v>
      </c>
      <c r="J26" s="7" cm="1">
        <f t="array" ref="J26">_xlfn.IFS(D26= ""," ",D26&lt;&gt; " ",(H26-F26)*(G26/H26))</f>
        <v>0</v>
      </c>
      <c r="K26" s="7" cm="1">
        <f t="array" ref="K26">IF(ISNUMBER(H26),_xlfn.IFS(D26= ""," ",D26&lt;&gt; " ",F26*(G26/H26)),"")</f>
        <v>0</v>
      </c>
    </row>
    <row r="27" spans="1:11" s="7" customFormat="1" hidden="1" x14ac:dyDescent="0.35">
      <c r="A27" s="7" t="s">
        <v>30</v>
      </c>
      <c r="B27" s="7">
        <v>2003</v>
      </c>
      <c r="D27" s="7" t="s">
        <v>73</v>
      </c>
      <c r="E27" s="7" t="str" cm="1">
        <f t="array" ref="E27">_xlfn.IFS(D27=policy_name_clustering!$A$2,policy_name_clustering!$C$2,D27=policy_name_clustering!$A$3,policy_name_clustering!$C$3,D27=policy_name_clustering!$A$4,policy_name_clustering!$C$4,D27=policy_name_clustering!$A$5,policy_name_clustering!$C$5,D27=policy_name_clustering!$A$6,policy_name_clustering!$C$6,D27=policy_name_clustering!$A$7,policy_name_clustering!$C$7,D27=policy_name_clustering!$A$8,policy_name_clustering!$C$8,D27=policy_name_clustering!$A$9,policy_name_clustering!$C$9,D27=policy_name_clustering!$A$10,policy_name_clustering!$C$10,D27=policy_name_clustering!$A$11,policy_name_clustering!$C$11,D27=policy_name_clustering!$A$12,policy_name_clustering!$C$12,D27="-","")</f>
        <v/>
      </c>
      <c r="G27" s="7">
        <f>solar_cum_cap!C29</f>
        <v>0</v>
      </c>
      <c r="H27" s="7">
        <f>estimated_capacity!C27</f>
        <v>301.26270982708797</v>
      </c>
      <c r="I27" s="7" cm="1">
        <f t="array" ref="I27">_xlfn.IFS(D27= ""," ",D27&lt;&gt; " ",F27*(G27/H27))</f>
        <v>0</v>
      </c>
      <c r="J27" s="7" cm="1">
        <f t="array" ref="J27">_xlfn.IFS(D27= ""," ",D27&lt;&gt; " ",(H27-F27)*(G27/H27))</f>
        <v>0</v>
      </c>
      <c r="K27" s="7" cm="1">
        <f t="array" ref="K27">IF(ISNUMBER(H27),_xlfn.IFS(D27= ""," ",D27&lt;&gt; " ",F27*(G27/H27)),"")</f>
        <v>0</v>
      </c>
    </row>
    <row r="28" spans="1:11" s="7" customFormat="1" hidden="1" x14ac:dyDescent="0.35">
      <c r="A28" s="7" t="s">
        <v>30</v>
      </c>
      <c r="B28" s="7">
        <v>2004</v>
      </c>
      <c r="D28" s="7" t="s">
        <v>73</v>
      </c>
      <c r="E28" s="7" t="str" cm="1">
        <f t="array" ref="E28">_xlfn.IFS(D28=policy_name_clustering!$A$2,policy_name_clustering!$C$2,D28=policy_name_clustering!$A$3,policy_name_clustering!$C$3,D28=policy_name_clustering!$A$4,policy_name_clustering!$C$4,D28=policy_name_clustering!$A$5,policy_name_clustering!$C$5,D28=policy_name_clustering!$A$6,policy_name_clustering!$C$6,D28=policy_name_clustering!$A$7,policy_name_clustering!$C$7,D28=policy_name_clustering!$A$8,policy_name_clustering!$C$8,D28=policy_name_clustering!$A$9,policy_name_clustering!$C$9,D28=policy_name_clustering!$A$10,policy_name_clustering!$C$10,D28=policy_name_clustering!$A$11,policy_name_clustering!$C$11,D28=policy_name_clustering!$A$12,policy_name_clustering!$C$12,D28="-","")</f>
        <v/>
      </c>
      <c r="G28" s="7">
        <f>solar_cum_cap!C30</f>
        <v>0</v>
      </c>
      <c r="H28" s="7">
        <f>estimated_capacity!C28</f>
        <v>440.65569155494302</v>
      </c>
      <c r="I28" s="7" cm="1">
        <f t="array" ref="I28">_xlfn.IFS(D28= ""," ",D28&lt;&gt; " ",F28*(G28/H28))</f>
        <v>0</v>
      </c>
      <c r="J28" s="7" cm="1">
        <f t="array" ref="J28">_xlfn.IFS(D28= ""," ",D28&lt;&gt; " ",(H28-F28)*(G28/H28))</f>
        <v>0</v>
      </c>
      <c r="K28" s="7" cm="1">
        <f t="array" ref="K28">IF(ISNUMBER(H28),_xlfn.IFS(D28= ""," ",D28&lt;&gt; " ",F28*(G28/H28)),"")</f>
        <v>0</v>
      </c>
    </row>
    <row r="29" spans="1:11" s="7" customFormat="1" hidden="1" x14ac:dyDescent="0.35">
      <c r="A29" s="7" t="s">
        <v>30</v>
      </c>
      <c r="B29" s="7">
        <v>2005</v>
      </c>
      <c r="D29" s="7" t="s">
        <v>73</v>
      </c>
      <c r="E29" s="7" t="str" cm="1">
        <f t="array" ref="E29">_xlfn.IFS(D29=policy_name_clustering!$A$2,policy_name_clustering!$C$2,D29=policy_name_clustering!$A$3,policy_name_clustering!$C$3,D29=policy_name_clustering!$A$4,policy_name_clustering!$C$4,D29=policy_name_clustering!$A$5,policy_name_clustering!$C$5,D29=policy_name_clustering!$A$6,policy_name_clustering!$C$6,D29=policy_name_clustering!$A$7,policy_name_clustering!$C$7,D29=policy_name_clustering!$A$8,policy_name_clustering!$C$8,D29=policy_name_clustering!$A$9,policy_name_clustering!$C$9,D29=policy_name_clustering!$A$10,policy_name_clustering!$C$10,D29=policy_name_clustering!$A$11,policy_name_clustering!$C$11,D29=policy_name_clustering!$A$12,policy_name_clustering!$C$12,D29="-","")</f>
        <v/>
      </c>
      <c r="G29" s="7">
        <f>solar_cum_cap!C31</f>
        <v>0</v>
      </c>
      <c r="H29" s="7">
        <f>estimated_capacity!C29</f>
        <v>578.00966051140495</v>
      </c>
      <c r="I29" s="7" cm="1">
        <f t="array" ref="I29">_xlfn.IFS(D29= ""," ",D29&lt;&gt; " ",F29*(G29/H29))</f>
        <v>0</v>
      </c>
      <c r="J29" s="7" cm="1">
        <f t="array" ref="J29">_xlfn.IFS(D29= ""," ",D29&lt;&gt; " ",(H29-F29)*(G29/H29))</f>
        <v>0</v>
      </c>
      <c r="K29" s="7" cm="1">
        <f t="array" ref="K29">IF(ISNUMBER(H29),_xlfn.IFS(D29= ""," ",D29&lt;&gt; " ",F29*(G29/H29)),"")</f>
        <v>0</v>
      </c>
    </row>
    <row r="30" spans="1:11" s="7" customFormat="1" hidden="1" x14ac:dyDescent="0.35">
      <c r="A30" s="7" t="s">
        <v>30</v>
      </c>
      <c r="B30" s="7">
        <v>2006</v>
      </c>
      <c r="D30" s="7" t="s">
        <v>73</v>
      </c>
      <c r="E30" s="7" t="str" cm="1">
        <f t="array" ref="E30">_xlfn.IFS(D30=policy_name_clustering!$A$2,policy_name_clustering!$C$2,D30=policy_name_clustering!$A$3,policy_name_clustering!$C$3,D30=policy_name_clustering!$A$4,policy_name_clustering!$C$4,D30=policy_name_clustering!$A$5,policy_name_clustering!$C$5,D30=policy_name_clustering!$A$6,policy_name_clustering!$C$6,D30=policy_name_clustering!$A$7,policy_name_clustering!$C$7,D30=policy_name_clustering!$A$8,policy_name_clustering!$C$8,D30=policy_name_clustering!$A$9,policy_name_clustering!$C$9,D30=policy_name_clustering!$A$10,policy_name_clustering!$C$10,D30=policy_name_clustering!$A$11,policy_name_clustering!$C$11,D30=policy_name_clustering!$A$12,policy_name_clustering!$C$12,D30="-","")</f>
        <v/>
      </c>
      <c r="G30" s="7">
        <f>solar_cum_cap!C32</f>
        <v>0</v>
      </c>
      <c r="H30" s="7">
        <f>estimated_capacity!C30</f>
        <v>721.68252472451195</v>
      </c>
      <c r="I30" s="7" cm="1">
        <f t="array" ref="I30">_xlfn.IFS(D30= ""," ",D30&lt;&gt; " ",F30*(G30/H30))</f>
        <v>0</v>
      </c>
      <c r="J30" s="7" cm="1">
        <f t="array" ref="J30">_xlfn.IFS(D30= ""," ",D30&lt;&gt; " ",(H30-F30)*(G30/H30))</f>
        <v>0</v>
      </c>
      <c r="K30" s="7" cm="1">
        <f t="array" ref="K30">IF(ISNUMBER(H30),_xlfn.IFS(D30= ""," ",D30&lt;&gt; " ",F30*(G30/H30)),"")</f>
        <v>0</v>
      </c>
    </row>
    <row r="31" spans="1:11" s="7" customFormat="1" hidden="1" x14ac:dyDescent="0.35">
      <c r="A31" s="7" t="s">
        <v>30</v>
      </c>
      <c r="B31" s="7">
        <v>2007</v>
      </c>
      <c r="D31" s="7" t="s">
        <v>73</v>
      </c>
      <c r="E31" s="7" t="str" cm="1">
        <f t="array" ref="E31">_xlfn.IFS(D31=policy_name_clustering!$A$2,policy_name_clustering!$C$2,D31=policy_name_clustering!$A$3,policy_name_clustering!$C$3,D31=policy_name_clustering!$A$4,policy_name_clustering!$C$4,D31=policy_name_clustering!$A$5,policy_name_clustering!$C$5,D31=policy_name_clustering!$A$6,policy_name_clustering!$C$6,D31=policy_name_clustering!$A$7,policy_name_clustering!$C$7,D31=policy_name_clustering!$A$8,policy_name_clustering!$C$8,D31=policy_name_clustering!$A$9,policy_name_clustering!$C$9,D31=policy_name_clustering!$A$10,policy_name_clustering!$C$10,D31=policy_name_clustering!$A$11,policy_name_clustering!$C$11,D31=policy_name_clustering!$A$12,policy_name_clustering!$C$12,D31="-","")</f>
        <v/>
      </c>
      <c r="G31" s="7">
        <f>solar_cum_cap!C33</f>
        <v>0</v>
      </c>
      <c r="H31" s="7">
        <f>estimated_capacity!C31</f>
        <v>870.92112041919597</v>
      </c>
      <c r="I31" s="7" cm="1">
        <f t="array" ref="I31">_xlfn.IFS(D31= ""," ",D31&lt;&gt; " ",F31*(G31/H31))</f>
        <v>0</v>
      </c>
      <c r="J31" s="7" cm="1">
        <f t="array" ref="J31">_xlfn.IFS(D31= ""," ",D31&lt;&gt; " ",(H31-F31)*(G31/H31))</f>
        <v>0</v>
      </c>
      <c r="K31" s="7" cm="1">
        <f t="array" ref="K31">IF(ISNUMBER(H31),_xlfn.IFS(D31= ""," ",D31&lt;&gt; " ",F31*(G31/H31)),"")</f>
        <v>0</v>
      </c>
    </row>
    <row r="32" spans="1:11" s="7" customFormat="1" hidden="1" x14ac:dyDescent="0.35">
      <c r="A32" s="7" t="s">
        <v>30</v>
      </c>
      <c r="B32" s="7">
        <v>2008</v>
      </c>
      <c r="D32" s="7" t="s">
        <v>73</v>
      </c>
      <c r="E32" s="7" t="str" cm="1">
        <f t="array" ref="E32">_xlfn.IFS(D32=policy_name_clustering!$A$2,policy_name_clustering!$C$2,D32=policy_name_clustering!$A$3,policy_name_clustering!$C$3,D32=policy_name_clustering!$A$4,policy_name_clustering!$C$4,D32=policy_name_clustering!$A$5,policy_name_clustering!$C$5,D32=policy_name_clustering!$A$6,policy_name_clustering!$C$6,D32=policy_name_clustering!$A$7,policy_name_clustering!$C$7,D32=policy_name_clustering!$A$8,policy_name_clustering!$C$8,D32=policy_name_clustering!$A$9,policy_name_clustering!$C$9,D32=policy_name_clustering!$A$10,policy_name_clustering!$C$10,D32=policy_name_clustering!$A$11,policy_name_clustering!$C$11,D32=policy_name_clustering!$A$12,policy_name_clustering!$C$12,D32="-","")</f>
        <v/>
      </c>
      <c r="G32" s="7">
        <f>solar_cum_cap!C34</f>
        <v>0</v>
      </c>
      <c r="H32" s="7">
        <f>estimated_capacity!C32</f>
        <v>1040.36240053867</v>
      </c>
      <c r="I32" s="7" cm="1">
        <f t="array" ref="I32">_xlfn.IFS(D32= ""," ",D32&lt;&gt; " ",F32*(G32/H32))</f>
        <v>0</v>
      </c>
      <c r="J32" s="7" cm="1">
        <f t="array" ref="J32">_xlfn.IFS(D32= ""," ",D32&lt;&gt; " ",(H32-F32)*(G32/H32))</f>
        <v>0</v>
      </c>
      <c r="K32" s="7" cm="1">
        <f t="array" ref="K32">IF(ISNUMBER(H32),_xlfn.IFS(D32= ""," ",D32&lt;&gt; " ",F32*(G32/H32)),"")</f>
        <v>0</v>
      </c>
    </row>
    <row r="33" spans="1:11" s="7" customFormat="1" hidden="1" x14ac:dyDescent="0.35">
      <c r="A33" s="7" t="s">
        <v>30</v>
      </c>
      <c r="B33" s="7">
        <v>2009</v>
      </c>
      <c r="D33" s="7" t="s">
        <v>73</v>
      </c>
      <c r="E33" s="7" t="str" cm="1">
        <f t="array" ref="E33">_xlfn.IFS(D33=policy_name_clustering!$A$2,policy_name_clustering!$C$2,D33=policy_name_clustering!$A$3,policy_name_clustering!$C$3,D33=policy_name_clustering!$A$4,policy_name_clustering!$C$4,D33=policy_name_clustering!$A$5,policy_name_clustering!$C$5,D33=policy_name_clustering!$A$6,policy_name_clustering!$C$6,D33=policy_name_clustering!$A$7,policy_name_clustering!$C$7,D33=policy_name_clustering!$A$8,policy_name_clustering!$C$8,D33=policy_name_clustering!$A$9,policy_name_clustering!$C$9,D33=policy_name_clustering!$A$10,policy_name_clustering!$C$10,D33=policy_name_clustering!$A$11,policy_name_clustering!$C$11,D33=policy_name_clustering!$A$12,policy_name_clustering!$C$12,D33="-","")</f>
        <v/>
      </c>
      <c r="G33" s="7">
        <f>solar_cum_cap!C35</f>
        <v>386</v>
      </c>
      <c r="H33" s="7">
        <f>estimated_capacity!C33</f>
        <v>1216.27876654735</v>
      </c>
      <c r="I33" s="7" cm="1">
        <f t="array" ref="I33">_xlfn.IFS(D33= ""," ",D33&lt;&gt; " ",F33*(G33/H33))</f>
        <v>0</v>
      </c>
      <c r="J33" s="7" cm="1">
        <f t="array" ref="J33">_xlfn.IFS(D33= ""," ",D33&lt;&gt; " ",(H33-F33)*(G33/H33))</f>
        <v>386</v>
      </c>
      <c r="K33" s="7" cm="1">
        <f t="array" ref="K33">IF(ISNUMBER(H33),_xlfn.IFS(D33= ""," ",D33&lt;&gt; " ",F33*(G33/H33)),"")</f>
        <v>0</v>
      </c>
    </row>
    <row r="34" spans="1:11" s="7" customFormat="1" hidden="1" x14ac:dyDescent="0.35">
      <c r="A34" s="7" t="s">
        <v>30</v>
      </c>
      <c r="B34" s="7">
        <v>2010</v>
      </c>
      <c r="D34" s="7" t="s">
        <v>73</v>
      </c>
      <c r="E34" s="7" t="str" cm="1">
        <f t="array" ref="E34">_xlfn.IFS(D34=policy_name_clustering!$A$2,policy_name_clustering!$C$2,D34=policy_name_clustering!$A$3,policy_name_clustering!$C$3,D34=policy_name_clustering!$A$4,policy_name_clustering!$C$4,D34=policy_name_clustering!$A$5,policy_name_clustering!$C$5,D34=policy_name_clustering!$A$6,policy_name_clustering!$C$6,D34=policy_name_clustering!$A$7,policy_name_clustering!$C$7,D34=policy_name_clustering!$A$8,policy_name_clustering!$C$8,D34=policy_name_clustering!$A$9,policy_name_clustering!$C$9,D34=policy_name_clustering!$A$10,policy_name_clustering!$C$10,D34=policy_name_clustering!$A$11,policy_name_clustering!$C$11,D34=policy_name_clustering!$A$12,policy_name_clustering!$C$12,D34="-","")</f>
        <v/>
      </c>
      <c r="G34" s="7">
        <f>solar_cum_cap!C36</f>
        <v>840.2</v>
      </c>
      <c r="H34" s="7">
        <f>estimated_capacity!C34</f>
        <v>1452.2801322687999</v>
      </c>
      <c r="I34" s="7" cm="1">
        <f t="array" ref="I34">_xlfn.IFS(D34= ""," ",D34&lt;&gt; " ",F34*(G34/H34))</f>
        <v>0</v>
      </c>
      <c r="J34" s="7" cm="1">
        <f t="array" ref="J34">_xlfn.IFS(D34= ""," ",D34&lt;&gt; " ",(H34-F34)*(G34/H34))</f>
        <v>840.19999999999993</v>
      </c>
      <c r="K34" s="7" cm="1">
        <f t="array" ref="K34">IF(ISNUMBER(H34),_xlfn.IFS(D34= ""," ",D34&lt;&gt; " ",F34*(G34/H34)),"")</f>
        <v>0</v>
      </c>
    </row>
    <row r="35" spans="1:11" s="7" customFormat="1" hidden="1" x14ac:dyDescent="0.35">
      <c r="A35" s="7" t="s">
        <v>30</v>
      </c>
      <c r="B35" s="7">
        <v>2011</v>
      </c>
      <c r="D35" s="7" t="s">
        <v>73</v>
      </c>
      <c r="E35" s="7" t="str" cm="1">
        <f t="array" ref="E35">_xlfn.IFS(D35=policy_name_clustering!$A$2,policy_name_clustering!$C$2,D35=policy_name_clustering!$A$3,policy_name_clustering!$C$3,D35=policy_name_clustering!$A$4,policy_name_clustering!$C$4,D35=policy_name_clustering!$A$5,policy_name_clustering!$C$5,D35=policy_name_clustering!$A$6,policy_name_clustering!$C$6,D35=policy_name_clustering!$A$7,policy_name_clustering!$C$7,D35=policy_name_clustering!$A$8,policy_name_clustering!$C$8,D35=policy_name_clustering!$A$9,policy_name_clustering!$C$9,D35=policy_name_clustering!$A$10,policy_name_clustering!$C$10,D35=policy_name_clustering!$A$11,policy_name_clustering!$C$11,D35=policy_name_clustering!$A$12,policy_name_clustering!$C$12,D35="-","")</f>
        <v/>
      </c>
      <c r="G35" s="7">
        <f>solar_cum_cap!C37</f>
        <v>1864.9</v>
      </c>
      <c r="H35" s="7">
        <f>estimated_capacity!C35</f>
        <v>1774.02012287665</v>
      </c>
      <c r="I35" s="7" cm="1">
        <f t="array" ref="I35">_xlfn.IFS(D35= ""," ",D35&lt;&gt; " ",F35*(G35/H35))</f>
        <v>0</v>
      </c>
      <c r="J35" s="7" cm="1">
        <f t="array" ref="J35">_xlfn.IFS(D35= ""," ",D35&lt;&gt; " ",(H35-F35)*(G35/H35))</f>
        <v>1864.9000000000003</v>
      </c>
      <c r="K35" s="7" cm="1">
        <f t="array" ref="K35">IF(ISNUMBER(H35),_xlfn.IFS(D35= ""," ",D35&lt;&gt; " ",F35*(G35/H35)),"")</f>
        <v>0</v>
      </c>
    </row>
    <row r="36" spans="1:11" s="7" customFormat="1" hidden="1" x14ac:dyDescent="0.35">
      <c r="A36" s="7" t="s">
        <v>30</v>
      </c>
      <c r="B36" s="7">
        <v>2012</v>
      </c>
      <c r="D36" s="7" t="s">
        <v>73</v>
      </c>
      <c r="E36" s="7" t="str" cm="1">
        <f t="array" ref="E36">_xlfn.IFS(D36=policy_name_clustering!$A$2,policy_name_clustering!$C$2,D36=policy_name_clustering!$A$3,policy_name_clustering!$C$3,D36=policy_name_clustering!$A$4,policy_name_clustering!$C$4,D36=policy_name_clustering!$A$5,policy_name_clustering!$C$5,D36=policy_name_clustering!$A$6,policy_name_clustering!$C$6,D36=policy_name_clustering!$A$7,policy_name_clustering!$C$7,D36=policy_name_clustering!$A$8,policy_name_clustering!$C$8,D36=policy_name_clustering!$A$9,policy_name_clustering!$C$9,D36=policy_name_clustering!$A$10,policy_name_clustering!$C$10,D36=policy_name_clustering!$A$11,policy_name_clustering!$C$11,D36=policy_name_clustering!$A$12,policy_name_clustering!$C$12,D36="-","")</f>
        <v/>
      </c>
      <c r="G36" s="7">
        <f>solar_cum_cap!C38</f>
        <v>2595.5</v>
      </c>
      <c r="H36" s="7">
        <f>estimated_capacity!C36</f>
        <v>2141.7768985078201</v>
      </c>
      <c r="I36" s="7" cm="1">
        <f t="array" ref="I36">_xlfn.IFS(D36= ""," ",D36&lt;&gt; " ",F36*(G36/H36))</f>
        <v>0</v>
      </c>
      <c r="J36" s="7" cm="1">
        <f t="array" ref="J36">_xlfn.IFS(D36= ""," ",D36&lt;&gt; " ",(H36-F36)*(G36/H36))</f>
        <v>2595.5</v>
      </c>
      <c r="K36" s="7" cm="1">
        <f t="array" ref="K36">IF(ISNUMBER(H36),_xlfn.IFS(D36= ""," ",D36&lt;&gt; " ",F36*(G36/H36)),"")</f>
        <v>0</v>
      </c>
    </row>
    <row r="37" spans="1:11" s="7" customFormat="1" hidden="1" x14ac:dyDescent="0.35">
      <c r="A37" s="7" t="s">
        <v>30</v>
      </c>
      <c r="B37" s="7">
        <v>2013</v>
      </c>
      <c r="D37" s="7" t="s">
        <v>73</v>
      </c>
      <c r="E37" s="7" t="str" cm="1">
        <f t="array" ref="E37">_xlfn.IFS(D37=policy_name_clustering!$A$2,policy_name_clustering!$C$2,D37=policy_name_clustering!$A$3,policy_name_clustering!$C$3,D37=policy_name_clustering!$A$4,policy_name_clustering!$C$4,D37=policy_name_clustering!$A$5,policy_name_clustering!$C$5,D37=policy_name_clustering!$A$6,policy_name_clustering!$C$6,D37=policy_name_clustering!$A$7,policy_name_clustering!$C$7,D37=policy_name_clustering!$A$8,policy_name_clustering!$C$8,D37=policy_name_clustering!$A$9,policy_name_clustering!$C$9,D37=policy_name_clustering!$A$10,policy_name_clustering!$C$10,D37=policy_name_clustering!$A$11,policy_name_clustering!$C$11,D37=policy_name_clustering!$A$12,policy_name_clustering!$C$12,D37="-","")</f>
        <v/>
      </c>
      <c r="G37" s="7">
        <f>solar_cum_cap!C39</f>
        <v>2864</v>
      </c>
      <c r="H37" s="7">
        <f>estimated_capacity!C37</f>
        <v>2571.7895677082001</v>
      </c>
      <c r="I37" s="7" cm="1">
        <f t="array" ref="I37">_xlfn.IFS(D37= ""," ",D37&lt;&gt; " ",F37*(G37/H37))</f>
        <v>0</v>
      </c>
      <c r="J37" s="7" cm="1">
        <f t="array" ref="J37">_xlfn.IFS(D37= ""," ",D37&lt;&gt; " ",(H37-F37)*(G37/H37))</f>
        <v>2864</v>
      </c>
      <c r="K37" s="7" cm="1">
        <f t="array" ref="K37">IF(ISNUMBER(H37),_xlfn.IFS(D37= ""," ",D37&lt;&gt; " ",F37*(G37/H37)),"")</f>
        <v>0</v>
      </c>
    </row>
    <row r="38" spans="1:11" s="7" customFormat="1" hidden="1" x14ac:dyDescent="0.35">
      <c r="A38" s="7" t="s">
        <v>30</v>
      </c>
      <c r="B38" s="7">
        <v>2014</v>
      </c>
      <c r="D38" s="7" t="s">
        <v>73</v>
      </c>
      <c r="E38" s="7" t="str" cm="1">
        <f t="array" ref="E38">_xlfn.IFS(D38=policy_name_clustering!$A$2,policy_name_clustering!$C$2,D38=policy_name_clustering!$A$3,policy_name_clustering!$C$3,D38=policy_name_clustering!$A$4,policy_name_clustering!$C$4,D38=policy_name_clustering!$A$5,policy_name_clustering!$C$5,D38=policy_name_clustering!$A$6,policy_name_clustering!$C$6,D38=policy_name_clustering!$A$7,policy_name_clustering!$C$7,D38=policy_name_clustering!$A$8,policy_name_clustering!$C$8,D38=policy_name_clustering!$A$9,policy_name_clustering!$C$9,D38=policy_name_clustering!$A$10,policy_name_clustering!$C$10,D38=policy_name_clustering!$A$11,policy_name_clustering!$C$11,D38=policy_name_clustering!$A$12,policy_name_clustering!$C$12,D38="-","")</f>
        <v/>
      </c>
      <c r="G38" s="7">
        <f>solar_cum_cap!C40</f>
        <v>2977.1</v>
      </c>
      <c r="H38" s="7">
        <f>estimated_capacity!C38</f>
        <v>3010.2229405039002</v>
      </c>
      <c r="I38" s="7" cm="1">
        <f t="array" ref="I38">_xlfn.IFS(D38= ""," ",D38&lt;&gt; " ",F38*(G38/H38))</f>
        <v>0</v>
      </c>
      <c r="J38" s="7" cm="1">
        <f t="array" ref="J38">_xlfn.IFS(D38= ""," ",D38&lt;&gt; " ",(H38-F38)*(G38/H38))</f>
        <v>2977.1</v>
      </c>
      <c r="K38" s="7" cm="1">
        <f t="array" ref="K38">IF(ISNUMBER(H38),_xlfn.IFS(D38= ""," ",D38&lt;&gt; " ",F38*(G38/H38)),"")</f>
        <v>0</v>
      </c>
    </row>
    <row r="39" spans="1:11" s="7" customFormat="1" hidden="1" x14ac:dyDescent="0.35">
      <c r="A39" s="7" t="s">
        <v>30</v>
      </c>
      <c r="B39" s="7">
        <v>2015</v>
      </c>
      <c r="D39" s="7" t="s">
        <v>73</v>
      </c>
      <c r="E39" s="7" t="str" cm="1">
        <f t="array" ref="E39">_xlfn.IFS(D39=policy_name_clustering!$A$2,policy_name_clustering!$C$2,D39=policy_name_clustering!$A$3,policy_name_clustering!$C$3,D39=policy_name_clustering!$A$4,policy_name_clustering!$C$4,D39=policy_name_clustering!$A$5,policy_name_clustering!$C$5,D39=policy_name_clustering!$A$6,policy_name_clustering!$C$6,D39=policy_name_clustering!$A$7,policy_name_clustering!$C$7,D39=policy_name_clustering!$A$8,policy_name_clustering!$C$8,D39=policy_name_clustering!$A$9,policy_name_clustering!$C$9,D39=policy_name_clustering!$A$10,policy_name_clustering!$C$10,D39=policy_name_clustering!$A$11,policy_name_clustering!$C$11,D39=policy_name_clustering!$A$12,policy_name_clustering!$C$12,D39="-","")</f>
        <v/>
      </c>
      <c r="G39" s="7">
        <f>solar_cum_cap!C41</f>
        <v>3108.1</v>
      </c>
      <c r="H39" s="7">
        <f>estimated_capacity!C39</f>
        <v>3381.25813367519</v>
      </c>
      <c r="I39" s="7" cm="1">
        <f t="array" ref="I39">_xlfn.IFS(D39= ""," ",D39&lt;&gt; " ",F39*(G39/H39))</f>
        <v>0</v>
      </c>
      <c r="J39" s="7" cm="1">
        <f t="array" ref="J39">_xlfn.IFS(D39= ""," ",D39&lt;&gt; " ",(H39-F39)*(G39/H39))</f>
        <v>3108.1</v>
      </c>
      <c r="K39" s="7" cm="1">
        <f t="array" ref="K39">IF(ISNUMBER(H39),_xlfn.IFS(D39= ""," ",D39&lt;&gt; " ",F39*(G39/H39)),"")</f>
        <v>0</v>
      </c>
    </row>
    <row r="40" spans="1:11" s="7" customFormat="1" hidden="1" x14ac:dyDescent="0.35">
      <c r="A40" s="7" t="s">
        <v>30</v>
      </c>
      <c r="B40" s="7">
        <v>2016</v>
      </c>
      <c r="D40" s="7" t="s">
        <v>73</v>
      </c>
      <c r="E40" s="7" t="str" cm="1">
        <f t="array" ref="E40">_xlfn.IFS(D40=policy_name_clustering!$A$2,policy_name_clustering!$C$2,D40=policy_name_clustering!$A$3,policy_name_clustering!$C$3,D40=policy_name_clustering!$A$4,policy_name_clustering!$C$4,D40=policy_name_clustering!$A$5,policy_name_clustering!$C$5,D40=policy_name_clustering!$A$6,policy_name_clustering!$C$6,D40=policy_name_clustering!$A$7,policy_name_clustering!$C$7,D40=policy_name_clustering!$A$8,policy_name_clustering!$C$8,D40=policy_name_clustering!$A$9,policy_name_clustering!$C$9,D40=policy_name_clustering!$A$10,policy_name_clustering!$C$10,D40=policy_name_clustering!$A$11,policy_name_clustering!$C$11,D40=policy_name_clustering!$A$12,policy_name_clustering!$C$12,D40="-","")</f>
        <v/>
      </c>
      <c r="G40" s="7">
        <f>solar_cum_cap!C42</f>
        <v>3291.2</v>
      </c>
      <c r="H40" s="7">
        <f>estimated_capacity!C40</f>
        <v>3743.4350321807901</v>
      </c>
      <c r="I40" s="7" cm="1">
        <f t="array" ref="I40">_xlfn.IFS(D40= ""," ",D40&lt;&gt; " ",F40*(G40/H40))</f>
        <v>0</v>
      </c>
      <c r="J40" s="7" cm="1">
        <f t="array" ref="J40">_xlfn.IFS(D40= ""," ",D40&lt;&gt; " ",(H40-F40)*(G40/H40))</f>
        <v>3291.2</v>
      </c>
      <c r="K40" s="7" cm="1">
        <f t="array" ref="K40">IF(ISNUMBER(H40),_xlfn.IFS(D40= ""," ",D40&lt;&gt; " ",F40*(G40/H40)),"")</f>
        <v>0</v>
      </c>
    </row>
    <row r="41" spans="1:11" s="7" customFormat="1" hidden="1" x14ac:dyDescent="0.35">
      <c r="A41" s="7" t="s">
        <v>30</v>
      </c>
      <c r="B41" s="7">
        <v>2017</v>
      </c>
      <c r="D41" s="7" t="s">
        <v>73</v>
      </c>
      <c r="E41" s="7" t="str" cm="1">
        <f t="array" ref="E41">_xlfn.IFS(D41=policy_name_clustering!$A$2,policy_name_clustering!$C$2,D41=policy_name_clustering!$A$3,policy_name_clustering!$C$3,D41=policy_name_clustering!$A$4,policy_name_clustering!$C$4,D41=policy_name_clustering!$A$5,policy_name_clustering!$C$5,D41=policy_name_clustering!$A$6,policy_name_clustering!$C$6,D41=policy_name_clustering!$A$7,policy_name_clustering!$C$7,D41=policy_name_clustering!$A$8,policy_name_clustering!$C$8,D41=policy_name_clustering!$A$9,policy_name_clustering!$C$9,D41=policy_name_clustering!$A$10,policy_name_clustering!$C$10,D41=policy_name_clustering!$A$11,policy_name_clustering!$C$11,D41=policy_name_clustering!$A$12,policy_name_clustering!$C$12,D41="-","")</f>
        <v/>
      </c>
      <c r="G41" s="7">
        <f>solar_cum_cap!C43</f>
        <v>3600.4</v>
      </c>
      <c r="H41" s="7">
        <f>estimated_capacity!C41</f>
        <v>4166.6916330575204</v>
      </c>
      <c r="I41" s="7" cm="1">
        <f t="array" ref="I41">_xlfn.IFS(D41= ""," ",D41&lt;&gt; " ",F41*(G41/H41))</f>
        <v>0</v>
      </c>
      <c r="J41" s="7" cm="1">
        <f t="array" ref="J41">_xlfn.IFS(D41= ""," ",D41&lt;&gt; " ",(H41-F41)*(G41/H41))</f>
        <v>3600.4</v>
      </c>
      <c r="K41" s="7" cm="1">
        <f t="array" ref="K41">IF(ISNUMBER(H41),_xlfn.IFS(D41= ""," ",D41&lt;&gt; " ",F41*(G41/H41)),"")</f>
        <v>0</v>
      </c>
    </row>
    <row r="42" spans="1:11" s="7" customFormat="1" hidden="1" x14ac:dyDescent="0.35">
      <c r="A42" s="7" t="s">
        <v>30</v>
      </c>
      <c r="B42" s="7">
        <v>2018</v>
      </c>
      <c r="D42" s="7" t="s">
        <v>73</v>
      </c>
      <c r="E42" s="7" t="str" cm="1">
        <f t="array" ref="E42">_xlfn.IFS(D42=policy_name_clustering!$A$2,policy_name_clustering!$C$2,D42=policy_name_clustering!$A$3,policy_name_clustering!$C$3,D42=policy_name_clustering!$A$4,policy_name_clustering!$C$4,D42=policy_name_clustering!$A$5,policy_name_clustering!$C$5,D42=policy_name_clustering!$A$6,policy_name_clustering!$C$6,D42=policy_name_clustering!$A$7,policy_name_clustering!$C$7,D42=policy_name_clustering!$A$8,policy_name_clustering!$C$8,D42=policy_name_clustering!$A$9,policy_name_clustering!$C$9,D42=policy_name_clustering!$A$10,policy_name_clustering!$C$10,D42=policy_name_clustering!$A$11,policy_name_clustering!$C$11,D42=policy_name_clustering!$A$12,policy_name_clustering!$C$12,D42="-","")</f>
        <v/>
      </c>
      <c r="G42" s="7">
        <f>solar_cum_cap!C44</f>
        <v>3962.8</v>
      </c>
      <c r="H42" s="7">
        <f>estimated_capacity!C42</f>
        <v>4645.5840073742902</v>
      </c>
      <c r="I42" s="7" cm="1">
        <f t="array" ref="I42">_xlfn.IFS(D42= ""," ",D42&lt;&gt; " ",F42*(G42/H42))</f>
        <v>0</v>
      </c>
      <c r="J42" s="7" cm="1">
        <f t="array" ref="J42">_xlfn.IFS(D42= ""," ",D42&lt;&gt; " ",(H42-F42)*(G42/H42))</f>
        <v>3962.8</v>
      </c>
      <c r="K42" s="7" cm="1">
        <f t="array" ref="K42">IF(ISNUMBER(H42),_xlfn.IFS(D42= ""," ",D42&lt;&gt; " ",F42*(G42/H42)),"")</f>
        <v>0</v>
      </c>
    </row>
    <row r="43" spans="1:11" s="7" customFormat="1" hidden="1" x14ac:dyDescent="0.35">
      <c r="A43" s="7" t="s">
        <v>30</v>
      </c>
      <c r="B43" s="7">
        <v>2019</v>
      </c>
      <c r="D43" s="7" t="s">
        <v>73</v>
      </c>
      <c r="E43" s="7" t="str" cm="1">
        <f t="array" ref="E43">_xlfn.IFS(D43=policy_name_clustering!$A$2,policy_name_clustering!$C$2,D43=policy_name_clustering!$A$3,policy_name_clustering!$C$3,D43=policy_name_clustering!$A$4,policy_name_clustering!$C$4,D43=policy_name_clustering!$A$5,policy_name_clustering!$C$5,D43=policy_name_clustering!$A$6,policy_name_clustering!$C$6,D43=policy_name_clustering!$A$7,policy_name_clustering!$C$7,D43=policy_name_clustering!$A$8,policy_name_clustering!$C$8,D43=policy_name_clustering!$A$9,policy_name_clustering!$C$9,D43=policy_name_clustering!$A$10,policy_name_clustering!$C$10,D43=policy_name_clustering!$A$11,policy_name_clustering!$C$11,D43=policy_name_clustering!$A$12,policy_name_clustering!$C$12,D43="-","")</f>
        <v/>
      </c>
      <c r="G43" s="7">
        <f>solar_cum_cap!C45</f>
        <v>4523</v>
      </c>
      <c r="H43" s="7">
        <f>estimated_capacity!C43</f>
        <v>5048.8258417911202</v>
      </c>
      <c r="I43" s="7" cm="1">
        <f t="array" ref="I43">_xlfn.IFS(D43= ""," ",D43&lt;&gt; " ",F43*(G43/H43))</f>
        <v>0</v>
      </c>
      <c r="J43" s="7" cm="1">
        <f t="array" ref="J43">_xlfn.IFS(D43= ""," ",D43&lt;&gt; " ",(H43-F43)*(G43/H43))</f>
        <v>4523</v>
      </c>
      <c r="K43" s="7" cm="1">
        <f t="array" ref="K43">IF(ISNUMBER(H43),_xlfn.IFS(D43= ""," ",D43&lt;&gt; " ",F43*(G43/H43)),"")</f>
        <v>0</v>
      </c>
    </row>
    <row r="44" spans="1:11" s="7" customFormat="1" hidden="1" x14ac:dyDescent="0.35">
      <c r="A44" s="7" t="s">
        <v>30</v>
      </c>
      <c r="B44" s="7">
        <v>2020</v>
      </c>
      <c r="D44" s="7" t="s">
        <v>73</v>
      </c>
      <c r="E44" s="7" t="str" cm="1">
        <f t="array" ref="E44">_xlfn.IFS(D44=policy_name_clustering!$A$2,policy_name_clustering!$C$2,D44=policy_name_clustering!$A$3,policy_name_clustering!$C$3,D44=policy_name_clustering!$A$4,policy_name_clustering!$C$4,D44=policy_name_clustering!$A$5,policy_name_clustering!$C$5,D44=policy_name_clustering!$A$6,policy_name_clustering!$C$6,D44=policy_name_clustering!$A$7,policy_name_clustering!$C$7,D44=policy_name_clustering!$A$8,policy_name_clustering!$C$8,D44=policy_name_clustering!$A$9,policy_name_clustering!$C$9,D44=policy_name_clustering!$A$10,policy_name_clustering!$C$10,D44=policy_name_clustering!$A$11,policy_name_clustering!$C$11,D44=policy_name_clustering!$A$12,policy_name_clustering!$C$12,D44="-","")</f>
        <v/>
      </c>
      <c r="G44" s="7">
        <f>solar_cum_cap!C46</f>
        <v>5453</v>
      </c>
      <c r="H44" s="7">
        <f>estimated_capacity!C44</f>
        <v>5401.3625222760002</v>
      </c>
      <c r="I44" s="7" cm="1">
        <f t="array" ref="I44">_xlfn.IFS(D44= ""," ",D44&lt;&gt; " ",F44*(G44/H44))</f>
        <v>0</v>
      </c>
      <c r="J44" s="7" cm="1">
        <f t="array" ref="J44">_xlfn.IFS(D44= ""," ",D44&lt;&gt; " ",(H44-F44)*(G44/H44))</f>
        <v>5453</v>
      </c>
      <c r="K44" s="7" cm="1">
        <f t="array" ref="K44">IF(ISNUMBER(H44),_xlfn.IFS(D44= ""," ",D44&lt;&gt; " ",F44*(G44/H44)),"")</f>
        <v>0</v>
      </c>
    </row>
    <row r="45" spans="1:11" s="7" customFormat="1" hidden="1" x14ac:dyDescent="0.35">
      <c r="A45" s="7" t="s">
        <v>30</v>
      </c>
      <c r="B45" s="7">
        <v>2021</v>
      </c>
      <c r="D45" s="7" t="s">
        <v>73</v>
      </c>
      <c r="E45" s="7" t="str" cm="1">
        <f t="array" ref="E45">_xlfn.IFS(D45=policy_name_clustering!$A$2,policy_name_clustering!$C$2,D45=policy_name_clustering!$A$3,policy_name_clustering!$C$3,D45=policy_name_clustering!$A$4,policy_name_clustering!$C$4,D45=policy_name_clustering!$A$5,policy_name_clustering!$C$5,D45=policy_name_clustering!$A$6,policy_name_clustering!$C$6,D45=policy_name_clustering!$A$7,policy_name_clustering!$C$7,D45=policy_name_clustering!$A$8,policy_name_clustering!$C$8,D45=policy_name_clustering!$A$9,policy_name_clustering!$C$9,D45=policy_name_clustering!$A$10,policy_name_clustering!$C$10,D45=policy_name_clustering!$A$11,policy_name_clustering!$C$11,D45=policy_name_clustering!$A$12,policy_name_clustering!$C$12,D45="-","")</f>
        <v/>
      </c>
      <c r="G45" s="7">
        <f>solar_cum_cap!C47</f>
        <v>5934</v>
      </c>
      <c r="H45" s="7">
        <f>estimated_capacity!C45</f>
        <v>5788.72286726107</v>
      </c>
      <c r="I45" s="7" cm="1">
        <f t="array" ref="I45">_xlfn.IFS(D45= ""," ",D45&lt;&gt; " ",F45*(G45/H45))</f>
        <v>0</v>
      </c>
      <c r="J45" s="7" cm="1">
        <f t="array" ref="J45">_xlfn.IFS(D45= ""," ",D45&lt;&gt; " ",(H45-F45)*(G45/H45))</f>
        <v>5934</v>
      </c>
      <c r="K45" s="7" cm="1">
        <f t="array" ref="K45">IF(ISNUMBER(H45),_xlfn.IFS(D45= ""," ",D45&lt;&gt; " ",F45*(G45/H45)),"")</f>
        <v>0</v>
      </c>
    </row>
    <row r="46" spans="1:11" s="7" customFormat="1" hidden="1" x14ac:dyDescent="0.35">
      <c r="A46" s="7" t="s">
        <v>30</v>
      </c>
      <c r="B46" s="7">
        <v>2022</v>
      </c>
      <c r="D46" s="7" t="s">
        <v>73</v>
      </c>
      <c r="E46" s="7" t="str" cm="1">
        <f t="array" ref="E46">_xlfn.IFS(D46=policy_name_clustering!$A$2,policy_name_clustering!$C$2,D46=policy_name_clustering!$A$3,policy_name_clustering!$C$3,D46=policy_name_clustering!$A$4,policy_name_clustering!$C$4,D46=policy_name_clustering!$A$5,policy_name_clustering!$C$5,D46=policy_name_clustering!$A$6,policy_name_clustering!$C$6,D46=policy_name_clustering!$A$7,policy_name_clustering!$C$7,D46=policy_name_clustering!$A$8,policy_name_clustering!$C$8,D46=policy_name_clustering!$A$9,policy_name_clustering!$C$9,D46=policy_name_clustering!$A$10,policy_name_clustering!$C$10,D46=policy_name_clustering!$A$11,policy_name_clustering!$C$11,D46=policy_name_clustering!$A$12,policy_name_clustering!$C$12,D46="-","")</f>
        <v/>
      </c>
      <c r="G46" s="7">
        <f>solar_cum_cap!C48</f>
        <v>6781.2</v>
      </c>
      <c r="H46" s="7">
        <f>estimated_capacity!C46</f>
        <v>6402.0658058641802</v>
      </c>
      <c r="I46" s="7" cm="1">
        <f t="array" ref="I46">_xlfn.IFS(D46= ""," ",D46&lt;&gt; " ",F46*(G46/H46))</f>
        <v>0</v>
      </c>
      <c r="J46" s="7" cm="1">
        <f t="array" ref="J46">_xlfn.IFS(D46= ""," ",D46&lt;&gt; " ",(H46-F46)*(G46/H46))</f>
        <v>6781.1999999999989</v>
      </c>
      <c r="K46" s="7" cm="1">
        <f t="array" ref="K46">IF(ISNUMBER(H46),_xlfn.IFS(D46= ""," ",D46&lt;&gt; " ",F46*(G46/H46)),"")</f>
        <v>0</v>
      </c>
    </row>
    <row r="47" spans="1:11" s="7" customFormat="1" hidden="1" x14ac:dyDescent="0.35">
      <c r="A47" s="7" t="s">
        <v>30</v>
      </c>
      <c r="B47" s="7">
        <v>2023</v>
      </c>
      <c r="D47" s="7" t="s">
        <v>73</v>
      </c>
      <c r="E47" s="7" t="str" cm="1">
        <f t="array" ref="E47">_xlfn.IFS(D47=policy_name_clustering!$A$2,policy_name_clustering!$C$2,D47=policy_name_clustering!$A$3,policy_name_clustering!$C$3,D47=policy_name_clustering!$A$4,policy_name_clustering!$C$4,D47=policy_name_clustering!$A$5,policy_name_clustering!$C$5,D47=policy_name_clustering!$A$6,policy_name_clustering!$C$6,D47=policy_name_clustering!$A$7,policy_name_clustering!$C$7,D47=policy_name_clustering!$A$8,policy_name_clustering!$C$8,D47=policy_name_clustering!$A$9,policy_name_clustering!$C$9,D47=policy_name_clustering!$A$10,policy_name_clustering!$C$10,D47=policy_name_clustering!$A$11,policy_name_clustering!$C$11,D47=policy_name_clustering!$A$12,policy_name_clustering!$C$12,D47="-","")</f>
        <v/>
      </c>
      <c r="G47" s="7">
        <f>solar_cum_cap!C49</f>
        <v>8351.9</v>
      </c>
      <c r="H47" s="7">
        <f>estimated_capacity!C47</f>
        <v>7158.50602520548</v>
      </c>
      <c r="I47" s="7" cm="1">
        <f t="array" ref="I47">_xlfn.IFS(D47= ""," ",D47&lt;&gt; " ",F47*(G47/H47))</f>
        <v>0</v>
      </c>
      <c r="J47" s="7" cm="1">
        <f t="array" ref="J47">_xlfn.IFS(D47= ""," ",D47&lt;&gt; " ",(H47-F47)*(G47/H47))</f>
        <v>8351.9</v>
      </c>
      <c r="K47" s="7" cm="1">
        <f t="array" ref="K47">IF(ISNUMBER(H47),_xlfn.IFS(D47= ""," ",D47&lt;&gt; " ",F47*(G47/H47)),"")</f>
        <v>0</v>
      </c>
    </row>
    <row r="48" spans="1:11" s="7" customFormat="1" hidden="1" x14ac:dyDescent="0.35">
      <c r="A48" s="7" t="s">
        <v>31</v>
      </c>
      <c r="B48" s="7">
        <v>2003</v>
      </c>
      <c r="D48" s="7" t="s">
        <v>73</v>
      </c>
      <c r="E48" s="7" t="str" cm="1">
        <f t="array" ref="E48">_xlfn.IFS(D48=policy_name_clustering!$A$2,policy_name_clustering!$C$2,D48=policy_name_clustering!$A$3,policy_name_clustering!$C$3,D48=policy_name_clustering!$A$4,policy_name_clustering!$C$4,D48=policy_name_clustering!$A$5,policy_name_clustering!$C$5,D48=policy_name_clustering!$A$6,policy_name_clustering!$C$6,D48=policy_name_clustering!$A$7,policy_name_clustering!$C$7,D48=policy_name_clustering!$A$8,policy_name_clustering!$C$8,D48=policy_name_clustering!$A$9,policy_name_clustering!$C$9,D48=policy_name_clustering!$A$10,policy_name_clustering!$C$10,D48=policy_name_clustering!$A$11,policy_name_clustering!$C$11,D48=policy_name_clustering!$A$12,policy_name_clustering!$C$12,D48="-","")</f>
        <v/>
      </c>
      <c r="G48" s="7">
        <f>solar_cum_cap!C51</f>
        <v>0</v>
      </c>
      <c r="H48" s="7">
        <f>estimated_capacity!C48</f>
        <v>-32.808114720943102</v>
      </c>
      <c r="I48" s="7" cm="1">
        <f t="array" ref="I48">_xlfn.IFS(D48= ""," ",D48&lt;&gt; " ",F48*(G48/H48))</f>
        <v>0</v>
      </c>
      <c r="J48" s="7" cm="1">
        <f t="array" ref="J48">_xlfn.IFS(D48= ""," ",D48&lt;&gt; " ",(H48-F48)*(G48/H48))</f>
        <v>0</v>
      </c>
      <c r="K48" s="7" cm="1">
        <f t="array" ref="K48">IF(ISNUMBER(H48),_xlfn.IFS(D48= ""," ",D48&lt;&gt; " ",F48*(G48/H48)),"")</f>
        <v>0</v>
      </c>
    </row>
    <row r="49" spans="1:11" s="7" customFormat="1" hidden="1" x14ac:dyDescent="0.35">
      <c r="A49" s="7" t="s">
        <v>31</v>
      </c>
      <c r="B49" s="7">
        <v>2004</v>
      </c>
      <c r="D49" s="7" t="s">
        <v>73</v>
      </c>
      <c r="E49" s="7" t="str" cm="1">
        <f t="array" ref="E49">_xlfn.IFS(D49=policy_name_clustering!$A$2,policy_name_clustering!$C$2,D49=policy_name_clustering!$A$3,policy_name_clustering!$C$3,D49=policy_name_clustering!$A$4,policy_name_clustering!$C$4,D49=policy_name_clustering!$A$5,policy_name_clustering!$C$5,D49=policy_name_clustering!$A$6,policy_name_clustering!$C$6,D49=policy_name_clustering!$A$7,policy_name_clustering!$C$7,D49=policy_name_clustering!$A$8,policy_name_clustering!$C$8,D49=policy_name_clustering!$A$9,policy_name_clustering!$C$9,D49=policy_name_clustering!$A$10,policy_name_clustering!$C$10,D49=policy_name_clustering!$A$11,policy_name_clustering!$C$11,D49=policy_name_clustering!$A$12,policy_name_clustering!$C$12,D49="-","")</f>
        <v/>
      </c>
      <c r="G49" s="7">
        <f>solar_cum_cap!C52</f>
        <v>0</v>
      </c>
      <c r="H49" s="7">
        <f>estimated_capacity!C49</f>
        <v>-59.42298623253</v>
      </c>
      <c r="I49" s="7" cm="1">
        <f t="array" ref="I49">_xlfn.IFS(D49= ""," ",D49&lt;&gt; " ",F49*(G49/H49))</f>
        <v>0</v>
      </c>
      <c r="J49" s="7" cm="1">
        <f t="array" ref="J49">_xlfn.IFS(D49= ""," ",D49&lt;&gt; " ",(H49-F49)*(G49/H49))</f>
        <v>0</v>
      </c>
      <c r="K49" s="7" cm="1">
        <f t="array" ref="K49">IF(ISNUMBER(H49),_xlfn.IFS(D49= ""," ",D49&lt;&gt; " ",F49*(G49/H49)),"")</f>
        <v>0</v>
      </c>
    </row>
    <row r="50" spans="1:11" s="7" customFormat="1" hidden="1" x14ac:dyDescent="0.35">
      <c r="A50" s="7" t="s">
        <v>31</v>
      </c>
      <c r="B50" s="7">
        <v>2005</v>
      </c>
      <c r="D50" s="7" t="s">
        <v>73</v>
      </c>
      <c r="E50" s="7" t="str" cm="1">
        <f t="array" ref="E50">_xlfn.IFS(D50=policy_name_clustering!$A$2,policy_name_clustering!$C$2,D50=policy_name_clustering!$A$3,policy_name_clustering!$C$3,D50=policy_name_clustering!$A$4,policy_name_clustering!$C$4,D50=policy_name_clustering!$A$5,policy_name_clustering!$C$5,D50=policy_name_clustering!$A$6,policy_name_clustering!$C$6,D50=policy_name_clustering!$A$7,policy_name_clustering!$C$7,D50=policy_name_clustering!$A$8,policy_name_clustering!$C$8,D50=policy_name_clustering!$A$9,policy_name_clustering!$C$9,D50=policy_name_clustering!$A$10,policy_name_clustering!$C$10,D50=policy_name_clustering!$A$11,policy_name_clustering!$C$11,D50=policy_name_clustering!$A$12,policy_name_clustering!$C$12,D50="-","")</f>
        <v/>
      </c>
      <c r="G50" s="7">
        <f>solar_cum_cap!C53</f>
        <v>0</v>
      </c>
      <c r="H50" s="7">
        <f>estimated_capacity!C50</f>
        <v>-94.260043956942397</v>
      </c>
      <c r="I50" s="7" cm="1">
        <f t="array" ref="I50">_xlfn.IFS(D50= ""," ",D50&lt;&gt; " ",F50*(G50/H50))</f>
        <v>0</v>
      </c>
      <c r="J50" s="7" cm="1">
        <f t="array" ref="J50">_xlfn.IFS(D50= ""," ",D50&lt;&gt; " ",(H50-F50)*(G50/H50))</f>
        <v>0</v>
      </c>
      <c r="K50" s="7" cm="1">
        <f t="array" ref="K50">IF(ISNUMBER(H50),_xlfn.IFS(D50= ""," ",D50&lt;&gt; " ",F50*(G50/H50)),"")</f>
        <v>0</v>
      </c>
    </row>
    <row r="51" spans="1:11" s="7" customFormat="1" hidden="1" x14ac:dyDescent="0.35">
      <c r="A51" s="7" t="s">
        <v>31</v>
      </c>
      <c r="B51" s="7">
        <v>2006</v>
      </c>
      <c r="D51" s="7" t="s">
        <v>73</v>
      </c>
      <c r="E51" s="7" t="str" cm="1">
        <f t="array" ref="E51">_xlfn.IFS(D51=policy_name_clustering!$A$2,policy_name_clustering!$C$2,D51=policy_name_clustering!$A$3,policy_name_clustering!$C$3,D51=policy_name_clustering!$A$4,policy_name_clustering!$C$4,D51=policy_name_clustering!$A$5,policy_name_clustering!$C$5,D51=policy_name_clustering!$A$6,policy_name_clustering!$C$6,D51=policy_name_clustering!$A$7,policy_name_clustering!$C$7,D51=policy_name_clustering!$A$8,policy_name_clustering!$C$8,D51=policy_name_clustering!$A$9,policy_name_clustering!$C$9,D51=policy_name_clustering!$A$10,policy_name_clustering!$C$10,D51=policy_name_clustering!$A$11,policy_name_clustering!$C$11,D51=policy_name_clustering!$A$12,policy_name_clustering!$C$12,D51="-","")</f>
        <v/>
      </c>
      <c r="G51" s="7">
        <f>solar_cum_cap!C54</f>
        <v>0</v>
      </c>
      <c r="H51" s="7">
        <f>estimated_capacity!C51</f>
        <v>-125.535808808447</v>
      </c>
      <c r="I51" s="7" cm="1">
        <f t="array" ref="I51">_xlfn.IFS(D51= ""," ",D51&lt;&gt; " ",F51*(G51/H51))</f>
        <v>0</v>
      </c>
      <c r="J51" s="7" cm="1">
        <f t="array" ref="J51">_xlfn.IFS(D51= ""," ",D51&lt;&gt; " ",(H51-F51)*(G51/H51))</f>
        <v>0</v>
      </c>
      <c r="K51" s="7" cm="1">
        <f t="array" ref="K51">IF(ISNUMBER(H51),_xlfn.IFS(D51= ""," ",D51&lt;&gt; " ",F51*(G51/H51)),"")</f>
        <v>0</v>
      </c>
    </row>
    <row r="52" spans="1:11" s="7" customFormat="1" hidden="1" x14ac:dyDescent="0.35">
      <c r="A52" s="7" t="s">
        <v>31</v>
      </c>
      <c r="B52" s="7">
        <v>2007</v>
      </c>
      <c r="D52" s="7" t="s">
        <v>73</v>
      </c>
      <c r="E52" s="7" t="str" cm="1">
        <f t="array" ref="E52">_xlfn.IFS(D52=policy_name_clustering!$A$2,policy_name_clustering!$C$2,D52=policy_name_clustering!$A$3,policy_name_clustering!$C$3,D52=policy_name_clustering!$A$4,policy_name_clustering!$C$4,D52=policy_name_clustering!$A$5,policy_name_clustering!$C$5,D52=policy_name_clustering!$A$6,policy_name_clustering!$C$6,D52=policy_name_clustering!$A$7,policy_name_clustering!$C$7,D52=policy_name_clustering!$A$8,policy_name_clustering!$C$8,D52=policy_name_clustering!$A$9,policy_name_clustering!$C$9,D52=policy_name_clustering!$A$10,policy_name_clustering!$C$10,D52=policy_name_clustering!$A$11,policy_name_clustering!$C$11,D52=policy_name_clustering!$A$12,policy_name_clustering!$C$12,D52="-","")</f>
        <v/>
      </c>
      <c r="G52" s="7">
        <f>solar_cum_cap!C55</f>
        <v>0</v>
      </c>
      <c r="H52" s="7">
        <f>estimated_capacity!C52</f>
        <v>-155.560359191906</v>
      </c>
      <c r="I52" s="7" cm="1">
        <f t="array" ref="I52">_xlfn.IFS(D52= ""," ",D52&lt;&gt; " ",F52*(G52/H52))</f>
        <v>0</v>
      </c>
      <c r="J52" s="7" cm="1">
        <f t="array" ref="J52">_xlfn.IFS(D52= ""," ",D52&lt;&gt; " ",(H52-F52)*(G52/H52))</f>
        <v>0</v>
      </c>
      <c r="K52" s="7" cm="1">
        <f t="array" ref="K52">IF(ISNUMBER(H52),_xlfn.IFS(D52= ""," ",D52&lt;&gt; " ",F52*(G52/H52)),"")</f>
        <v>0</v>
      </c>
    </row>
    <row r="53" spans="1:11" s="7" customFormat="1" hidden="1" x14ac:dyDescent="0.35">
      <c r="A53" s="7" t="s">
        <v>31</v>
      </c>
      <c r="B53" s="7">
        <v>2008</v>
      </c>
      <c r="D53" s="7" t="s">
        <v>73</v>
      </c>
      <c r="E53" s="7" t="str" cm="1">
        <f t="array" ref="E53">_xlfn.IFS(D53=policy_name_clustering!$A$2,policy_name_clustering!$C$2,D53=policy_name_clustering!$A$3,policy_name_clustering!$C$3,D53=policy_name_clustering!$A$4,policy_name_clustering!$C$4,D53=policy_name_clustering!$A$5,policy_name_clustering!$C$5,D53=policy_name_clustering!$A$6,policy_name_clustering!$C$6,D53=policy_name_clustering!$A$7,policy_name_clustering!$C$7,D53=policy_name_clustering!$A$8,policy_name_clustering!$C$8,D53=policy_name_clustering!$A$9,policy_name_clustering!$C$9,D53=policy_name_clustering!$A$10,policy_name_clustering!$C$10,D53=policy_name_clustering!$A$11,policy_name_clustering!$C$11,D53=policy_name_clustering!$A$12,policy_name_clustering!$C$12,D53="-","")</f>
        <v/>
      </c>
      <c r="G53" s="7">
        <f>solar_cum_cap!C56</f>
        <v>0</v>
      </c>
      <c r="H53" s="7">
        <f>estimated_capacity!C53</f>
        <v>-157.72614907185499</v>
      </c>
      <c r="I53" s="7" cm="1">
        <f t="array" ref="I53">_xlfn.IFS(D53= ""," ",D53&lt;&gt; " ",F53*(G53/H53))</f>
        <v>0</v>
      </c>
      <c r="J53" s="7" cm="1">
        <f t="array" ref="J53">_xlfn.IFS(D53= ""," ",D53&lt;&gt; " ",(H53-F53)*(G53/H53))</f>
        <v>0</v>
      </c>
      <c r="K53" s="7" cm="1">
        <f t="array" ref="K53">IF(ISNUMBER(H53),_xlfn.IFS(D53= ""," ",D53&lt;&gt; " ",F53*(G53/H53)),"")</f>
        <v>0</v>
      </c>
    </row>
    <row r="54" spans="1:11" s="7" customFormat="1" hidden="1" x14ac:dyDescent="0.35">
      <c r="A54" s="7" t="s">
        <v>31</v>
      </c>
      <c r="B54" s="7">
        <v>2009</v>
      </c>
      <c r="D54" s="7" t="s">
        <v>73</v>
      </c>
      <c r="E54" s="7" t="str" cm="1">
        <f t="array" ref="E54">_xlfn.IFS(D54=policy_name_clustering!$A$2,policy_name_clustering!$C$2,D54=policy_name_clustering!$A$3,policy_name_clustering!$C$3,D54=policy_name_clustering!$A$4,policy_name_clustering!$C$4,D54=policy_name_clustering!$A$5,policy_name_clustering!$C$5,D54=policy_name_clustering!$A$6,policy_name_clustering!$C$6,D54=policy_name_clustering!$A$7,policy_name_clustering!$C$7,D54=policy_name_clustering!$A$8,policy_name_clustering!$C$8,D54=policy_name_clustering!$A$9,policy_name_clustering!$C$9,D54=policy_name_clustering!$A$10,policy_name_clustering!$C$10,D54=policy_name_clustering!$A$11,policy_name_clustering!$C$11,D54=policy_name_clustering!$A$12,policy_name_clustering!$C$12,D54="-","")</f>
        <v/>
      </c>
      <c r="G54" s="7">
        <f>solar_cum_cap!C57</f>
        <v>2</v>
      </c>
      <c r="H54" s="7">
        <f>estimated_capacity!C54</f>
        <v>-119.269382700484</v>
      </c>
      <c r="I54" s="7" cm="1">
        <f t="array" ref="I54">_xlfn.IFS(D54= ""," ",D54&lt;&gt; " ",F54*(G54/H54))</f>
        <v>0</v>
      </c>
      <c r="J54" s="7" cm="1">
        <f t="array" ref="J54">_xlfn.IFS(D54= ""," ",D54&lt;&gt; " ",(H54-F54)*(G54/H54))</f>
        <v>2</v>
      </c>
      <c r="K54" s="7" cm="1">
        <f t="array" ref="K54">IF(ISNUMBER(H54),_xlfn.IFS(D54= ""," ",D54&lt;&gt; " ",F54*(G54/H54)),"")</f>
        <v>0</v>
      </c>
    </row>
    <row r="55" spans="1:11" s="7" customFormat="1" hidden="1" x14ac:dyDescent="0.35">
      <c r="A55" s="7" t="s">
        <v>31</v>
      </c>
      <c r="B55" s="7">
        <v>2010</v>
      </c>
      <c r="D55" s="7" t="s">
        <v>73</v>
      </c>
      <c r="E55" s="7" t="str" cm="1">
        <f t="array" ref="E55">_xlfn.IFS(D55=policy_name_clustering!$A$2,policy_name_clustering!$C$2,D55=policy_name_clustering!$A$3,policy_name_clustering!$C$3,D55=policy_name_clustering!$A$4,policy_name_clustering!$C$4,D55=policy_name_clustering!$A$5,policy_name_clustering!$C$5,D55=policy_name_clustering!$A$6,policy_name_clustering!$C$6,D55=policy_name_clustering!$A$7,policy_name_clustering!$C$7,D55=policy_name_clustering!$A$8,policy_name_clustering!$C$8,D55=policy_name_clustering!$A$9,policy_name_clustering!$C$9,D55=policy_name_clustering!$A$10,policy_name_clustering!$C$10,D55=policy_name_clustering!$A$11,policy_name_clustering!$C$11,D55=policy_name_clustering!$A$12,policy_name_clustering!$C$12,D55="-","")</f>
        <v/>
      </c>
      <c r="G55" s="7">
        <f>solar_cum_cap!C58</f>
        <v>25</v>
      </c>
      <c r="H55" s="7">
        <f>estimated_capacity!C55</f>
        <v>-46.850378740716103</v>
      </c>
      <c r="I55" s="7" cm="1">
        <f t="array" ref="I55">_xlfn.IFS(D55= ""," ",D55&lt;&gt; " ",F55*(G55/H55))</f>
        <v>0</v>
      </c>
      <c r="J55" s="7" cm="1">
        <f t="array" ref="J55">_xlfn.IFS(D55= ""," ",D55&lt;&gt; " ",(H55-F55)*(G55/H55))</f>
        <v>25</v>
      </c>
      <c r="K55" s="7" cm="1">
        <f t="array" ref="K55">IF(ISNUMBER(H55),_xlfn.IFS(D55= ""," ",D55&lt;&gt; " ",F55*(G55/H55)),"")</f>
        <v>0</v>
      </c>
    </row>
    <row r="56" spans="1:11" s="7" customFormat="1" hidden="1" x14ac:dyDescent="0.35">
      <c r="A56" s="7" t="s">
        <v>31</v>
      </c>
      <c r="B56" s="7">
        <v>2011</v>
      </c>
      <c r="D56" s="7" t="s">
        <v>73</v>
      </c>
      <c r="E56" s="7" t="str" cm="1">
        <f t="array" ref="E56">_xlfn.IFS(D56=policy_name_clustering!$A$2,policy_name_clustering!$C$2,D56=policy_name_clustering!$A$3,policy_name_clustering!$C$3,D56=policy_name_clustering!$A$4,policy_name_clustering!$C$4,D56=policy_name_clustering!$A$5,policy_name_clustering!$C$5,D56=policy_name_clustering!$A$6,policy_name_clustering!$C$6,D56=policy_name_clustering!$A$7,policy_name_clustering!$C$7,D56=policy_name_clustering!$A$8,policy_name_clustering!$C$8,D56=policy_name_clustering!$A$9,policy_name_clustering!$C$9,D56=policy_name_clustering!$A$10,policy_name_clustering!$C$10,D56=policy_name_clustering!$A$11,policy_name_clustering!$C$11,D56=policy_name_clustering!$A$12,policy_name_clustering!$C$12,D56="-","")</f>
        <v/>
      </c>
      <c r="G56" s="7">
        <f>solar_cum_cap!C59</f>
        <v>154</v>
      </c>
      <c r="H56" s="7">
        <f>estimated_capacity!C56</f>
        <v>55.785767551946201</v>
      </c>
      <c r="I56" s="7" cm="1">
        <f t="array" ref="I56">_xlfn.IFS(D56= ""," ",D56&lt;&gt; " ",F56*(G56/H56))</f>
        <v>0</v>
      </c>
      <c r="J56" s="7" cm="1">
        <f t="array" ref="J56">_xlfn.IFS(D56= ""," ",D56&lt;&gt; " ",(H56-F56)*(G56/H56))</f>
        <v>154</v>
      </c>
      <c r="K56" s="7" cm="1">
        <f t="array" ref="K56">IF(ISNUMBER(H56),_xlfn.IFS(D56= ""," ",D56&lt;&gt; " ",F56*(G56/H56)),"")</f>
        <v>0</v>
      </c>
    </row>
    <row r="57" spans="1:11" s="7" customFormat="1" hidden="1" x14ac:dyDescent="0.35">
      <c r="A57" s="7" t="s">
        <v>31</v>
      </c>
      <c r="B57" s="7">
        <v>2012</v>
      </c>
      <c r="D57" s="7" t="s">
        <v>73</v>
      </c>
      <c r="E57" s="7" t="str" cm="1">
        <f t="array" ref="E57">_xlfn.IFS(D57=policy_name_clustering!$A$2,policy_name_clustering!$C$2,D57=policy_name_clustering!$A$3,policy_name_clustering!$C$3,D57=policy_name_clustering!$A$4,policy_name_clustering!$C$4,D57=policy_name_clustering!$A$5,policy_name_clustering!$C$5,D57=policy_name_clustering!$A$6,policy_name_clustering!$C$6,D57=policy_name_clustering!$A$7,policy_name_clustering!$C$7,D57=policy_name_clustering!$A$8,policy_name_clustering!$C$8,D57=policy_name_clustering!$A$9,policy_name_clustering!$C$9,D57=policy_name_clustering!$A$10,policy_name_clustering!$C$10,D57=policy_name_clustering!$A$11,policy_name_clustering!$C$11,D57=policy_name_clustering!$A$12,policy_name_clustering!$C$12,D57="-","")</f>
        <v/>
      </c>
      <c r="G57" s="7">
        <f>solar_cum_cap!C60</f>
        <v>921.98699999999997</v>
      </c>
      <c r="H57" s="7">
        <f>estimated_capacity!C57</f>
        <v>204.263457735044</v>
      </c>
      <c r="I57" s="7" cm="1">
        <f t="array" ref="I57">_xlfn.IFS(D57= ""," ",D57&lt;&gt; " ",F57*(G57/H57))</f>
        <v>0</v>
      </c>
      <c r="J57" s="7" cm="1">
        <f t="array" ref="J57">_xlfn.IFS(D57= ""," ",D57&lt;&gt; " ",(H57-F57)*(G57/H57))</f>
        <v>921.98699999999985</v>
      </c>
      <c r="K57" s="7" cm="1">
        <f t="array" ref="K57">IF(ISNUMBER(H57),_xlfn.IFS(D57= ""," ",D57&lt;&gt; " ",F57*(G57/H57)),"")</f>
        <v>0</v>
      </c>
    </row>
    <row r="58" spans="1:11" s="7" customFormat="1" hidden="1" x14ac:dyDescent="0.35">
      <c r="A58" s="7" t="s">
        <v>31</v>
      </c>
      <c r="B58" s="7">
        <v>2013</v>
      </c>
      <c r="D58" s="7" t="s">
        <v>73</v>
      </c>
      <c r="E58" s="7" t="str" cm="1">
        <f t="array" ref="E58">_xlfn.IFS(D58=policy_name_clustering!$A$2,policy_name_clustering!$C$2,D58=policy_name_clustering!$A$3,policy_name_clustering!$C$3,D58=policy_name_clustering!$A$4,policy_name_clustering!$C$4,D58=policy_name_clustering!$A$5,policy_name_clustering!$C$5,D58=policy_name_clustering!$A$6,policy_name_clustering!$C$6,D58=policy_name_clustering!$A$7,policy_name_clustering!$C$7,D58=policy_name_clustering!$A$8,policy_name_clustering!$C$8,D58=policy_name_clustering!$A$9,policy_name_clustering!$C$9,D58=policy_name_clustering!$A$10,policy_name_clustering!$C$10,D58=policy_name_clustering!$A$11,policy_name_clustering!$C$11,D58=policy_name_clustering!$A$12,policy_name_clustering!$C$12,D58="-","")</f>
        <v/>
      </c>
      <c r="G58" s="7">
        <f>solar_cum_cap!C61</f>
        <v>1038.5350000000001</v>
      </c>
      <c r="H58" s="7">
        <f>estimated_capacity!C58</f>
        <v>388.39182344098901</v>
      </c>
      <c r="I58" s="7" cm="1">
        <f t="array" ref="I58">_xlfn.IFS(D58= ""," ",D58&lt;&gt; " ",F58*(G58/H58))</f>
        <v>0</v>
      </c>
      <c r="J58" s="7" cm="1">
        <f t="array" ref="J58">_xlfn.IFS(D58= ""," ",D58&lt;&gt; " ",(H58-F58)*(G58/H58))</f>
        <v>1038.5350000000001</v>
      </c>
      <c r="K58" s="7" cm="1">
        <f t="array" ref="K58">IF(ISNUMBER(H58),_xlfn.IFS(D58= ""," ",D58&lt;&gt; " ",F58*(G58/H58)),"")</f>
        <v>0</v>
      </c>
    </row>
    <row r="59" spans="1:11" s="7" customFormat="1" hidden="1" x14ac:dyDescent="0.35">
      <c r="A59" s="7" t="s">
        <v>31</v>
      </c>
      <c r="B59" s="7">
        <v>2014</v>
      </c>
      <c r="D59" s="7" t="s">
        <v>73</v>
      </c>
      <c r="E59" s="7" t="str" cm="1">
        <f t="array" ref="E59">_xlfn.IFS(D59=policy_name_clustering!$A$2,policy_name_clustering!$C$2,D59=policy_name_clustering!$A$3,policy_name_clustering!$C$3,D59=policy_name_clustering!$A$4,policy_name_clustering!$C$4,D59=policy_name_clustering!$A$5,policy_name_clustering!$C$5,D59=policy_name_clustering!$A$6,policy_name_clustering!$C$6,D59=policy_name_clustering!$A$7,policy_name_clustering!$C$7,D59=policy_name_clustering!$A$8,policy_name_clustering!$C$8,D59=policy_name_clustering!$A$9,policy_name_clustering!$C$9,D59=policy_name_clustering!$A$10,policy_name_clustering!$C$10,D59=policy_name_clustering!$A$11,policy_name_clustering!$C$11,D59=policy_name_clustering!$A$12,policy_name_clustering!$C$12,D59="-","")</f>
        <v/>
      </c>
      <c r="G59" s="7">
        <f>solar_cum_cap!C62</f>
        <v>1028.9169999999999</v>
      </c>
      <c r="H59" s="7">
        <f>estimated_capacity!C59</f>
        <v>609.73283571233696</v>
      </c>
      <c r="I59" s="7" cm="1">
        <f t="array" ref="I59">_xlfn.IFS(D59= ""," ",D59&lt;&gt; " ",F59*(G59/H59))</f>
        <v>0</v>
      </c>
      <c r="J59" s="7" cm="1">
        <f t="array" ref="J59">_xlfn.IFS(D59= ""," ",D59&lt;&gt; " ",(H59-F59)*(G59/H59))</f>
        <v>1028.9169999999999</v>
      </c>
      <c r="K59" s="7" cm="1">
        <f t="array" ref="K59">IF(ISNUMBER(H59),_xlfn.IFS(D59= ""," ",D59&lt;&gt; " ",F59*(G59/H59)),"")</f>
        <v>0</v>
      </c>
    </row>
    <row r="60" spans="1:11" s="7" customFormat="1" hidden="1" x14ac:dyDescent="0.35">
      <c r="A60" s="7" t="s">
        <v>31</v>
      </c>
      <c r="B60" s="7">
        <v>2015</v>
      </c>
      <c r="D60" s="7" t="s">
        <v>73</v>
      </c>
      <c r="E60" s="7" t="str" cm="1">
        <f t="array" ref="E60">_xlfn.IFS(D60=policy_name_clustering!$A$2,policy_name_clustering!$C$2,D60=policy_name_clustering!$A$3,policy_name_clustering!$C$3,D60=policy_name_clustering!$A$4,policy_name_clustering!$C$4,D60=policy_name_clustering!$A$5,policy_name_clustering!$C$5,D60=policy_name_clustering!$A$6,policy_name_clustering!$C$6,D60=policy_name_clustering!$A$7,policy_name_clustering!$C$7,D60=policy_name_clustering!$A$8,policy_name_clustering!$C$8,D60=policy_name_clustering!$A$9,policy_name_clustering!$C$9,D60=policy_name_clustering!$A$10,policy_name_clustering!$C$10,D60=policy_name_clustering!$A$11,policy_name_clustering!$C$11,D60=policy_name_clustering!$A$12,policy_name_clustering!$C$12,D60="-","")</f>
        <v/>
      </c>
      <c r="G60" s="7">
        <f>solar_cum_cap!C63</f>
        <v>1027.8879999999999</v>
      </c>
      <c r="H60" s="7">
        <f>estimated_capacity!C60</f>
        <v>806.22699251666904</v>
      </c>
      <c r="I60" s="7" cm="1">
        <f t="array" ref="I60">_xlfn.IFS(D60= ""," ",D60&lt;&gt; " ",F60*(G60/H60))</f>
        <v>0</v>
      </c>
      <c r="J60" s="7" cm="1">
        <f t="array" ref="J60">_xlfn.IFS(D60= ""," ",D60&lt;&gt; " ",(H60-F60)*(G60/H60))</f>
        <v>1027.8879999999999</v>
      </c>
      <c r="K60" s="7" cm="1">
        <f t="array" ref="K60">IF(ISNUMBER(H60),_xlfn.IFS(D60= ""," ",D60&lt;&gt; " ",F60*(G60/H60)),"")</f>
        <v>0</v>
      </c>
    </row>
    <row r="61" spans="1:11" s="7" customFormat="1" hidden="1" x14ac:dyDescent="0.35">
      <c r="A61" s="7" t="s">
        <v>31</v>
      </c>
      <c r="B61" s="7">
        <v>2016</v>
      </c>
      <c r="D61" s="7" t="s">
        <v>73</v>
      </c>
      <c r="E61" s="7" t="str" cm="1">
        <f t="array" ref="E61">_xlfn.IFS(D61=policy_name_clustering!$A$2,policy_name_clustering!$C$2,D61=policy_name_clustering!$A$3,policy_name_clustering!$C$3,D61=policy_name_clustering!$A$4,policy_name_clustering!$C$4,D61=policy_name_clustering!$A$5,policy_name_clustering!$C$5,D61=policy_name_clustering!$A$6,policy_name_clustering!$C$6,D61=policy_name_clustering!$A$7,policy_name_clustering!$C$7,D61=policy_name_clustering!$A$8,policy_name_clustering!$C$8,D61=policy_name_clustering!$A$9,policy_name_clustering!$C$9,D61=policy_name_clustering!$A$10,policy_name_clustering!$C$10,D61=policy_name_clustering!$A$11,policy_name_clustering!$C$11,D61=policy_name_clustering!$A$12,policy_name_clustering!$C$12,D61="-","")</f>
        <v/>
      </c>
      <c r="G61" s="7">
        <f>solar_cum_cap!C64</f>
        <v>1029.885</v>
      </c>
      <c r="H61" s="7">
        <f>estimated_capacity!C61</f>
        <v>1013.41920176915</v>
      </c>
      <c r="I61" s="7" cm="1">
        <f t="array" ref="I61">_xlfn.IFS(D61= ""," ",D61&lt;&gt; " ",F61*(G61/H61))</f>
        <v>0</v>
      </c>
      <c r="J61" s="7" cm="1">
        <f t="array" ref="J61">_xlfn.IFS(D61= ""," ",D61&lt;&gt; " ",(H61-F61)*(G61/H61))</f>
        <v>1029.885</v>
      </c>
      <c r="K61" s="7" cm="1">
        <f t="array" ref="K61">IF(ISNUMBER(H61),_xlfn.IFS(D61= ""," ",D61&lt;&gt; " ",F61*(G61/H61)),"")</f>
        <v>0</v>
      </c>
    </row>
    <row r="62" spans="1:11" s="7" customFormat="1" hidden="1" x14ac:dyDescent="0.35">
      <c r="A62" s="7" t="s">
        <v>31</v>
      </c>
      <c r="B62" s="7">
        <v>2017</v>
      </c>
      <c r="D62" s="7" t="s">
        <v>73</v>
      </c>
      <c r="E62" s="7" t="str" cm="1">
        <f t="array" ref="E62">_xlfn.IFS(D62=policy_name_clustering!$A$2,policy_name_clustering!$C$2,D62=policy_name_clustering!$A$3,policy_name_clustering!$C$3,D62=policy_name_clustering!$A$4,policy_name_clustering!$C$4,D62=policy_name_clustering!$A$5,policy_name_clustering!$C$5,D62=policy_name_clustering!$A$6,policy_name_clustering!$C$6,D62=policy_name_clustering!$A$7,policy_name_clustering!$C$7,D62=policy_name_clustering!$A$8,policy_name_clustering!$C$8,D62=policy_name_clustering!$A$9,policy_name_clustering!$C$9,D62=policy_name_clustering!$A$10,policy_name_clustering!$C$10,D62=policy_name_clustering!$A$11,policy_name_clustering!$C$11,D62=policy_name_clustering!$A$12,policy_name_clustering!$C$12,D62="-","")</f>
        <v/>
      </c>
      <c r="G62" s="7">
        <f>solar_cum_cap!C65</f>
        <v>1030.701</v>
      </c>
      <c r="H62" s="7">
        <f>estimated_capacity!C62</f>
        <v>1214.39636113694</v>
      </c>
      <c r="I62" s="7" cm="1">
        <f t="array" ref="I62">_xlfn.IFS(D62= ""," ",D62&lt;&gt; " ",F62*(G62/H62))</f>
        <v>0</v>
      </c>
      <c r="J62" s="7" cm="1">
        <f t="array" ref="J62">_xlfn.IFS(D62= ""," ",D62&lt;&gt; " ",(H62-F62)*(G62/H62))</f>
        <v>1030.701</v>
      </c>
      <c r="K62" s="7" cm="1">
        <f t="array" ref="K62">IF(ISNUMBER(H62),_xlfn.IFS(D62= ""," ",D62&lt;&gt; " ",F62*(G62/H62)),"")</f>
        <v>0</v>
      </c>
    </row>
    <row r="63" spans="1:11" s="7" customFormat="1" hidden="1" x14ac:dyDescent="0.35">
      <c r="A63" s="7" t="s">
        <v>31</v>
      </c>
      <c r="B63" s="7">
        <v>2018</v>
      </c>
      <c r="D63" s="7" t="s">
        <v>73</v>
      </c>
      <c r="E63" s="7" t="str" cm="1">
        <f t="array" ref="E63">_xlfn.IFS(D63=policy_name_clustering!$A$2,policy_name_clustering!$C$2,D63=policy_name_clustering!$A$3,policy_name_clustering!$C$3,D63=policy_name_clustering!$A$4,policy_name_clustering!$C$4,D63=policy_name_clustering!$A$5,policy_name_clustering!$C$5,D63=policy_name_clustering!$A$6,policy_name_clustering!$C$6,D63=policy_name_clustering!$A$7,policy_name_clustering!$C$7,D63=policy_name_clustering!$A$8,policy_name_clustering!$C$8,D63=policy_name_clustering!$A$9,policy_name_clustering!$C$9,D63=policy_name_clustering!$A$10,policy_name_clustering!$C$10,D63=policy_name_clustering!$A$11,policy_name_clustering!$C$11,D63=policy_name_clustering!$A$12,policy_name_clustering!$C$12,D63="-","")</f>
        <v/>
      </c>
      <c r="G63" s="7">
        <f>solar_cum_cap!C66</f>
        <v>1033.058</v>
      </c>
      <c r="H63" s="7">
        <f>estimated_capacity!C63</f>
        <v>1401.94088393835</v>
      </c>
      <c r="I63" s="7" cm="1">
        <f t="array" ref="I63">_xlfn.IFS(D63= ""," ",D63&lt;&gt; " ",F63*(G63/H63))</f>
        <v>0</v>
      </c>
      <c r="J63" s="7" cm="1">
        <f t="array" ref="J63">_xlfn.IFS(D63= ""," ",D63&lt;&gt; " ",(H63-F63)*(G63/H63))</f>
        <v>1033.058</v>
      </c>
      <c r="K63" s="7" cm="1">
        <f t="array" ref="K63">IF(ISNUMBER(H63),_xlfn.IFS(D63= ""," ",D63&lt;&gt; " ",F63*(G63/H63)),"")</f>
        <v>0</v>
      </c>
    </row>
    <row r="64" spans="1:11" s="7" customFormat="1" hidden="1" x14ac:dyDescent="0.35">
      <c r="A64" s="7" t="s">
        <v>31</v>
      </c>
      <c r="B64" s="7">
        <v>2019</v>
      </c>
      <c r="D64" s="7" t="s">
        <v>73</v>
      </c>
      <c r="E64" s="7" t="str" cm="1">
        <f t="array" ref="E64">_xlfn.IFS(D64=policy_name_clustering!$A$2,policy_name_clustering!$C$2,D64=policy_name_clustering!$A$3,policy_name_clustering!$C$3,D64=policy_name_clustering!$A$4,policy_name_clustering!$C$4,D64=policy_name_clustering!$A$5,policy_name_clustering!$C$5,D64=policy_name_clustering!$A$6,policy_name_clustering!$C$6,D64=policy_name_clustering!$A$7,policy_name_clustering!$C$7,D64=policy_name_clustering!$A$8,policy_name_clustering!$C$8,D64=policy_name_clustering!$A$9,policy_name_clustering!$C$9,D64=policy_name_clustering!$A$10,policy_name_clustering!$C$10,D64=policy_name_clustering!$A$11,policy_name_clustering!$C$11,D64=policy_name_clustering!$A$12,policy_name_clustering!$C$12,D64="-","")</f>
        <v/>
      </c>
      <c r="G64" s="7">
        <f>solar_cum_cap!C67</f>
        <v>1044.3900000000001</v>
      </c>
      <c r="H64" s="7">
        <f>estimated_capacity!C64</f>
        <v>1554.02030393258</v>
      </c>
      <c r="I64" s="7" cm="1">
        <f t="array" ref="I64">_xlfn.IFS(D64= ""," ",D64&lt;&gt; " ",F64*(G64/H64))</f>
        <v>0</v>
      </c>
      <c r="J64" s="7" cm="1">
        <f t="array" ref="J64">_xlfn.IFS(D64= ""," ",D64&lt;&gt; " ",(H64-F64)*(G64/H64))</f>
        <v>1044.3900000000001</v>
      </c>
      <c r="K64" s="7" cm="1">
        <f t="array" ref="K64">IF(ISNUMBER(H64),_xlfn.IFS(D64= ""," ",D64&lt;&gt; " ",F64*(G64/H64)),"")</f>
        <v>0</v>
      </c>
    </row>
    <row r="65" spans="1:11" s="7" customFormat="1" hidden="1" x14ac:dyDescent="0.35">
      <c r="A65" s="7" t="s">
        <v>31</v>
      </c>
      <c r="B65" s="7">
        <v>2020</v>
      </c>
      <c r="D65" s="7" t="s">
        <v>73</v>
      </c>
      <c r="E65" s="7" t="str" cm="1">
        <f t="array" ref="E65">_xlfn.IFS(D65=policy_name_clustering!$A$2,policy_name_clustering!$C$2,D65=policy_name_clustering!$A$3,policy_name_clustering!$C$3,D65=policy_name_clustering!$A$4,policy_name_clustering!$C$4,D65=policy_name_clustering!$A$5,policy_name_clustering!$C$5,D65=policy_name_clustering!$A$6,policy_name_clustering!$C$6,D65=policy_name_clustering!$A$7,policy_name_clustering!$C$7,D65=policy_name_clustering!$A$8,policy_name_clustering!$C$8,D65=policy_name_clustering!$A$9,policy_name_clustering!$C$9,D65=policy_name_clustering!$A$10,policy_name_clustering!$C$10,D65=policy_name_clustering!$A$11,policy_name_clustering!$C$11,D65=policy_name_clustering!$A$12,policy_name_clustering!$C$12,D65="-","")</f>
        <v/>
      </c>
      <c r="G65" s="7">
        <f>solar_cum_cap!C68</f>
        <v>1100.211</v>
      </c>
      <c r="H65" s="7">
        <f>estimated_capacity!C65</f>
        <v>1695.60662687585</v>
      </c>
      <c r="I65" s="7" cm="1">
        <f t="array" ref="I65">_xlfn.IFS(D65= ""," ",D65&lt;&gt; " ",F65*(G65/H65))</f>
        <v>0</v>
      </c>
      <c r="J65" s="7" cm="1">
        <f t="array" ref="J65">_xlfn.IFS(D65= ""," ",D65&lt;&gt; " ",(H65-F65)*(G65/H65))</f>
        <v>1100.211</v>
      </c>
      <c r="K65" s="7" cm="1">
        <f t="array" ref="K65">IF(ISNUMBER(H65),_xlfn.IFS(D65= ""," ",D65&lt;&gt; " ",F65*(G65/H65)),"")</f>
        <v>0</v>
      </c>
    </row>
    <row r="66" spans="1:11" s="7" customFormat="1" hidden="1" x14ac:dyDescent="0.35">
      <c r="A66" s="7" t="s">
        <v>31</v>
      </c>
      <c r="B66" s="7">
        <v>2021</v>
      </c>
      <c r="D66" s="7" t="s">
        <v>73</v>
      </c>
      <c r="E66" s="7" t="str" cm="1">
        <f t="array" ref="E66">_xlfn.IFS(D66=policy_name_clustering!$A$2,policy_name_clustering!$C$2,D66=policy_name_clustering!$A$3,policy_name_clustering!$C$3,D66=policy_name_clustering!$A$4,policy_name_clustering!$C$4,D66=policy_name_clustering!$A$5,policy_name_clustering!$C$5,D66=policy_name_clustering!$A$6,policy_name_clustering!$C$6,D66=policy_name_clustering!$A$7,policy_name_clustering!$C$7,D66=policy_name_clustering!$A$8,policy_name_clustering!$C$8,D66=policy_name_clustering!$A$9,policy_name_clustering!$C$9,D66=policy_name_clustering!$A$10,policy_name_clustering!$C$10,D66=policy_name_clustering!$A$11,policy_name_clustering!$C$11,D66=policy_name_clustering!$A$12,policy_name_clustering!$C$12,D66="-","")</f>
        <v/>
      </c>
      <c r="G66" s="7">
        <f>solar_cum_cap!C69</f>
        <v>1274.713</v>
      </c>
      <c r="H66" s="7">
        <f>estimated_capacity!C66</f>
        <v>1842.06242889084</v>
      </c>
      <c r="I66" s="7" cm="1">
        <f t="array" ref="I66">_xlfn.IFS(D66= ""," ",D66&lt;&gt; " ",F66*(G66/H66))</f>
        <v>0</v>
      </c>
      <c r="J66" s="7" cm="1">
        <f t="array" ref="J66">_xlfn.IFS(D66= ""," ",D66&lt;&gt; " ",(H66-F66)*(G66/H66))</f>
        <v>1274.713</v>
      </c>
      <c r="K66" s="7" cm="1">
        <f t="array" ref="K66">IF(ISNUMBER(H66),_xlfn.IFS(D66= ""," ",D66&lt;&gt; " ",F66*(G66/H66)),"")</f>
        <v>0</v>
      </c>
    </row>
    <row r="67" spans="1:11" s="7" customFormat="1" hidden="1" x14ac:dyDescent="0.35">
      <c r="A67" s="7" t="s">
        <v>31</v>
      </c>
      <c r="B67" s="7">
        <v>2022</v>
      </c>
      <c r="D67" s="7" t="s">
        <v>73</v>
      </c>
      <c r="E67" s="7" t="str" cm="1">
        <f t="array" ref="E67">_xlfn.IFS(D67=policy_name_clustering!$A$2,policy_name_clustering!$C$2,D67=policy_name_clustering!$A$3,policy_name_clustering!$C$3,D67=policy_name_clustering!$A$4,policy_name_clustering!$C$4,D67=policy_name_clustering!$A$5,policy_name_clustering!$C$5,D67=policy_name_clustering!$A$6,policy_name_clustering!$C$6,D67=policy_name_clustering!$A$7,policy_name_clustering!$C$7,D67=policy_name_clustering!$A$8,policy_name_clustering!$C$8,D67=policy_name_clustering!$A$9,policy_name_clustering!$C$9,D67=policy_name_clustering!$A$10,policy_name_clustering!$C$10,D67=policy_name_clustering!$A$11,policy_name_clustering!$C$11,D67=policy_name_clustering!$A$12,policy_name_clustering!$C$12,D67="-","")</f>
        <v/>
      </c>
      <c r="G67" s="7">
        <f>solar_cum_cap!C70</f>
        <v>1736.537</v>
      </c>
      <c r="H67" s="7">
        <f>estimated_capacity!C67</f>
        <v>2105.02942855418</v>
      </c>
      <c r="I67" s="7" cm="1">
        <f t="array" ref="I67">_xlfn.IFS(D67= ""," ",D67&lt;&gt; " ",F67*(G67/H67))</f>
        <v>0</v>
      </c>
      <c r="J67" s="7" cm="1">
        <f t="array" ref="J67">_xlfn.IFS(D67= ""," ",D67&lt;&gt; " ",(H67-F67)*(G67/H67))</f>
        <v>1736.537</v>
      </c>
      <c r="K67" s="7" cm="1">
        <f t="array" ref="K67">IF(ISNUMBER(H67),_xlfn.IFS(D67= ""," ",D67&lt;&gt; " ",F67*(G67/H67)),"")</f>
        <v>0</v>
      </c>
    </row>
    <row r="68" spans="1:11" s="7" customFormat="1" hidden="1" x14ac:dyDescent="0.35">
      <c r="A68" s="7" t="s">
        <v>31</v>
      </c>
      <c r="B68" s="7">
        <v>2023</v>
      </c>
      <c r="D68" s="7" t="s">
        <v>73</v>
      </c>
      <c r="E68" s="7" t="str" cm="1">
        <f t="array" ref="E68">_xlfn.IFS(D68=policy_name_clustering!$A$2,policy_name_clustering!$C$2,D68=policy_name_clustering!$A$3,policy_name_clustering!$C$3,D68=policy_name_clustering!$A$4,policy_name_clustering!$C$4,D68=policy_name_clustering!$A$5,policy_name_clustering!$C$5,D68=policy_name_clustering!$A$6,policy_name_clustering!$C$6,D68=policy_name_clustering!$A$7,policy_name_clustering!$C$7,D68=policy_name_clustering!$A$8,policy_name_clustering!$C$8,D68=policy_name_clustering!$A$9,policy_name_clustering!$C$9,D68=policy_name_clustering!$A$10,policy_name_clustering!$C$10,D68=policy_name_clustering!$A$11,policy_name_clustering!$C$11,D68=policy_name_clustering!$A$12,policy_name_clustering!$C$12,D68="-","")</f>
        <v/>
      </c>
      <c r="G68" s="7">
        <f>solar_cum_cap!C71</f>
        <v>2908.127</v>
      </c>
      <c r="H68" s="7">
        <f>estimated_capacity!C68</f>
        <v>2507.3816385158302</v>
      </c>
      <c r="I68" s="7" cm="1">
        <f t="array" ref="I68">_xlfn.IFS(D68= ""," ",D68&lt;&gt; " ",F68*(G68/H68))</f>
        <v>0</v>
      </c>
      <c r="J68" s="7" cm="1">
        <f t="array" ref="J68">_xlfn.IFS(D68= ""," ",D68&lt;&gt; " ",(H68-F68)*(G68/H68))</f>
        <v>2908.127</v>
      </c>
      <c r="K68" s="7" cm="1">
        <f t="array" ref="K68">IF(ISNUMBER(H68),_xlfn.IFS(D68= ""," ",D68&lt;&gt; " ",F68*(G68/H68)),"")</f>
        <v>0</v>
      </c>
    </row>
    <row r="69" spans="1:11" s="7" customFormat="1" hidden="1" x14ac:dyDescent="0.35">
      <c r="A69" s="7" t="s">
        <v>32</v>
      </c>
      <c r="B69" s="7">
        <v>2002</v>
      </c>
      <c r="D69" s="7" t="s">
        <v>73</v>
      </c>
      <c r="E69" s="7" t="str" cm="1">
        <f t="array" ref="E69">_xlfn.IFS(D69=policy_name_clustering!$A$2,policy_name_clustering!$C$2,D69=policy_name_clustering!$A$3,policy_name_clustering!$C$3,D69=policy_name_clustering!$A$4,policy_name_clustering!$C$4,D69=policy_name_clustering!$A$5,policy_name_clustering!$C$5,D69=policy_name_clustering!$A$6,policy_name_clustering!$C$6,D69=policy_name_clustering!$A$7,policy_name_clustering!$C$7,D69=policy_name_clustering!$A$8,policy_name_clustering!$C$8,D69=policy_name_clustering!$A$9,policy_name_clustering!$C$9,D69=policy_name_clustering!$A$10,policy_name_clustering!$C$10,D69=policy_name_clustering!$A$11,policy_name_clustering!$C$11,D69=policy_name_clustering!$A$12,policy_name_clustering!$C$12,D69="-","")</f>
        <v/>
      </c>
      <c r="G69" s="7">
        <f>solar_cum_cap!C73</f>
        <v>0.155</v>
      </c>
      <c r="H69" s="7">
        <f>estimated_capacity!C69</f>
        <v>53.3746322169794</v>
      </c>
      <c r="I69" s="7" cm="1">
        <f t="array" ref="I69">_xlfn.IFS(D69= ""," ",D69&lt;&gt; " ",F69*(G69/H69))</f>
        <v>0</v>
      </c>
      <c r="J69" s="7" cm="1">
        <f t="array" ref="J69">_xlfn.IFS(D69= ""," ",D69&lt;&gt; " ",(H69-F69)*(G69/H69))</f>
        <v>0.155</v>
      </c>
      <c r="K69" s="7" cm="1">
        <f t="array" ref="K69">IF(ISNUMBER(H69),_xlfn.IFS(D69= ""," ",D69&lt;&gt; " ",F69*(G69/H69)),"")</f>
        <v>0</v>
      </c>
    </row>
    <row r="70" spans="1:11" s="7" customFormat="1" hidden="1" x14ac:dyDescent="0.35">
      <c r="A70" s="7" t="s">
        <v>32</v>
      </c>
      <c r="B70" s="7">
        <v>2003</v>
      </c>
      <c r="D70" s="7" t="s">
        <v>73</v>
      </c>
      <c r="E70" s="7" t="str" cm="1">
        <f t="array" ref="E70">_xlfn.IFS(D70=policy_name_clustering!$A$2,policy_name_clustering!$C$2,D70=policy_name_clustering!$A$3,policy_name_clustering!$C$3,D70=policy_name_clustering!$A$4,policy_name_clustering!$C$4,D70=policy_name_clustering!$A$5,policy_name_clustering!$C$5,D70=policy_name_clustering!$A$6,policy_name_clustering!$C$6,D70=policy_name_clustering!$A$7,policy_name_clustering!$C$7,D70=policy_name_clustering!$A$8,policy_name_clustering!$C$8,D70=policy_name_clustering!$A$9,policy_name_clustering!$C$9,D70=policy_name_clustering!$A$10,policy_name_clustering!$C$10,D70=policy_name_clustering!$A$11,policy_name_clustering!$C$11,D70=policy_name_clustering!$A$12,policy_name_clustering!$C$12,D70="-","")</f>
        <v/>
      </c>
      <c r="G70" s="7">
        <f>solar_cum_cap!C74</f>
        <v>0.28899999999999998</v>
      </c>
      <c r="H70" s="7">
        <f>estimated_capacity!C70</f>
        <v>125.148331654594</v>
      </c>
      <c r="I70" s="7" cm="1">
        <f t="array" ref="I70">_xlfn.IFS(D70= ""," ",D70&lt;&gt; " ",F70*(G70/H70))</f>
        <v>0</v>
      </c>
      <c r="J70" s="7" cm="1">
        <f t="array" ref="J70">_xlfn.IFS(D70= ""," ",D70&lt;&gt; " ",(H70-F70)*(G70/H70))</f>
        <v>0.28899999999999998</v>
      </c>
      <c r="K70" s="7" cm="1">
        <f t="array" ref="K70">IF(ISNUMBER(H70),_xlfn.IFS(D70= ""," ",D70&lt;&gt; " ",F70*(G70/H70)),"")</f>
        <v>0</v>
      </c>
    </row>
    <row r="71" spans="1:11" s="7" customFormat="1" hidden="1" x14ac:dyDescent="0.35">
      <c r="A71" s="7" t="s">
        <v>32</v>
      </c>
      <c r="B71" s="7">
        <v>2004</v>
      </c>
      <c r="D71" s="7" t="s">
        <v>73</v>
      </c>
      <c r="E71" s="7" t="str" cm="1">
        <f t="array" ref="E71">_xlfn.IFS(D71=policy_name_clustering!$A$2,policy_name_clustering!$C$2,D71=policy_name_clustering!$A$3,policy_name_clustering!$C$3,D71=policy_name_clustering!$A$4,policy_name_clustering!$C$4,D71=policy_name_clustering!$A$5,policy_name_clustering!$C$5,D71=policy_name_clustering!$A$6,policy_name_clustering!$C$6,D71=policy_name_clustering!$A$7,policy_name_clustering!$C$7,D71=policy_name_clustering!$A$8,policy_name_clustering!$C$8,D71=policy_name_clustering!$A$9,policy_name_clustering!$C$9,D71=policy_name_clustering!$A$10,policy_name_clustering!$C$10,D71=policy_name_clustering!$A$11,policy_name_clustering!$C$11,D71=policy_name_clustering!$A$12,policy_name_clustering!$C$12,D71="-","")</f>
        <v/>
      </c>
      <c r="G71" s="7">
        <f>solar_cum_cap!C75</f>
        <v>0.41299999999999998</v>
      </c>
      <c r="H71" s="7">
        <f>estimated_capacity!C71</f>
        <v>241.32567317835901</v>
      </c>
      <c r="I71" s="7" cm="1">
        <f t="array" ref="I71">_xlfn.IFS(D71= ""," ",D71&lt;&gt; " ",F71*(G71/H71))</f>
        <v>0</v>
      </c>
      <c r="J71" s="7" cm="1">
        <f t="array" ref="J71">_xlfn.IFS(D71= ""," ",D71&lt;&gt; " ",(H71-F71)*(G71/H71))</f>
        <v>0.41299999999999998</v>
      </c>
      <c r="K71" s="7" cm="1">
        <f t="array" ref="K71">IF(ISNUMBER(H71),_xlfn.IFS(D71= ""," ",D71&lt;&gt; " ",F71*(G71/H71)),"")</f>
        <v>0</v>
      </c>
    </row>
    <row r="72" spans="1:11" s="7" customFormat="1" hidden="1" x14ac:dyDescent="0.35">
      <c r="A72" s="7" t="s">
        <v>32</v>
      </c>
      <c r="B72" s="7">
        <v>2005</v>
      </c>
      <c r="D72" s="7" t="s">
        <v>73</v>
      </c>
      <c r="E72" s="7" t="str" cm="1">
        <f t="array" ref="E72">_xlfn.IFS(D72=policy_name_clustering!$A$2,policy_name_clustering!$C$2,D72=policy_name_clustering!$A$3,policy_name_clustering!$C$3,D72=policy_name_clustering!$A$4,policy_name_clustering!$C$4,D72=policy_name_clustering!$A$5,policy_name_clustering!$C$5,D72=policy_name_clustering!$A$6,policy_name_clustering!$C$6,D72=policy_name_clustering!$A$7,policy_name_clustering!$C$7,D72=policy_name_clustering!$A$8,policy_name_clustering!$C$8,D72=policy_name_clustering!$A$9,policy_name_clustering!$C$9,D72=policy_name_clustering!$A$10,policy_name_clustering!$C$10,D72=policy_name_clustering!$A$11,policy_name_clustering!$C$11,D72=policy_name_clustering!$A$12,policy_name_clustering!$C$12,D72="-","")</f>
        <v/>
      </c>
      <c r="G72" s="7">
        <f>solar_cum_cap!C76</f>
        <v>0.58599999999999997</v>
      </c>
      <c r="H72" s="7">
        <f>estimated_capacity!C72</f>
        <v>346.51776556748302</v>
      </c>
      <c r="I72" s="7" cm="1">
        <f t="array" ref="I72">_xlfn.IFS(D72= ""," ",D72&lt;&gt; " ",F72*(G72/H72))</f>
        <v>0</v>
      </c>
      <c r="J72" s="7" cm="1">
        <f t="array" ref="J72">_xlfn.IFS(D72= ""," ",D72&lt;&gt; " ",(H72-F72)*(G72/H72))</f>
        <v>0.58599999999999997</v>
      </c>
      <c r="K72" s="7" cm="1">
        <f t="array" ref="K72">IF(ISNUMBER(H72),_xlfn.IFS(D72= ""," ",D72&lt;&gt; " ",F72*(G72/H72)),"")</f>
        <v>0</v>
      </c>
    </row>
    <row r="73" spans="1:11" s="7" customFormat="1" hidden="1" x14ac:dyDescent="0.35">
      <c r="A73" s="7" t="s">
        <v>32</v>
      </c>
      <c r="B73" s="7">
        <v>2006</v>
      </c>
      <c r="D73" s="7" t="s">
        <v>73</v>
      </c>
      <c r="E73" s="7" t="str" cm="1">
        <f t="array" ref="E73">_xlfn.IFS(D73=policy_name_clustering!$A$2,policy_name_clustering!$C$2,D73=policy_name_clustering!$A$3,policy_name_clustering!$C$3,D73=policy_name_clustering!$A$4,policy_name_clustering!$C$4,D73=policy_name_clustering!$A$5,policy_name_clustering!$C$5,D73=policy_name_clustering!$A$6,policy_name_clustering!$C$6,D73=policy_name_clustering!$A$7,policy_name_clustering!$C$7,D73=policy_name_clustering!$A$8,policy_name_clustering!$C$8,D73=policy_name_clustering!$A$9,policy_name_clustering!$C$9,D73=policy_name_clustering!$A$10,policy_name_clustering!$C$10,D73=policy_name_clustering!$A$11,policy_name_clustering!$C$11,D73=policy_name_clustering!$A$12,policy_name_clustering!$C$12,D73="-","")</f>
        <v/>
      </c>
      <c r="G73" s="7">
        <f>solar_cum_cap!C77</f>
        <v>0.84099999999999997</v>
      </c>
      <c r="H73" s="7">
        <f>estimated_capacity!C73</f>
        <v>457.068740746797</v>
      </c>
      <c r="I73" s="7" cm="1">
        <f t="array" ref="I73">_xlfn.IFS(D73= ""," ",D73&lt;&gt; " ",F73*(G73/H73))</f>
        <v>0</v>
      </c>
      <c r="J73" s="7" cm="1">
        <f t="array" ref="J73">_xlfn.IFS(D73= ""," ",D73&lt;&gt; " ",(H73-F73)*(G73/H73))</f>
        <v>0.84099999999999997</v>
      </c>
      <c r="K73" s="7" cm="1">
        <f t="array" ref="K73">IF(ISNUMBER(H73),_xlfn.IFS(D73= ""," ",D73&lt;&gt; " ",F73*(G73/H73)),"")</f>
        <v>0</v>
      </c>
    </row>
    <row r="74" spans="1:11" s="7" customFormat="1" hidden="1" x14ac:dyDescent="0.35">
      <c r="A74" s="7" t="s">
        <v>32</v>
      </c>
      <c r="B74" s="7">
        <v>2007</v>
      </c>
      <c r="D74" s="7" t="s">
        <v>73</v>
      </c>
      <c r="E74" s="7" t="str" cm="1">
        <f t="array" ref="E74">_xlfn.IFS(D74=policy_name_clustering!$A$2,policy_name_clustering!$C$2,D74=policy_name_clustering!$A$3,policy_name_clustering!$C$3,D74=policy_name_clustering!$A$4,policy_name_clustering!$C$4,D74=policy_name_clustering!$A$5,policy_name_clustering!$C$5,D74=policy_name_clustering!$A$6,policy_name_clustering!$C$6,D74=policy_name_clustering!$A$7,policy_name_clustering!$C$7,D74=policy_name_clustering!$A$8,policy_name_clustering!$C$8,D74=policy_name_clustering!$A$9,policy_name_clustering!$C$9,D74=policy_name_clustering!$A$10,policy_name_clustering!$C$10,D74=policy_name_clustering!$A$11,policy_name_clustering!$C$11,D74=policy_name_clustering!$A$12,policy_name_clustering!$C$12,D74="-","")</f>
        <v/>
      </c>
      <c r="G74" s="7">
        <f>solar_cum_cap!C78</f>
        <v>3.9609999999999999</v>
      </c>
      <c r="H74" s="7">
        <f>estimated_capacity!C74</f>
        <v>573.86536495835401</v>
      </c>
      <c r="I74" s="7" cm="1">
        <f t="array" ref="I74">_xlfn.IFS(D74= ""," ",D74&lt;&gt; " ",F74*(G74/H74))</f>
        <v>0</v>
      </c>
      <c r="J74" s="7" cm="1">
        <f t="array" ref="J74">_xlfn.IFS(D74= ""," ",D74&lt;&gt; " ",(H74-F74)*(G74/H74))</f>
        <v>3.9609999999999999</v>
      </c>
      <c r="K74" s="7" cm="1">
        <f t="array" ref="K74">IF(ISNUMBER(H74),_xlfn.IFS(D74= ""," ",D74&lt;&gt; " ",F74*(G74/H74)),"")</f>
        <v>0</v>
      </c>
    </row>
    <row r="75" spans="1:11" s="7" customFormat="1" hidden="1" x14ac:dyDescent="0.35">
      <c r="A75" s="7" t="s">
        <v>32</v>
      </c>
      <c r="B75" s="7">
        <v>2008</v>
      </c>
      <c r="D75" s="7" t="s">
        <v>73</v>
      </c>
      <c r="E75" s="7" t="str" cm="1">
        <f t="array" ref="E75">_xlfn.IFS(D75=policy_name_clustering!$A$2,policy_name_clustering!$C$2,D75=policy_name_clustering!$A$3,policy_name_clustering!$C$3,D75=policy_name_clustering!$A$4,policy_name_clustering!$C$4,D75=policy_name_clustering!$A$5,policy_name_clustering!$C$5,D75=policy_name_clustering!$A$6,policy_name_clustering!$C$6,D75=policy_name_clustering!$A$7,policy_name_clustering!$C$7,D75=policy_name_clustering!$A$8,policy_name_clustering!$C$8,D75=policy_name_clustering!$A$9,policy_name_clustering!$C$9,D75=policy_name_clustering!$A$10,policy_name_clustering!$C$10,D75=policy_name_clustering!$A$11,policy_name_clustering!$C$11,D75=policy_name_clustering!$A$12,policy_name_clustering!$C$12,D75="-","")</f>
        <v/>
      </c>
      <c r="G75" s="7">
        <f>solar_cum_cap!C79</f>
        <v>39.5</v>
      </c>
      <c r="H75" s="7">
        <f>estimated_capacity!C75</f>
        <v>715.83860552282999</v>
      </c>
      <c r="I75" s="7" cm="1">
        <f t="array" ref="I75">_xlfn.IFS(D75= ""," ",D75&lt;&gt; " ",F75*(G75/H75))</f>
        <v>0</v>
      </c>
      <c r="J75" s="7" cm="1">
        <f t="array" ref="J75">_xlfn.IFS(D75= ""," ",D75&lt;&gt; " ",(H75-F75)*(G75/H75))</f>
        <v>39.5</v>
      </c>
      <c r="K75" s="7" cm="1">
        <f t="array" ref="K75">IF(ISNUMBER(H75),_xlfn.IFS(D75= ""," ",D75&lt;&gt; " ",F75*(G75/H75)),"")</f>
        <v>0</v>
      </c>
    </row>
    <row r="76" spans="1:11" s="7" customFormat="1" hidden="1" x14ac:dyDescent="0.35">
      <c r="A76" s="7" t="s">
        <v>32</v>
      </c>
      <c r="B76" s="7">
        <v>2009</v>
      </c>
      <c r="D76" s="7" t="s">
        <v>73</v>
      </c>
      <c r="E76" s="7" t="str" cm="1">
        <f t="array" ref="E76">_xlfn.IFS(D76=policy_name_clustering!$A$2,policy_name_clustering!$C$2,D76=policy_name_clustering!$A$3,policy_name_clustering!$C$3,D76=policy_name_clustering!$A$4,policy_name_clustering!$C$4,D76=policy_name_clustering!$A$5,policy_name_clustering!$C$5,D76=policy_name_clustering!$A$6,policy_name_clustering!$C$6,D76=policy_name_clustering!$A$7,policy_name_clustering!$C$7,D76=policy_name_clustering!$A$8,policy_name_clustering!$C$8,D76=policy_name_clustering!$A$9,policy_name_clustering!$C$9,D76=policy_name_clustering!$A$10,policy_name_clustering!$C$10,D76=policy_name_clustering!$A$11,policy_name_clustering!$C$11,D76=policy_name_clustering!$A$12,policy_name_clustering!$C$12,D76="-","")</f>
        <v/>
      </c>
      <c r="G76" s="7">
        <f>solar_cum_cap!C80</f>
        <v>464.6</v>
      </c>
      <c r="H76" s="7">
        <f>estimated_capacity!C76</f>
        <v>881.73394821849001</v>
      </c>
      <c r="I76" s="7" cm="1">
        <f t="array" ref="I76">_xlfn.IFS(D76= ""," ",D76&lt;&gt; " ",F76*(G76/H76))</f>
        <v>0</v>
      </c>
      <c r="J76" s="7" cm="1">
        <f t="array" ref="J76">_xlfn.IFS(D76= ""," ",D76&lt;&gt; " ",(H76-F76)*(G76/H76))</f>
        <v>464.59999999999997</v>
      </c>
      <c r="K76" s="7" cm="1">
        <f t="array" ref="K76">IF(ISNUMBER(H76),_xlfn.IFS(D76= ""," ",D76&lt;&gt; " ",F76*(G76/H76)),"")</f>
        <v>0</v>
      </c>
    </row>
    <row r="77" spans="1:11" s="7" customFormat="1" hidden="1" x14ac:dyDescent="0.35">
      <c r="A77" s="7" t="s">
        <v>32</v>
      </c>
      <c r="B77" s="7">
        <v>2010</v>
      </c>
      <c r="D77" s="7" t="s">
        <v>73</v>
      </c>
      <c r="E77" s="7" t="str" cm="1">
        <f t="array" ref="E77">_xlfn.IFS(D77=policy_name_clustering!$A$2,policy_name_clustering!$C$2,D77=policy_name_clustering!$A$3,policy_name_clustering!$C$3,D77=policy_name_clustering!$A$4,policy_name_clustering!$C$4,D77=policy_name_clustering!$A$5,policy_name_clustering!$C$5,D77=policy_name_clustering!$A$6,policy_name_clustering!$C$6,D77=policy_name_clustering!$A$7,policy_name_clustering!$C$7,D77=policy_name_clustering!$A$8,policy_name_clustering!$C$8,D77=policy_name_clustering!$A$9,policy_name_clustering!$C$9,D77=policy_name_clustering!$A$10,policy_name_clustering!$C$10,D77=policy_name_clustering!$A$11,policy_name_clustering!$C$11,D77=policy_name_clustering!$A$12,policy_name_clustering!$C$12,D77="-","")</f>
        <v/>
      </c>
      <c r="G77" s="7">
        <f>solar_cum_cap!C81</f>
        <v>1727</v>
      </c>
      <c r="H77" s="7">
        <f>estimated_capacity!C77</f>
        <v>1092.7020181314001</v>
      </c>
      <c r="I77" s="7" cm="1">
        <f t="array" ref="I77">_xlfn.IFS(D77= ""," ",D77&lt;&gt; " ",F77*(G77/H77))</f>
        <v>0</v>
      </c>
      <c r="J77" s="7" cm="1">
        <f t="array" ref="J77">_xlfn.IFS(D77= ""," ",D77&lt;&gt; " ",(H77-F77)*(G77/H77))</f>
        <v>1727</v>
      </c>
      <c r="K77" s="7" cm="1">
        <f t="array" ref="K77">IF(ISNUMBER(H77),_xlfn.IFS(D77= ""," ",D77&lt;&gt; " ",F77*(G77/H77)),"")</f>
        <v>0</v>
      </c>
    </row>
    <row r="78" spans="1:11" s="7" customFormat="1" hidden="1" x14ac:dyDescent="0.35">
      <c r="A78" s="7" t="s">
        <v>32</v>
      </c>
      <c r="B78" s="7">
        <v>2011</v>
      </c>
      <c r="D78" s="7" t="s">
        <v>73</v>
      </c>
      <c r="E78" s="7" t="str" cm="1">
        <f t="array" ref="E78">_xlfn.IFS(D78=policy_name_clustering!$A$2,policy_name_clustering!$C$2,D78=policy_name_clustering!$A$3,policy_name_clustering!$C$3,D78=policy_name_clustering!$A$4,policy_name_clustering!$C$4,D78=policy_name_clustering!$A$5,policy_name_clustering!$C$5,D78=policy_name_clustering!$A$6,policy_name_clustering!$C$6,D78=policy_name_clustering!$A$7,policy_name_clustering!$C$7,D78=policy_name_clustering!$A$8,policy_name_clustering!$C$8,D78=policy_name_clustering!$A$9,policy_name_clustering!$C$9,D78=policy_name_clustering!$A$10,policy_name_clustering!$C$10,D78=policy_name_clustering!$A$11,policy_name_clustering!$C$11,D78=policy_name_clustering!$A$12,policy_name_clustering!$C$12,D78="-","")</f>
        <v/>
      </c>
      <c r="G78" s="7">
        <f>solar_cum_cap!C82</f>
        <v>1909.3530000000001</v>
      </c>
      <c r="H78" s="7">
        <f>estimated_capacity!C78</f>
        <v>1352.6187379611499</v>
      </c>
      <c r="I78" s="7" cm="1">
        <f t="array" ref="I78">_xlfn.IFS(D78= ""," ",D78&lt;&gt; " ",F78*(G78/H78))</f>
        <v>0</v>
      </c>
      <c r="J78" s="7" cm="1">
        <f t="array" ref="J78">_xlfn.IFS(D78= ""," ",D78&lt;&gt; " ",(H78-F78)*(G78/H78))</f>
        <v>1909.3530000000003</v>
      </c>
      <c r="K78" s="7" cm="1">
        <f t="array" ref="K78">IF(ISNUMBER(H78),_xlfn.IFS(D78= ""," ",D78&lt;&gt; " ",F78*(G78/H78)),"")</f>
        <v>0</v>
      </c>
    </row>
    <row r="79" spans="1:11" s="7" customFormat="1" hidden="1" x14ac:dyDescent="0.35">
      <c r="A79" s="7" t="s">
        <v>32</v>
      </c>
      <c r="B79" s="7">
        <v>2012</v>
      </c>
      <c r="D79" s="7" t="s">
        <v>73</v>
      </c>
      <c r="E79" s="7" t="str" cm="1">
        <f t="array" ref="E79">_xlfn.IFS(D79=policy_name_clustering!$A$2,policy_name_clustering!$C$2,D79=policy_name_clustering!$A$3,policy_name_clustering!$C$3,D79=policy_name_clustering!$A$4,policy_name_clustering!$C$4,D79=policy_name_clustering!$A$5,policy_name_clustering!$C$5,D79=policy_name_clustering!$A$6,policy_name_clustering!$C$6,D79=policy_name_clustering!$A$7,policy_name_clustering!$C$7,D79=policy_name_clustering!$A$8,policy_name_clustering!$C$8,D79=policy_name_clustering!$A$9,policy_name_clustering!$C$9,D79=policy_name_clustering!$A$10,policy_name_clustering!$C$10,D79=policy_name_clustering!$A$11,policy_name_clustering!$C$11,D79=policy_name_clustering!$A$12,policy_name_clustering!$C$12,D79="-","")</f>
        <v/>
      </c>
      <c r="G79" s="7">
        <f>solar_cum_cap!C83</f>
        <v>2014.1610000000001</v>
      </c>
      <c r="H79" s="7">
        <f>estimated_capacity!C79</f>
        <v>1368.10764147188</v>
      </c>
      <c r="I79" s="7" cm="1">
        <f t="array" ref="I79">_xlfn.IFS(D79= ""," ",D79&lt;&gt; " ",F79*(G79/H79))</f>
        <v>0</v>
      </c>
      <c r="J79" s="7" cm="1">
        <f t="array" ref="J79">_xlfn.IFS(D79= ""," ",D79&lt;&gt; " ",(H79-F79)*(G79/H79))</f>
        <v>2014.1610000000001</v>
      </c>
      <c r="K79" s="7" cm="1">
        <f t="array" ref="K79">IF(ISNUMBER(H79),_xlfn.IFS(D79= ""," ",D79&lt;&gt; " ",F79*(G79/H79)),"")</f>
        <v>0</v>
      </c>
    </row>
    <row r="80" spans="1:11" s="7" customFormat="1" hidden="1" x14ac:dyDescent="0.35">
      <c r="A80" s="7" t="s">
        <v>32</v>
      </c>
      <c r="B80" s="7">
        <v>2013</v>
      </c>
      <c r="D80" s="7" t="s">
        <v>73</v>
      </c>
      <c r="E80" s="7" t="str" cm="1">
        <f t="array" ref="E80">_xlfn.IFS(D80=policy_name_clustering!$A$2,policy_name_clustering!$C$2,D80=policy_name_clustering!$A$3,policy_name_clustering!$C$3,D80=policy_name_clustering!$A$4,policy_name_clustering!$C$4,D80=policy_name_clustering!$A$5,policy_name_clustering!$C$5,D80=policy_name_clustering!$A$6,policy_name_clustering!$C$6,D80=policy_name_clustering!$A$7,policy_name_clustering!$C$7,D80=policy_name_clustering!$A$8,policy_name_clustering!$C$8,D80=policy_name_clustering!$A$9,policy_name_clustering!$C$9,D80=policy_name_clustering!$A$10,policy_name_clustering!$C$10,D80=policy_name_clustering!$A$11,policy_name_clustering!$C$11,D80=policy_name_clustering!$A$12,policy_name_clustering!$C$12,D80="-","")</f>
        <v/>
      </c>
      <c r="G80" s="7">
        <f>solar_cum_cap!C84</f>
        <v>2052.9459999999999</v>
      </c>
      <c r="H80" s="7">
        <f>estimated_capacity!C80</f>
        <v>1409.5697288271199</v>
      </c>
      <c r="I80" s="7" cm="1">
        <f t="array" ref="I80">_xlfn.IFS(D80= ""," ",D80&lt;&gt; " ",F80*(G80/H80))</f>
        <v>0</v>
      </c>
      <c r="J80" s="7" cm="1">
        <f t="array" ref="J80">_xlfn.IFS(D80= ""," ",D80&lt;&gt; " ",(H80-F80)*(G80/H80))</f>
        <v>2052.9459999999999</v>
      </c>
      <c r="K80" s="7" cm="1">
        <f t="array" ref="K80">IF(ISNUMBER(H80),_xlfn.IFS(D80= ""," ",D80&lt;&gt; " ",F80*(G80/H80)),"")</f>
        <v>0</v>
      </c>
    </row>
    <row r="81" spans="1:11" s="7" customFormat="1" hidden="1" x14ac:dyDescent="0.35">
      <c r="A81" s="7" t="s">
        <v>32</v>
      </c>
      <c r="B81" s="7">
        <v>2014</v>
      </c>
      <c r="D81" s="7" t="s">
        <v>73</v>
      </c>
      <c r="E81" s="7" t="str" cm="1">
        <f t="array" ref="E81">_xlfn.IFS(D81=policy_name_clustering!$A$2,policy_name_clustering!$C$2,D81=policy_name_clustering!$A$3,policy_name_clustering!$C$3,D81=policy_name_clustering!$A$4,policy_name_clustering!$C$4,D81=policy_name_clustering!$A$5,policy_name_clustering!$C$5,D81=policy_name_clustering!$A$6,policy_name_clustering!$C$6,D81=policy_name_clustering!$A$7,policy_name_clustering!$C$7,D81=policy_name_clustering!$A$8,policy_name_clustering!$C$8,D81=policy_name_clustering!$A$9,policy_name_clustering!$C$9,D81=policy_name_clustering!$A$10,policy_name_clustering!$C$10,D81=policy_name_clustering!$A$11,policy_name_clustering!$C$11,D81=policy_name_clustering!$A$12,policy_name_clustering!$C$12,D81="-","")</f>
        <v/>
      </c>
      <c r="G81" s="7">
        <f>solar_cum_cap!C85</f>
        <v>2056.4589999999998</v>
      </c>
      <c r="H81" s="7">
        <f>estimated_capacity!C81</f>
        <v>1461.4958818099001</v>
      </c>
      <c r="I81" s="7" cm="1">
        <f t="array" ref="I81">_xlfn.IFS(D81= ""," ",D81&lt;&gt; " ",F81*(G81/H81))</f>
        <v>0</v>
      </c>
      <c r="J81" s="7" cm="1">
        <f t="array" ref="J81">_xlfn.IFS(D81= ""," ",D81&lt;&gt; " ",(H81-F81)*(G81/H81))</f>
        <v>2056.4589999999998</v>
      </c>
      <c r="K81" s="7" cm="1">
        <f t="array" ref="K81">IF(ISNUMBER(H81),_xlfn.IFS(D81= ""," ",D81&lt;&gt; " ",F81*(G81/H81)),"")</f>
        <v>0</v>
      </c>
    </row>
    <row r="82" spans="1:11" s="7" customFormat="1" hidden="1" x14ac:dyDescent="0.35">
      <c r="A82" s="7" t="s">
        <v>32</v>
      </c>
      <c r="B82" s="7">
        <v>2015</v>
      </c>
      <c r="D82" s="7" t="s">
        <v>73</v>
      </c>
      <c r="E82" s="7" t="str" cm="1">
        <f t="array" ref="E82">_xlfn.IFS(D82=policy_name_clustering!$A$2,policy_name_clustering!$C$2,D82=policy_name_clustering!$A$3,policy_name_clustering!$C$3,D82=policy_name_clustering!$A$4,policy_name_clustering!$C$4,D82=policy_name_clustering!$A$5,policy_name_clustering!$C$5,D82=policy_name_clustering!$A$6,policy_name_clustering!$C$6,D82=policy_name_clustering!$A$7,policy_name_clustering!$C$7,D82=policy_name_clustering!$A$8,policy_name_clustering!$C$8,D82=policy_name_clustering!$A$9,policy_name_clustering!$C$9,D82=policy_name_clustering!$A$10,policy_name_clustering!$C$10,D82=policy_name_clustering!$A$11,policy_name_clustering!$C$11,D82=policy_name_clustering!$A$12,policy_name_clustering!$C$12,D82="-","")</f>
        <v/>
      </c>
      <c r="G82" s="7">
        <f>solar_cum_cap!C86</f>
        <v>2063.038</v>
      </c>
      <c r="H82" s="7">
        <f>estimated_capacity!C82</f>
        <v>1475.3981882354401</v>
      </c>
      <c r="I82" s="7" cm="1">
        <f t="array" ref="I82">_xlfn.IFS(D82= ""," ",D82&lt;&gt; " ",F82*(G82/H82))</f>
        <v>0</v>
      </c>
      <c r="J82" s="7" cm="1">
        <f t="array" ref="J82">_xlfn.IFS(D82= ""," ",D82&lt;&gt; " ",(H82-F82)*(G82/H82))</f>
        <v>2063.038</v>
      </c>
      <c r="K82" s="7" cm="1">
        <f t="array" ref="K82">IF(ISNUMBER(H82),_xlfn.IFS(D82= ""," ",D82&lt;&gt; " ",F82*(G82/H82)),"")</f>
        <v>0</v>
      </c>
    </row>
    <row r="83" spans="1:11" s="7" customFormat="1" hidden="1" x14ac:dyDescent="0.35">
      <c r="A83" s="7" t="s">
        <v>32</v>
      </c>
      <c r="B83" s="7">
        <v>2016</v>
      </c>
      <c r="D83" s="7" t="s">
        <v>73</v>
      </c>
      <c r="E83" s="7" t="str" cm="1">
        <f t="array" ref="E83">_xlfn.IFS(D83=policy_name_clustering!$A$2,policy_name_clustering!$C$2,D83=policy_name_clustering!$A$3,policy_name_clustering!$C$3,D83=policy_name_clustering!$A$4,policy_name_clustering!$C$4,D83=policy_name_clustering!$A$5,policy_name_clustering!$C$5,D83=policy_name_clustering!$A$6,policy_name_clustering!$C$6,D83=policy_name_clustering!$A$7,policy_name_clustering!$C$7,D83=policy_name_clustering!$A$8,policy_name_clustering!$C$8,D83=policy_name_clustering!$A$9,policy_name_clustering!$C$9,D83=policy_name_clustering!$A$10,policy_name_clustering!$C$10,D83=policy_name_clustering!$A$11,policy_name_clustering!$C$11,D83=policy_name_clustering!$A$12,policy_name_clustering!$C$12,D83="-","")</f>
        <v/>
      </c>
      <c r="G83" s="7">
        <f>solar_cum_cap!C87</f>
        <v>2055.4079999999999</v>
      </c>
      <c r="H83" s="7">
        <f>estimated_capacity!C83</f>
        <v>1490.10082861097</v>
      </c>
      <c r="I83" s="7" cm="1">
        <f t="array" ref="I83">_xlfn.IFS(D83= ""," ",D83&lt;&gt; " ",F83*(G83/H83))</f>
        <v>0</v>
      </c>
      <c r="J83" s="7" cm="1">
        <f t="array" ref="J83">_xlfn.IFS(D83= ""," ",D83&lt;&gt; " ",(H83-F83)*(G83/H83))</f>
        <v>2055.4079999999999</v>
      </c>
      <c r="K83" s="7" cm="1">
        <f t="array" ref="K83">IF(ISNUMBER(H83),_xlfn.IFS(D83= ""," ",D83&lt;&gt; " ",F83*(G83/H83)),"")</f>
        <v>0</v>
      </c>
    </row>
    <row r="84" spans="1:11" s="7" customFormat="1" hidden="1" x14ac:dyDescent="0.35">
      <c r="A84" s="7" t="s">
        <v>32</v>
      </c>
      <c r="B84" s="7">
        <v>2017</v>
      </c>
      <c r="D84" s="7" t="s">
        <v>73</v>
      </c>
      <c r="E84" s="7" t="str" cm="1">
        <f t="array" ref="E84">_xlfn.IFS(D84=policy_name_clustering!$A$2,policy_name_clustering!$C$2,D84=policy_name_clustering!$A$3,policy_name_clustering!$C$3,D84=policy_name_clustering!$A$4,policy_name_clustering!$C$4,D84=policy_name_clustering!$A$5,policy_name_clustering!$C$5,D84=policy_name_clustering!$A$6,policy_name_clustering!$C$6,D84=policy_name_clustering!$A$7,policy_name_clustering!$C$7,D84=policy_name_clustering!$A$8,policy_name_clustering!$C$8,D84=policy_name_clustering!$A$9,policy_name_clustering!$C$9,D84=policy_name_clustering!$A$10,policy_name_clustering!$C$10,D84=policy_name_clustering!$A$11,policy_name_clustering!$C$11,D84=policy_name_clustering!$A$12,policy_name_clustering!$C$12,D84="-","")</f>
        <v/>
      </c>
      <c r="G84" s="7">
        <f>solar_cum_cap!C88</f>
        <v>2061.9059999999999</v>
      </c>
      <c r="H84" s="7">
        <f>estimated_capacity!C84</f>
        <v>1558.8666197804</v>
      </c>
      <c r="I84" s="7" cm="1">
        <f t="array" ref="I84">_xlfn.IFS(D84= ""," ",D84&lt;&gt; " ",F84*(G84/H84))</f>
        <v>0</v>
      </c>
      <c r="J84" s="7" cm="1">
        <f t="array" ref="J84">_xlfn.IFS(D84= ""," ",D84&lt;&gt; " ",(H84-F84)*(G84/H84))</f>
        <v>2061.9059999999999</v>
      </c>
      <c r="K84" s="7" cm="1">
        <f t="array" ref="K84">IF(ISNUMBER(H84),_xlfn.IFS(D84= ""," ",D84&lt;&gt; " ",F84*(G84/H84)),"")</f>
        <v>0</v>
      </c>
    </row>
    <row r="85" spans="1:11" s="7" customFormat="1" hidden="1" x14ac:dyDescent="0.35">
      <c r="A85" s="7" t="s">
        <v>32</v>
      </c>
      <c r="B85" s="7">
        <v>2018</v>
      </c>
      <c r="D85" s="7" t="s">
        <v>73</v>
      </c>
      <c r="E85" s="7" t="str" cm="1">
        <f t="array" ref="E85">_xlfn.IFS(D85=policy_name_clustering!$A$2,policy_name_clustering!$C$2,D85=policy_name_clustering!$A$3,policy_name_clustering!$C$3,D85=policy_name_clustering!$A$4,policy_name_clustering!$C$4,D85=policy_name_clustering!$A$5,policy_name_clustering!$C$5,D85=policy_name_clustering!$A$6,policy_name_clustering!$C$6,D85=policy_name_clustering!$A$7,policy_name_clustering!$C$7,D85=policy_name_clustering!$A$8,policy_name_clustering!$C$8,D85=policy_name_clustering!$A$9,policy_name_clustering!$C$9,D85=policy_name_clustering!$A$10,policy_name_clustering!$C$10,D85=policy_name_clustering!$A$11,policy_name_clustering!$C$11,D85=policy_name_clustering!$A$12,policy_name_clustering!$C$12,D85="-","")</f>
        <v/>
      </c>
      <c r="G85" s="7">
        <f>solar_cum_cap!C89</f>
        <v>2067.52</v>
      </c>
      <c r="H85" s="7">
        <f>estimated_capacity!C85</f>
        <v>1700.4258928122399</v>
      </c>
      <c r="I85" s="7" cm="1">
        <f t="array" ref="I85">_xlfn.IFS(D85= ""," ",D85&lt;&gt; " ",F85*(G85/H85))</f>
        <v>0</v>
      </c>
      <c r="J85" s="7" cm="1">
        <f t="array" ref="J85">_xlfn.IFS(D85= ""," ",D85&lt;&gt; " ",(H85-F85)*(G85/H85))</f>
        <v>2067.52</v>
      </c>
      <c r="K85" s="7" cm="1">
        <f t="array" ref="K85">IF(ISNUMBER(H85),_xlfn.IFS(D85= ""," ",D85&lt;&gt; " ",F85*(G85/H85)),"")</f>
        <v>0</v>
      </c>
    </row>
    <row r="86" spans="1:11" s="7" customFormat="1" hidden="1" x14ac:dyDescent="0.35">
      <c r="A86" s="7" t="s">
        <v>32</v>
      </c>
      <c r="B86" s="7">
        <v>2019</v>
      </c>
      <c r="D86" s="7" t="s">
        <v>73</v>
      </c>
      <c r="E86" s="7" t="str" cm="1">
        <f t="array" ref="E86">_xlfn.IFS(D86=policy_name_clustering!$A$2,policy_name_clustering!$C$2,D86=policy_name_clustering!$A$3,policy_name_clustering!$C$3,D86=policy_name_clustering!$A$4,policy_name_clustering!$C$4,D86=policy_name_clustering!$A$5,policy_name_clustering!$C$5,D86=policy_name_clustering!$A$6,policy_name_clustering!$C$6,D86=policy_name_clustering!$A$7,policy_name_clustering!$C$7,D86=policy_name_clustering!$A$8,policy_name_clustering!$C$8,D86=policy_name_clustering!$A$9,policy_name_clustering!$C$9,D86=policy_name_clustering!$A$10,policy_name_clustering!$C$10,D86=policy_name_clustering!$A$11,policy_name_clustering!$C$11,D86=policy_name_clustering!$A$12,policy_name_clustering!$C$12,D86="-","")</f>
        <v/>
      </c>
      <c r="G86" s="7">
        <f>solar_cum_cap!C90</f>
        <v>2084.848</v>
      </c>
      <c r="H86" s="7">
        <f>estimated_capacity!C86</f>
        <v>1825.0443998104899</v>
      </c>
      <c r="I86" s="7" cm="1">
        <f t="array" ref="I86">_xlfn.IFS(D86= ""," ",D86&lt;&gt; " ",F86*(G86/H86))</f>
        <v>0</v>
      </c>
      <c r="J86" s="7" cm="1">
        <f t="array" ref="J86">_xlfn.IFS(D86= ""," ",D86&lt;&gt; " ",(H86-F86)*(G86/H86))</f>
        <v>2084.848</v>
      </c>
      <c r="K86" s="7" cm="1">
        <f t="array" ref="K86">IF(ISNUMBER(H86),_xlfn.IFS(D86= ""," ",D86&lt;&gt; " ",F86*(G86/H86)),"")</f>
        <v>0</v>
      </c>
    </row>
    <row r="87" spans="1:11" s="7" customFormat="1" hidden="1" x14ac:dyDescent="0.35">
      <c r="A87" s="7" t="s">
        <v>32</v>
      </c>
      <c r="B87" s="7">
        <v>2020</v>
      </c>
      <c r="D87" s="7" t="s">
        <v>73</v>
      </c>
      <c r="E87" s="7" t="str" cm="1">
        <f t="array" ref="E87">_xlfn.IFS(D87=policy_name_clustering!$A$2,policy_name_clustering!$C$2,D87=policy_name_clustering!$A$3,policy_name_clustering!$C$3,D87=policy_name_clustering!$A$4,policy_name_clustering!$C$4,D87=policy_name_clustering!$A$5,policy_name_clustering!$C$5,D87=policy_name_clustering!$A$6,policy_name_clustering!$C$6,D87=policy_name_clustering!$A$7,policy_name_clustering!$C$7,D87=policy_name_clustering!$A$8,policy_name_clustering!$C$8,D87=policy_name_clustering!$A$9,policy_name_clustering!$C$9,D87=policy_name_clustering!$A$10,policy_name_clustering!$C$10,D87=policy_name_clustering!$A$11,policy_name_clustering!$C$11,D87=policy_name_clustering!$A$12,policy_name_clustering!$C$12,D87="-","")</f>
        <v/>
      </c>
      <c r="G87" s="7">
        <f>solar_cum_cap!C91</f>
        <v>2124.1770000000001</v>
      </c>
      <c r="H87" s="7">
        <f>estimated_capacity!C87</f>
        <v>1921.1102235384501</v>
      </c>
      <c r="I87" s="7" cm="1">
        <f t="array" ref="I87">_xlfn.IFS(D87= ""," ",D87&lt;&gt; " ",F87*(G87/H87))</f>
        <v>0</v>
      </c>
      <c r="J87" s="7" cm="1">
        <f t="array" ref="J87">_xlfn.IFS(D87= ""," ",D87&lt;&gt; " ",(H87-F87)*(G87/H87))</f>
        <v>2124.1770000000001</v>
      </c>
      <c r="K87" s="7" cm="1">
        <f t="array" ref="K87">IF(ISNUMBER(H87),_xlfn.IFS(D87= ""," ",D87&lt;&gt; " ",F87*(G87/H87)),"")</f>
        <v>0</v>
      </c>
    </row>
    <row r="88" spans="1:11" s="7" customFormat="1" hidden="1" x14ac:dyDescent="0.35">
      <c r="A88" s="7" t="s">
        <v>32</v>
      </c>
      <c r="B88" s="7">
        <v>2021</v>
      </c>
      <c r="D88" s="7" t="s">
        <v>73</v>
      </c>
      <c r="E88" s="7" t="str" cm="1">
        <f t="array" ref="E88">_xlfn.IFS(D88=policy_name_clustering!$A$2,policy_name_clustering!$C$2,D88=policy_name_clustering!$A$3,policy_name_clustering!$C$3,D88=policy_name_clustering!$A$4,policy_name_clustering!$C$4,D88=policy_name_clustering!$A$5,policy_name_clustering!$C$5,D88=policy_name_clustering!$A$6,policy_name_clustering!$C$6,D88=policy_name_clustering!$A$7,policy_name_clustering!$C$7,D88=policy_name_clustering!$A$8,policy_name_clustering!$C$8,D88=policy_name_clustering!$A$9,policy_name_clustering!$C$9,D88=policy_name_clustering!$A$10,policy_name_clustering!$C$10,D88=policy_name_clustering!$A$11,policy_name_clustering!$C$11,D88=policy_name_clustering!$A$12,policy_name_clustering!$C$12,D88="-","")</f>
        <v/>
      </c>
      <c r="G88" s="7">
        <f>solar_cum_cap!C92</f>
        <v>2176.6709999999998</v>
      </c>
      <c r="H88" s="7">
        <f>estimated_capacity!C88</f>
        <v>2068.28472593678</v>
      </c>
      <c r="I88" s="7" cm="1">
        <f t="array" ref="I88">_xlfn.IFS(D88= ""," ",D88&lt;&gt; " ",F88*(G88/H88))</f>
        <v>0</v>
      </c>
      <c r="J88" s="7" cm="1">
        <f t="array" ref="J88">_xlfn.IFS(D88= ""," ",D88&lt;&gt; " ",(H88-F88)*(G88/H88))</f>
        <v>2176.6709999999998</v>
      </c>
      <c r="K88" s="7" cm="1">
        <f t="array" ref="K88">IF(ISNUMBER(H88),_xlfn.IFS(D88= ""," ",D88&lt;&gt; " ",F88*(G88/H88)),"")</f>
        <v>0</v>
      </c>
    </row>
    <row r="89" spans="1:11" s="7" customFormat="1" hidden="1" x14ac:dyDescent="0.35">
      <c r="A89" s="7" t="s">
        <v>32</v>
      </c>
      <c r="B89" s="7">
        <v>2022</v>
      </c>
      <c r="D89" s="7" t="s">
        <v>73</v>
      </c>
      <c r="E89" s="7" t="str" cm="1">
        <f t="array" ref="E89">_xlfn.IFS(D89=policy_name_clustering!$A$2,policy_name_clustering!$C$2,D89=policy_name_clustering!$A$3,policy_name_clustering!$C$3,D89=policy_name_clustering!$A$4,policy_name_clustering!$C$4,D89=policy_name_clustering!$A$5,policy_name_clustering!$C$5,D89=policy_name_clustering!$A$6,policy_name_clustering!$C$6,D89=policy_name_clustering!$A$7,policy_name_clustering!$C$7,D89=policy_name_clustering!$A$8,policy_name_clustering!$C$8,D89=policy_name_clustering!$A$9,policy_name_clustering!$C$9,D89=policy_name_clustering!$A$10,policy_name_clustering!$C$10,D89=policy_name_clustering!$A$11,policy_name_clustering!$C$11,D89=policy_name_clustering!$A$12,policy_name_clustering!$C$12,D89="-","")</f>
        <v/>
      </c>
      <c r="G89" s="7">
        <f>solar_cum_cap!C93</f>
        <v>2403.759</v>
      </c>
      <c r="H89" s="7">
        <f>estimated_capacity!C89</f>
        <v>2318.8005156849499</v>
      </c>
      <c r="I89" s="7" cm="1">
        <f t="array" ref="I89">_xlfn.IFS(D89= ""," ",D89&lt;&gt; " ",F89*(G89/H89))</f>
        <v>0</v>
      </c>
      <c r="J89" s="7" cm="1">
        <f t="array" ref="J89">_xlfn.IFS(D89= ""," ",D89&lt;&gt; " ",(H89-F89)*(G89/H89))</f>
        <v>2403.759</v>
      </c>
      <c r="K89" s="7" cm="1">
        <f t="array" ref="K89">IF(ISNUMBER(H89),_xlfn.IFS(D89= ""," ",D89&lt;&gt; " ",F89*(G89/H89)),"")</f>
        <v>0</v>
      </c>
    </row>
    <row r="90" spans="1:11" s="7" customFormat="1" hidden="1" x14ac:dyDescent="0.35">
      <c r="A90" s="7" t="s">
        <v>32</v>
      </c>
      <c r="B90" s="7">
        <v>2023</v>
      </c>
      <c r="D90" s="7" t="s">
        <v>73</v>
      </c>
      <c r="E90" s="7" t="str" cm="1">
        <f t="array" ref="E90">_xlfn.IFS(D90=policy_name_clustering!$A$2,policy_name_clustering!$C$2,D90=policy_name_clustering!$A$3,policy_name_clustering!$C$3,D90=policy_name_clustering!$A$4,policy_name_clustering!$C$4,D90=policy_name_clustering!$A$5,policy_name_clustering!$C$5,D90=policy_name_clustering!$A$6,policy_name_clustering!$C$6,D90=policy_name_clustering!$A$7,policy_name_clustering!$C$7,D90=policy_name_clustering!$A$8,policy_name_clustering!$C$8,D90=policy_name_clustering!$A$9,policy_name_clustering!$C$9,D90=policy_name_clustering!$A$10,policy_name_clustering!$C$10,D90=policy_name_clustering!$A$11,policy_name_clustering!$C$11,D90=policy_name_clustering!$A$12,policy_name_clustering!$C$12,D90="-","")</f>
        <v/>
      </c>
      <c r="G90" s="7">
        <f>solar_cum_cap!C94</f>
        <v>3250.9609999999998</v>
      </c>
      <c r="H90" s="7">
        <f>estimated_capacity!C90</f>
        <v>2582.7091775643298</v>
      </c>
      <c r="I90" s="7" cm="1">
        <f t="array" ref="I90">_xlfn.IFS(D90= ""," ",D90&lt;&gt; " ",F90*(G90/H90))</f>
        <v>0</v>
      </c>
      <c r="J90" s="7" cm="1">
        <f t="array" ref="J90">_xlfn.IFS(D90= ""," ",D90&lt;&gt; " ",(H90-F90)*(G90/H90))</f>
        <v>3250.9609999999998</v>
      </c>
      <c r="K90" s="7" cm="1">
        <f t="array" ref="K90">IF(ISNUMBER(H90),_xlfn.IFS(D90= ""," ",D90&lt;&gt; " ",F90*(G90/H90)),"")</f>
        <v>0</v>
      </c>
    </row>
    <row r="91" spans="1:11" s="7" customFormat="1" hidden="1" x14ac:dyDescent="0.35">
      <c r="A91" s="7" t="s">
        <v>6</v>
      </c>
      <c r="B91" s="7">
        <v>2001</v>
      </c>
      <c r="D91" s="7" t="s">
        <v>73</v>
      </c>
      <c r="E91" s="7" t="str" cm="1">
        <f t="array" ref="E91">_xlfn.IFS(D91=policy_name_clustering!$A$2,policy_name_clustering!$C$2,D91=policy_name_clustering!$A$3,policy_name_clustering!$C$3,D91=policy_name_clustering!$A$4,policy_name_clustering!$C$4,D91=policy_name_clustering!$A$5,policy_name_clustering!$C$5,D91=policy_name_clustering!$A$6,policy_name_clustering!$C$6,D91=policy_name_clustering!$A$7,policy_name_clustering!$C$7,D91=policy_name_clustering!$A$8,policy_name_clustering!$C$8,D91=policy_name_clustering!$A$9,policy_name_clustering!$C$9,D91=policy_name_clustering!$A$10,policy_name_clustering!$C$10,D91=policy_name_clustering!$A$11,policy_name_clustering!$C$11,D91=policy_name_clustering!$A$12,policy_name_clustering!$C$12,D91="-","")</f>
        <v/>
      </c>
      <c r="G91" s="7">
        <f>solar_cum_cap!C96</f>
        <v>195</v>
      </c>
      <c r="H91" s="7">
        <f>estimated_capacity!C91</f>
        <v>149.753053509414</v>
      </c>
      <c r="I91" s="7" cm="1">
        <f t="array" ref="I91">_xlfn.IFS(D91= ""," ",D91&lt;&gt; " ",F91*(G91/H91))</f>
        <v>0</v>
      </c>
      <c r="J91" s="7" cm="1">
        <f t="array" ref="J91">_xlfn.IFS(D91= ""," ",D91&lt;&gt; " ",(H91-F91)*(G91/H91))</f>
        <v>195</v>
      </c>
      <c r="K91" s="7" cm="1">
        <f t="array" ref="K91">IF(ISNUMBER(H91),_xlfn.IFS(D91= ""," ",D91&lt;&gt; " ",F91*(G91/H91)),"")</f>
        <v>0</v>
      </c>
    </row>
    <row r="92" spans="1:11" s="7" customFormat="1" hidden="1" x14ac:dyDescent="0.35">
      <c r="A92" s="7" t="s">
        <v>6</v>
      </c>
      <c r="B92" s="7">
        <v>2002</v>
      </c>
      <c r="D92" s="7" t="s">
        <v>73</v>
      </c>
      <c r="E92" s="7" t="str" cm="1">
        <f t="array" ref="E92">_xlfn.IFS(D92=policy_name_clustering!$A$2,policy_name_clustering!$C$2,D92=policy_name_clustering!$A$3,policy_name_clustering!$C$3,D92=policy_name_clustering!$A$4,policy_name_clustering!$C$4,D92=policy_name_clustering!$A$5,policy_name_clustering!$C$5,D92=policy_name_clustering!$A$6,policy_name_clustering!$C$6,D92=policy_name_clustering!$A$7,policy_name_clustering!$C$7,D92=policy_name_clustering!$A$8,policy_name_clustering!$C$8,D92=policy_name_clustering!$A$9,policy_name_clustering!$C$9,D92=policy_name_clustering!$A$10,policy_name_clustering!$C$10,D92=policy_name_clustering!$A$11,policy_name_clustering!$C$11,D92=policy_name_clustering!$A$12,policy_name_clustering!$C$12,D92="-","")</f>
        <v/>
      </c>
      <c r="G92" s="7">
        <f>solar_cum_cap!C97</f>
        <v>260</v>
      </c>
      <c r="H92" s="7">
        <f>estimated_capacity!C92</f>
        <v>290.81986445002201</v>
      </c>
      <c r="I92" s="7" cm="1">
        <f t="array" ref="I92">_xlfn.IFS(D92= ""," ",D92&lt;&gt; " ",F92*(G92/H92))</f>
        <v>0</v>
      </c>
      <c r="J92" s="7" cm="1">
        <f t="array" ref="J92">_xlfn.IFS(D92= ""," ",D92&lt;&gt; " ",(H92-F92)*(G92/H92))</f>
        <v>260</v>
      </c>
      <c r="K92" s="7" cm="1">
        <f t="array" ref="K92">IF(ISNUMBER(H92),_xlfn.IFS(D92= ""," ",D92&lt;&gt; " ",F92*(G92/H92)),"")</f>
        <v>0</v>
      </c>
    </row>
    <row r="93" spans="1:11" s="7" customFormat="1" hidden="1" x14ac:dyDescent="0.35">
      <c r="A93" s="7" t="s">
        <v>6</v>
      </c>
      <c r="B93" s="7">
        <v>2003</v>
      </c>
      <c r="D93" s="7" t="s">
        <v>73</v>
      </c>
      <c r="E93" s="7" t="str" cm="1">
        <f t="array" ref="E93">_xlfn.IFS(D93=policy_name_clustering!$A$2,policy_name_clustering!$C$2,D93=policy_name_clustering!$A$3,policy_name_clustering!$C$3,D93=policy_name_clustering!$A$4,policy_name_clustering!$C$4,D93=policy_name_clustering!$A$5,policy_name_clustering!$C$5,D93=policy_name_clustering!$A$6,policy_name_clustering!$C$6,D93=policy_name_clustering!$A$7,policy_name_clustering!$C$7,D93=policy_name_clustering!$A$8,policy_name_clustering!$C$8,D93=policy_name_clustering!$A$9,policy_name_clustering!$C$9,D93=policy_name_clustering!$A$10,policy_name_clustering!$C$10,D93=policy_name_clustering!$A$11,policy_name_clustering!$C$11,D93=policy_name_clustering!$A$12,policy_name_clustering!$C$12,D93="-","")</f>
        <v/>
      </c>
      <c r="G93" s="7">
        <f>solar_cum_cap!C98</f>
        <v>435</v>
      </c>
      <c r="H93" s="7">
        <f>estimated_capacity!C93</f>
        <v>454.56693857169802</v>
      </c>
      <c r="I93" s="7" cm="1">
        <f t="array" ref="I93">_xlfn.IFS(D93= ""," ",D93&lt;&gt; " ",F93*(G93/H93))</f>
        <v>0</v>
      </c>
      <c r="J93" s="7" cm="1">
        <f t="array" ref="J93">_xlfn.IFS(D93= ""," ",D93&lt;&gt; " ",(H93-F93)*(G93/H93))</f>
        <v>435</v>
      </c>
      <c r="K93" s="7" cm="1">
        <f t="array" ref="K93">IF(ISNUMBER(H93),_xlfn.IFS(D93= ""," ",D93&lt;&gt; " ",F93*(G93/H93)),"")</f>
        <v>0</v>
      </c>
    </row>
    <row r="94" spans="1:11" s="7" customFormat="1" hidden="1" x14ac:dyDescent="0.35">
      <c r="A94" s="7" t="s">
        <v>6</v>
      </c>
      <c r="B94" s="7">
        <v>2004</v>
      </c>
      <c r="C94" s="7" t="s">
        <v>63</v>
      </c>
      <c r="D94" s="7" t="s">
        <v>48</v>
      </c>
      <c r="E94" s="7" t="str" cm="1">
        <f t="array" ref="E94">_xlfn.IFS(D94=policy_name_clustering!$A$2,policy_name_clustering!$C$2,D94=policy_name_clustering!$A$3,policy_name_clustering!$C$3,D94=policy_name_clustering!$A$4,policy_name_clustering!$C$4,D94=policy_name_clustering!$A$5,policy_name_clustering!$C$5,D94=policy_name_clustering!$A$6,policy_name_clustering!$C$6,D94=policy_name_clustering!$A$7,policy_name_clustering!$C$7,D94=policy_name_clustering!$A$8,policy_name_clustering!$C$8,D94=policy_name_clustering!$A$9,policy_name_clustering!$C$9,D94=policy_name_clustering!$A$10,policy_name_clustering!$C$10,D94=policy_name_clustering!$A$11,policy_name_clustering!$C$11,D94=policy_name_clustering!$A$12,policy_name_clustering!$C$12,D94="-","")</f>
        <v>FiT/FiP-based</v>
      </c>
      <c r="F94" s="7">
        <f>policy_contributions_cum!F2</f>
        <v>214.54301769252601</v>
      </c>
      <c r="G94" s="7">
        <f>solar_cum_cap!C99</f>
        <v>1105</v>
      </c>
      <c r="H94" s="7">
        <f>estimated_capacity!C94</f>
        <v>861.52713903975098</v>
      </c>
      <c r="I94" s="7" cm="1">
        <f t="array" ref="I94">_xlfn.IFS(D94= ""," ",D94&lt;&gt; " ",F94*(G94/H94))</f>
        <v>275.17419220766158</v>
      </c>
      <c r="J94" s="7" cm="1">
        <f t="array" ref="J94">_xlfn.IFS(D94= ""," ",D94&lt;&gt; " ",(H94-F94)*(G94/H94))</f>
        <v>829.82580779233842</v>
      </c>
      <c r="K94" s="7" cm="1">
        <f t="array" ref="K94">IF(ISNUMBER(H94),_xlfn.IFS(D94= ""," ",D94&lt;&gt; " ",F94*(G94/H94)),"")</f>
        <v>275.17419220766158</v>
      </c>
    </row>
    <row r="95" spans="1:11" s="7" customFormat="1" hidden="1" x14ac:dyDescent="0.35">
      <c r="A95" s="7" t="s">
        <v>6</v>
      </c>
      <c r="B95" s="7">
        <v>2005</v>
      </c>
      <c r="C95" s="7" t="s">
        <v>63</v>
      </c>
      <c r="D95" s="7" t="s">
        <v>48</v>
      </c>
      <c r="E95" s="7" t="str" cm="1">
        <f t="array" ref="E95">_xlfn.IFS(D95=policy_name_clustering!$A$2,policy_name_clustering!$C$2,D95=policy_name_clustering!$A$3,policy_name_clustering!$C$3,D95=policy_name_clustering!$A$4,policy_name_clustering!$C$4,D95=policy_name_clustering!$A$5,policy_name_clustering!$C$5,D95=policy_name_clustering!$A$6,policy_name_clustering!$C$6,D95=policy_name_clustering!$A$7,policy_name_clustering!$C$7,D95=policy_name_clustering!$A$8,policy_name_clustering!$C$8,D95=policy_name_clustering!$A$9,policy_name_clustering!$C$9,D95=policy_name_clustering!$A$10,policy_name_clustering!$C$10,D95=policy_name_clustering!$A$11,policy_name_clustering!$C$11,D95=policy_name_clustering!$A$12,policy_name_clustering!$C$12,D95="-","")</f>
        <v>FiT/FiP-based</v>
      </c>
      <c r="F95" s="7">
        <f>policy_contributions_cum!F3</f>
        <v>737.37470698668903</v>
      </c>
      <c r="G95" s="7">
        <f>solar_cum_cap!C100</f>
        <v>2056</v>
      </c>
      <c r="H95" s="7">
        <f>estimated_capacity!C95</f>
        <v>1580.02199469686</v>
      </c>
      <c r="I95" s="7" cm="1">
        <f t="array" ref="I95">_xlfn.IFS(D95= ""," ",D95&lt;&gt; " ",F95*(G95/H95))</f>
        <v>959.50714778214058</v>
      </c>
      <c r="J95" s="7" cm="1">
        <f t="array" ref="J95">_xlfn.IFS(D95= ""," ",D95&lt;&gt; " ",(H95-F95)*(G95/H95))</f>
        <v>1096.4928522178593</v>
      </c>
      <c r="K95" s="7" cm="1">
        <f t="array" ref="K95">IF(ISNUMBER(H95),_xlfn.IFS(D95= ""," ",D95&lt;&gt; " ",F95*(G95/H95)),"")</f>
        <v>959.50714778214058</v>
      </c>
    </row>
    <row r="96" spans="1:11" s="7" customFormat="1" hidden="1" x14ac:dyDescent="0.35">
      <c r="A96" s="7" t="s">
        <v>6</v>
      </c>
      <c r="B96" s="7">
        <v>2006</v>
      </c>
      <c r="C96" s="7" t="s">
        <v>63</v>
      </c>
      <c r="D96" s="7" t="s">
        <v>48</v>
      </c>
      <c r="E96" s="7" t="str" cm="1">
        <f t="array" ref="E96">_xlfn.IFS(D96=policy_name_clustering!$A$2,policy_name_clustering!$C$2,D96=policy_name_clustering!$A$3,policy_name_clustering!$C$3,D96=policy_name_clustering!$A$4,policy_name_clustering!$C$4,D96=policy_name_clustering!$A$5,policy_name_clustering!$C$5,D96=policy_name_clustering!$A$6,policy_name_clustering!$C$6,D96=policy_name_clustering!$A$7,policy_name_clustering!$C$7,D96=policy_name_clustering!$A$8,policy_name_clustering!$C$8,D96=policy_name_clustering!$A$9,policy_name_clustering!$C$9,D96=policy_name_clustering!$A$10,policy_name_clustering!$C$10,D96=policy_name_clustering!$A$11,policy_name_clustering!$C$11,D96=policy_name_clustering!$A$12,policy_name_clustering!$C$12,D96="-","")</f>
        <v>FiT/FiP-based</v>
      </c>
      <c r="F96" s="7">
        <f>policy_contributions_cum!F4</f>
        <v>1712.3255608694001</v>
      </c>
      <c r="G96" s="7">
        <f>solar_cum_cap!C101</f>
        <v>2899</v>
      </c>
      <c r="H96" s="7">
        <f>estimated_capacity!C96</f>
        <v>2759.0891417447501</v>
      </c>
      <c r="I96" s="7" cm="1">
        <f t="array" ref="I96">_xlfn.IFS(D96= ""," ",D96&lt;&gt; " ",F96*(G96/H96))</f>
        <v>1799.1560061815592</v>
      </c>
      <c r="J96" s="7" cm="1">
        <f t="array" ref="J96">_xlfn.IFS(D96= ""," ",D96&lt;&gt; " ",(H96-F96)*(G96/H96))</f>
        <v>1099.8439938184406</v>
      </c>
      <c r="K96" s="7" cm="1">
        <f t="array" ref="K96">IF(ISNUMBER(H96),_xlfn.IFS(D96= ""," ",D96&lt;&gt; " ",F96*(G96/H96)),"")</f>
        <v>1799.1560061815592</v>
      </c>
    </row>
    <row r="97" spans="1:11" s="7" customFormat="1" hidden="1" x14ac:dyDescent="0.35">
      <c r="A97" s="7" t="s">
        <v>6</v>
      </c>
      <c r="B97" s="7">
        <v>2007</v>
      </c>
      <c r="C97" s="7" t="s">
        <v>63</v>
      </c>
      <c r="D97" s="7" t="s">
        <v>48</v>
      </c>
      <c r="E97" s="7" t="str" cm="1">
        <f t="array" ref="E97">_xlfn.IFS(D97=policy_name_clustering!$A$2,policy_name_clustering!$C$2,D97=policy_name_clustering!$A$3,policy_name_clustering!$C$3,D97=policy_name_clustering!$A$4,policy_name_clustering!$C$4,D97=policy_name_clustering!$A$5,policy_name_clustering!$C$5,D97=policy_name_clustering!$A$6,policy_name_clustering!$C$6,D97=policy_name_clustering!$A$7,policy_name_clustering!$C$7,D97=policy_name_clustering!$A$8,policy_name_clustering!$C$8,D97=policy_name_clustering!$A$9,policy_name_clustering!$C$9,D97=policy_name_clustering!$A$10,policy_name_clustering!$C$10,D97=policy_name_clustering!$A$11,policy_name_clustering!$C$11,D97=policy_name_clustering!$A$12,policy_name_clustering!$C$12,D97="-","")</f>
        <v>FiT/FiP-based</v>
      </c>
      <c r="F97" s="7">
        <f>policy_contributions_cum!F5</f>
        <v>3327.9959890382502</v>
      </c>
      <c r="G97" s="7">
        <f>solar_cum_cap!C102</f>
        <v>4170</v>
      </c>
      <c r="H97" s="7">
        <f>estimated_capacity!C97</f>
        <v>4582.2138093777303</v>
      </c>
      <c r="I97" s="7" cm="1">
        <f t="array" ref="I97">_xlfn.IFS(D97= ""," ",D97&lt;&gt; " ",F97*(G97/H97))</f>
        <v>3028.6110276844802</v>
      </c>
      <c r="J97" s="7" cm="1">
        <f t="array" ref="J97">_xlfn.IFS(D97= ""," ",D97&lt;&gt; " ",(H97-F97)*(G97/H97))</f>
        <v>1141.38897231552</v>
      </c>
      <c r="K97" s="7" cm="1">
        <f t="array" ref="K97">IF(ISNUMBER(H97),_xlfn.IFS(D97= ""," ",D97&lt;&gt; " ",F97*(G97/H97)),"")</f>
        <v>3028.6110276844802</v>
      </c>
    </row>
    <row r="98" spans="1:11" s="7" customFormat="1" hidden="1" x14ac:dyDescent="0.35">
      <c r="A98" s="7" t="s">
        <v>6</v>
      </c>
      <c r="B98" s="7">
        <v>2008</v>
      </c>
      <c r="C98" s="7" t="s">
        <v>63</v>
      </c>
      <c r="D98" s="7" t="s">
        <v>48</v>
      </c>
      <c r="E98" s="7" t="str" cm="1">
        <f t="array" ref="E98">_xlfn.IFS(D98=policy_name_clustering!$A$2,policy_name_clustering!$C$2,D98=policy_name_clustering!$A$3,policy_name_clustering!$C$3,D98=policy_name_clustering!$A$4,policy_name_clustering!$C$4,D98=policy_name_clustering!$A$5,policy_name_clustering!$C$5,D98=policy_name_clustering!$A$6,policy_name_clustering!$C$6,D98=policy_name_clustering!$A$7,policy_name_clustering!$C$7,D98=policy_name_clustering!$A$8,policy_name_clustering!$C$8,D98=policy_name_clustering!$A$9,policy_name_clustering!$C$9,D98=policy_name_clustering!$A$10,policy_name_clustering!$C$10,D98=policy_name_clustering!$A$11,policy_name_clustering!$C$11,D98=policy_name_clustering!$A$12,policy_name_clustering!$C$12,D98="-","")</f>
        <v>FiT/FiP-based</v>
      </c>
      <c r="F98" s="7">
        <f>policy_contributions_cum!F6</f>
        <v>5913.2348269939303</v>
      </c>
      <c r="G98" s="7">
        <f>solar_cum_cap!C103</f>
        <v>6120</v>
      </c>
      <c r="H98" s="7">
        <f>estimated_capacity!C98</f>
        <v>7388.9904790195096</v>
      </c>
      <c r="I98" s="7" cm="1">
        <f t="array" ref="I98">_xlfn.IFS(D98= ""," ",D98&lt;&gt; " ",F98*(G98/H98))</f>
        <v>4897.6916730314952</v>
      </c>
      <c r="J98" s="7" cm="1">
        <f t="array" ref="J98">_xlfn.IFS(D98= ""," ",D98&lt;&gt; " ",(H98-F98)*(G98/H98))</f>
        <v>1222.3083269685044</v>
      </c>
      <c r="K98" s="7" cm="1">
        <f t="array" ref="K98">IF(ISNUMBER(H98),_xlfn.IFS(D98= ""," ",D98&lt;&gt; " ",F98*(G98/H98)),"")</f>
        <v>4897.6916730314952</v>
      </c>
    </row>
    <row r="99" spans="1:11" s="7" customFormat="1" hidden="1" x14ac:dyDescent="0.35">
      <c r="A99" s="7" t="s">
        <v>6</v>
      </c>
      <c r="B99" s="7">
        <v>2009</v>
      </c>
      <c r="C99" s="7" t="s">
        <v>63</v>
      </c>
      <c r="D99" s="7" t="s">
        <v>48</v>
      </c>
      <c r="E99" s="7" t="str" cm="1">
        <f t="array" ref="E99">_xlfn.IFS(D99=policy_name_clustering!$A$2,policy_name_clustering!$C$2,D99=policy_name_clustering!$A$3,policy_name_clustering!$C$3,D99=policy_name_clustering!$A$4,policy_name_clustering!$C$4,D99=policy_name_clustering!$A$5,policy_name_clustering!$C$5,D99=policy_name_clustering!$A$6,policy_name_clustering!$C$6,D99=policy_name_clustering!$A$7,policy_name_clustering!$C$7,D99=policy_name_clustering!$A$8,policy_name_clustering!$C$8,D99=policy_name_clustering!$A$9,policy_name_clustering!$C$9,D99=policy_name_clustering!$A$10,policy_name_clustering!$C$10,D99=policy_name_clustering!$A$11,policy_name_clustering!$C$11,D99=policy_name_clustering!$A$12,policy_name_clustering!$C$12,D99="-","")</f>
        <v>FiT/FiP-based</v>
      </c>
      <c r="F99" s="7">
        <f>policy_contributions_cum!F7</f>
        <v>9762.8464344249605</v>
      </c>
      <c r="G99" s="7">
        <f>solar_cum_cap!C104</f>
        <v>10566</v>
      </c>
      <c r="H99" s="7">
        <f>estimated_capacity!C99</f>
        <v>11452.947121760501</v>
      </c>
      <c r="I99" s="7" cm="1">
        <f t="array" ref="I99">_xlfn.IFS(D99= ""," ",D99&lt;&gt; " ",F99*(G99/H99))</f>
        <v>9006.7852692816487</v>
      </c>
      <c r="J99" s="7" cm="1">
        <f t="array" ref="J99">_xlfn.IFS(D99= ""," ",D99&lt;&gt; " ",(H99-F99)*(G99/H99))</f>
        <v>1559.2147307183513</v>
      </c>
      <c r="K99" s="7" cm="1">
        <f t="array" ref="K99">IF(ISNUMBER(H99),_xlfn.IFS(D99= ""," ",D99&lt;&gt; " ",F99*(G99/H99)),"")</f>
        <v>9006.7852692816487</v>
      </c>
    </row>
    <row r="100" spans="1:11" s="7" customFormat="1" hidden="1" x14ac:dyDescent="0.35">
      <c r="A100" s="7" t="s">
        <v>6</v>
      </c>
      <c r="B100" s="7">
        <v>2010</v>
      </c>
      <c r="C100" s="7" t="s">
        <v>64</v>
      </c>
      <c r="D100" s="7" t="s">
        <v>48</v>
      </c>
      <c r="E100" s="7" t="str" cm="1">
        <f t="array" ref="E100">_xlfn.IFS(D100=policy_name_clustering!$A$2,policy_name_clustering!$C$2,D100=policy_name_clustering!$A$3,policy_name_clustering!$C$3,D100=policy_name_clustering!$A$4,policy_name_clustering!$C$4,D100=policy_name_clustering!$A$5,policy_name_clustering!$C$5,D100=policy_name_clustering!$A$6,policy_name_clustering!$C$6,D100=policy_name_clustering!$A$7,policy_name_clustering!$C$7,D100=policy_name_clustering!$A$8,policy_name_clustering!$C$8,D100=policy_name_clustering!$A$9,policy_name_clustering!$C$9,D100=policy_name_clustering!$A$10,policy_name_clustering!$C$10,D100=policy_name_clustering!$A$11,policy_name_clustering!$C$11,D100=policy_name_clustering!$A$12,policy_name_clustering!$C$12,D100="-","")</f>
        <v>FiT/FiP-based</v>
      </c>
      <c r="F100" s="7">
        <f>policy_contributions_cum!F8</f>
        <v>16096.480879985</v>
      </c>
      <c r="G100" s="7">
        <f>solar_cum_cap!C105</f>
        <v>18006</v>
      </c>
      <c r="H100" s="7">
        <f>estimated_capacity!C100</f>
        <v>18060.3533947088</v>
      </c>
      <c r="I100" s="7" cm="1">
        <f t="array" ref="I100">_xlfn.IFS(D100= ""," ",D100&lt;&gt; " ",F100*(G100/H100))</f>
        <v>16048.037842378171</v>
      </c>
      <c r="J100" s="7" cm="1">
        <f t="array" ref="J100">_xlfn.IFS(D100= ""," ",D100&lt;&gt; " ",(H100-F100)*(G100/H100))</f>
        <v>1957.9621576218278</v>
      </c>
      <c r="K100" s="7" cm="1">
        <f t="array" ref="K100">IF(ISNUMBER(H100),_xlfn.IFS(D100= ""," ",D100&lt;&gt; " ",F100*(G100/H100)),"")</f>
        <v>16048.037842378171</v>
      </c>
    </row>
    <row r="101" spans="1:11" s="7" customFormat="1" hidden="1" x14ac:dyDescent="0.35">
      <c r="A101" s="7" t="s">
        <v>6</v>
      </c>
      <c r="B101" s="7">
        <v>2011</v>
      </c>
      <c r="C101" s="7" t="s">
        <v>65</v>
      </c>
      <c r="D101" s="7" t="s">
        <v>48</v>
      </c>
      <c r="E101" s="7" t="str" cm="1">
        <f t="array" ref="E101">_xlfn.IFS(D101=policy_name_clustering!$A$2,policy_name_clustering!$C$2,D101=policy_name_clustering!$A$3,policy_name_clustering!$C$3,D101=policy_name_clustering!$A$4,policy_name_clustering!$C$4,D101=policy_name_clustering!$A$5,policy_name_clustering!$C$5,D101=policy_name_clustering!$A$6,policy_name_clustering!$C$6,D101=policy_name_clustering!$A$7,policy_name_clustering!$C$7,D101=policy_name_clustering!$A$8,policy_name_clustering!$C$8,D101=policy_name_clustering!$A$9,policy_name_clustering!$C$9,D101=policy_name_clustering!$A$10,policy_name_clustering!$C$10,D101=policy_name_clustering!$A$11,policy_name_clustering!$C$11,D101=policy_name_clustering!$A$12,policy_name_clustering!$C$12,D101="-","")</f>
        <v>FiT/FiP-based</v>
      </c>
      <c r="F101" s="7">
        <f>policy_contributions_cum!F9</f>
        <v>26307.837591316402</v>
      </c>
      <c r="G101" s="7">
        <f>solar_cum_cap!C106</f>
        <v>25916</v>
      </c>
      <c r="H101" s="7">
        <f>estimated_capacity!C101</f>
        <v>28606.683035417202</v>
      </c>
      <c r="I101" s="7" cm="1">
        <f t="array" ref="I101">_xlfn.IFS(D101= ""," ",D101&lt;&gt; " ",F101*(G101/H101))</f>
        <v>23833.37901050759</v>
      </c>
      <c r="J101" s="7" cm="1">
        <f t="array" ref="J101">_xlfn.IFS(D101= ""," ",D101&lt;&gt; " ",(H101-F101)*(G101/H101))</f>
        <v>2082.6209894924104</v>
      </c>
      <c r="K101" s="7" cm="1">
        <f t="array" ref="K101">IF(ISNUMBER(H101),_xlfn.IFS(D101= ""," ",D101&lt;&gt; " ",F101*(G101/H101)),"")</f>
        <v>23833.37901050759</v>
      </c>
    </row>
    <row r="102" spans="1:11" s="7" customFormat="1" hidden="1" x14ac:dyDescent="0.35">
      <c r="A102" s="7" t="s">
        <v>6</v>
      </c>
      <c r="B102" s="7">
        <v>2012</v>
      </c>
      <c r="C102" s="9" t="s">
        <v>66</v>
      </c>
      <c r="D102" s="7" t="s">
        <v>48</v>
      </c>
      <c r="E102" s="7" t="str" cm="1">
        <f t="array" ref="E102">_xlfn.IFS(D102=policy_name_clustering!$A$2,policy_name_clustering!$C$2,D102=policy_name_clustering!$A$3,policy_name_clustering!$C$3,D102=policy_name_clustering!$A$4,policy_name_clustering!$C$4,D102=policy_name_clustering!$A$5,policy_name_clustering!$C$5,D102=policy_name_clustering!$A$6,policy_name_clustering!$C$6,D102=policy_name_clustering!$A$7,policy_name_clustering!$C$7,D102=policy_name_clustering!$A$8,policy_name_clustering!$C$8,D102=policy_name_clustering!$A$9,policy_name_clustering!$C$9,D102=policy_name_clustering!$A$10,policy_name_clustering!$C$10,D102=policy_name_clustering!$A$11,policy_name_clustering!$C$11,D102=policy_name_clustering!$A$12,policy_name_clustering!$C$12,D102="-","")</f>
        <v>FiT/FiP-based</v>
      </c>
      <c r="F102" s="7">
        <f>policy_contributions_cum!F10</f>
        <v>31759.778022104201</v>
      </c>
      <c r="G102" s="7">
        <f>solar_cum_cap!C107</f>
        <v>34077</v>
      </c>
      <c r="H102" s="7">
        <f>estimated_capacity!C102</f>
        <v>33982.226103510096</v>
      </c>
      <c r="I102" s="7" cm="1">
        <f t="array" ref="I102">_xlfn.IFS(D102= ""," ",D102&lt;&gt; " ",F102*(G102/H102))</f>
        <v>31848.353676496023</v>
      </c>
      <c r="J102" s="7" cm="1">
        <f t="array" ref="J102">_xlfn.IFS(D102= ""," ",D102&lt;&gt; " ",(H102-F102)*(G102/H102))</f>
        <v>2228.6463235039782</v>
      </c>
      <c r="K102" s="7" cm="1">
        <f t="array" ref="K102">IF(ISNUMBER(H102),_xlfn.IFS(D102= ""," ",D102&lt;&gt; " ",F102*(G102/H102)),"")</f>
        <v>31848.353676496023</v>
      </c>
    </row>
    <row r="103" spans="1:11" s="7" customFormat="1" hidden="1" x14ac:dyDescent="0.35">
      <c r="A103" s="7" t="s">
        <v>6</v>
      </c>
      <c r="B103" s="7">
        <v>2013</v>
      </c>
      <c r="C103" s="7" t="s">
        <v>67</v>
      </c>
      <c r="D103" s="7" t="s">
        <v>48</v>
      </c>
      <c r="E103" s="7" t="str" cm="1">
        <f t="array" ref="E103">_xlfn.IFS(D103=policy_name_clustering!$A$2,policy_name_clustering!$C$2,D103=policy_name_clustering!$A$3,policy_name_clustering!$C$3,D103=policy_name_clustering!$A$4,policy_name_clustering!$C$4,D103=policy_name_clustering!$A$5,policy_name_clustering!$C$5,D103=policy_name_clustering!$A$6,policy_name_clustering!$C$6,D103=policy_name_clustering!$A$7,policy_name_clustering!$C$7,D103=policy_name_clustering!$A$8,policy_name_clustering!$C$8,D103=policy_name_clustering!$A$9,policy_name_clustering!$C$9,D103=policy_name_clustering!$A$10,policy_name_clustering!$C$10,D103=policy_name_clustering!$A$11,policy_name_clustering!$C$11,D103=policy_name_clustering!$A$12,policy_name_clustering!$C$12,D103="-","")</f>
        <v>FiT/FiP-based</v>
      </c>
      <c r="F103" s="7">
        <f>policy_contributions_cum!F11</f>
        <v>34966.552733227698</v>
      </c>
      <c r="G103" s="7">
        <f>solar_cum_cap!C108</f>
        <v>36710</v>
      </c>
      <c r="H103" s="7">
        <f>estimated_capacity!C103</f>
        <v>36970.529212166402</v>
      </c>
      <c r="I103" s="7" cm="1">
        <f t="array" ref="I103">_xlfn.IFS(D103= ""," ",D103&lt;&gt; " ",F103*(G103/H103))</f>
        <v>34720.145429088676</v>
      </c>
      <c r="J103" s="7" cm="1">
        <f t="array" ref="J103">_xlfn.IFS(D103= ""," ",D103&lt;&gt; " ",(H103-F103)*(G103/H103))</f>
        <v>1989.8545709113212</v>
      </c>
      <c r="K103" s="7" cm="1">
        <f t="array" ref="K103">IF(ISNUMBER(H103),_xlfn.IFS(D103= ""," ",D103&lt;&gt; " ",F103*(G103/H103)),"")</f>
        <v>34720.145429088676</v>
      </c>
    </row>
    <row r="104" spans="1:11" s="7" customFormat="1" hidden="1" x14ac:dyDescent="0.35">
      <c r="A104" s="7" t="s">
        <v>6</v>
      </c>
      <c r="B104" s="7">
        <v>2014</v>
      </c>
      <c r="C104" s="7" t="s">
        <v>68</v>
      </c>
      <c r="D104" s="7" t="s">
        <v>48</v>
      </c>
      <c r="E104" s="7" t="str" cm="1">
        <f t="array" ref="E104">_xlfn.IFS(D104=policy_name_clustering!$A$2,policy_name_clustering!$C$2,D104=policy_name_clustering!$A$3,policy_name_clustering!$C$3,D104=policy_name_clustering!$A$4,policy_name_clustering!$C$4,D104=policy_name_clustering!$A$5,policy_name_clustering!$C$5,D104=policy_name_clustering!$A$6,policy_name_clustering!$C$6,D104=policy_name_clustering!$A$7,policy_name_clustering!$C$7,D104=policy_name_clustering!$A$8,policy_name_clustering!$C$8,D104=policy_name_clustering!$A$9,policy_name_clustering!$C$9,D104=policy_name_clustering!$A$10,policy_name_clustering!$C$10,D104=policy_name_clustering!$A$11,policy_name_clustering!$C$11,D104=policy_name_clustering!$A$12,policy_name_clustering!$C$12,D104="-","")</f>
        <v>FiT/FiP-based</v>
      </c>
      <c r="F104" s="7">
        <f>policy_contributions_cum!F12</f>
        <v>36642.055095555203</v>
      </c>
      <c r="G104" s="7">
        <f>solar_cum_cap!C109</f>
        <v>37900</v>
      </c>
      <c r="H104" s="7">
        <f>estimated_capacity!C104</f>
        <v>38365.196223855302</v>
      </c>
      <c r="I104" s="7" cm="1">
        <f t="array" ref="I104">_xlfn.IFS(D104= ""," ",D104&lt;&gt; " ",F104*(G104/H104))</f>
        <v>36197.752776200687</v>
      </c>
      <c r="J104" s="7" cm="1">
        <f t="array" ref="J104">_xlfn.IFS(D104= ""," ",D104&lt;&gt; " ",(H104-F104)*(G104/H104))</f>
        <v>1702.2472237993186</v>
      </c>
      <c r="K104" s="7" cm="1">
        <f t="array" ref="K104">IF(ISNUMBER(H104),_xlfn.IFS(D104= ""," ",D104&lt;&gt; " ",F104*(G104/H104)),"")</f>
        <v>36197.752776200687</v>
      </c>
    </row>
    <row r="105" spans="1:11" s="7" customFormat="1" hidden="1" x14ac:dyDescent="0.35">
      <c r="A105" s="7" t="s">
        <v>6</v>
      </c>
      <c r="B105" s="7">
        <v>2015</v>
      </c>
      <c r="C105" s="7" t="s">
        <v>69</v>
      </c>
      <c r="D105" s="9" t="s">
        <v>48</v>
      </c>
      <c r="E105" s="7" t="str" cm="1">
        <f t="array" ref="E105">_xlfn.IFS(D105=policy_name_clustering!$A$2,policy_name_clustering!$C$2,D105=policy_name_clustering!$A$3,policy_name_clustering!$C$3,D105=policy_name_clustering!$A$4,policy_name_clustering!$C$4,D105=policy_name_clustering!$A$5,policy_name_clustering!$C$5,D105=policy_name_clustering!$A$6,policy_name_clustering!$C$6,D105=policy_name_clustering!$A$7,policy_name_clustering!$C$7,D105=policy_name_clustering!$A$8,policy_name_clustering!$C$8,D105=policy_name_clustering!$A$9,policy_name_clustering!$C$9,D105=policy_name_clustering!$A$10,policy_name_clustering!$C$10,D105=policy_name_clustering!$A$11,policy_name_clustering!$C$11,D105=policy_name_clustering!$A$12,policy_name_clustering!$C$12,D105="-","")</f>
        <v>FiT/FiP-based</v>
      </c>
      <c r="F105" s="7">
        <f>F104</f>
        <v>36642.055095555203</v>
      </c>
      <c r="I105" s="7">
        <f>I104</f>
        <v>36197.752776200687</v>
      </c>
      <c r="K105" s="7" t="str" cm="1">
        <f t="array" ref="K105">IF(ISNUMBER(H105),_xlfn.IFS(D105= ""," ",D105&lt;&gt; " ",F105*(G105/H105)),"")</f>
        <v/>
      </c>
    </row>
    <row r="106" spans="1:11" s="7" customFormat="1" hidden="1" x14ac:dyDescent="0.35">
      <c r="A106" s="7" t="s">
        <v>6</v>
      </c>
      <c r="B106" s="7">
        <v>2016</v>
      </c>
      <c r="C106" s="7" t="s">
        <v>70</v>
      </c>
      <c r="D106" s="9" t="s">
        <v>48</v>
      </c>
      <c r="E106" s="7" t="str" cm="1">
        <f t="array" ref="E106">_xlfn.IFS(D106=policy_name_clustering!$A$2,policy_name_clustering!$C$2,D106=policy_name_clustering!$A$3,policy_name_clustering!$C$3,D106=policy_name_clustering!$A$4,policy_name_clustering!$C$4,D106=policy_name_clustering!$A$5,policy_name_clustering!$C$5,D106=policy_name_clustering!$A$6,policy_name_clustering!$C$6,D106=policy_name_clustering!$A$7,policy_name_clustering!$C$7,D106=policy_name_clustering!$A$8,policy_name_clustering!$C$8,D106=policy_name_clustering!$A$9,policy_name_clustering!$C$9,D106=policy_name_clustering!$A$10,policy_name_clustering!$C$10,D106=policy_name_clustering!$A$11,policy_name_clustering!$C$11,D106=policy_name_clustering!$A$12,policy_name_clustering!$C$12,D106="-","")</f>
        <v>FiT/FiP-based</v>
      </c>
      <c r="F106" s="7">
        <f t="shared" ref="F106:F113" si="0">F105</f>
        <v>36642.055095555203</v>
      </c>
      <c r="I106" s="7">
        <f>I105</f>
        <v>36197.752776200687</v>
      </c>
      <c r="K106" s="7" t="str" cm="1">
        <f t="array" ref="K106">IF(ISNUMBER(H106),_xlfn.IFS(D106= ""," ",D106&lt;&gt; " ",F106*(G106/H106)),"")</f>
        <v/>
      </c>
    </row>
    <row r="107" spans="1:11" s="7" customFormat="1" hidden="1" x14ac:dyDescent="0.35">
      <c r="A107" s="7" t="s">
        <v>6</v>
      </c>
      <c r="B107" s="7">
        <v>2017</v>
      </c>
      <c r="C107" s="7" t="s">
        <v>71</v>
      </c>
      <c r="D107" s="9" t="s">
        <v>48</v>
      </c>
      <c r="E107" s="7" t="str" cm="1">
        <f t="array" ref="E107">_xlfn.IFS(D107=policy_name_clustering!$A$2,policy_name_clustering!$C$2,D107=policy_name_clustering!$A$3,policy_name_clustering!$C$3,D107=policy_name_clustering!$A$4,policy_name_clustering!$C$4,D107=policy_name_clustering!$A$5,policy_name_clustering!$C$5,D107=policy_name_clustering!$A$6,policy_name_clustering!$C$6,D107=policy_name_clustering!$A$7,policy_name_clustering!$C$7,D107=policy_name_clustering!$A$8,policy_name_clustering!$C$8,D107=policy_name_clustering!$A$9,policy_name_clustering!$C$9,D107=policy_name_clustering!$A$10,policy_name_clustering!$C$10,D107=policy_name_clustering!$A$11,policy_name_clustering!$C$11,D107=policy_name_clustering!$A$12,policy_name_clustering!$C$12,D107="-","")</f>
        <v>FiT/FiP-based</v>
      </c>
      <c r="F107" s="7">
        <f t="shared" si="0"/>
        <v>36642.055095555203</v>
      </c>
      <c r="I107" s="7">
        <f t="shared" ref="I107:I113" si="1">I106</f>
        <v>36197.752776200687</v>
      </c>
      <c r="K107" s="7" t="str" cm="1">
        <f t="array" ref="K107">IF(ISNUMBER(H107),_xlfn.IFS(D107= ""," ",D107&lt;&gt; " ",F107*(G107/H107)),"")</f>
        <v/>
      </c>
    </row>
    <row r="108" spans="1:11" s="7" customFormat="1" hidden="1" x14ac:dyDescent="0.35">
      <c r="A108" s="7" t="s">
        <v>6</v>
      </c>
      <c r="B108" s="7">
        <v>2018</v>
      </c>
      <c r="C108" s="7" t="s">
        <v>72</v>
      </c>
      <c r="D108" s="9" t="s">
        <v>48</v>
      </c>
      <c r="E108" s="7" t="str" cm="1">
        <f t="array" ref="E108">_xlfn.IFS(D108=policy_name_clustering!$A$2,policy_name_clustering!$C$2,D108=policy_name_clustering!$A$3,policy_name_clustering!$C$3,D108=policy_name_clustering!$A$4,policy_name_clustering!$C$4,D108=policy_name_clustering!$A$5,policy_name_clustering!$C$5,D108=policy_name_clustering!$A$6,policy_name_clustering!$C$6,D108=policy_name_clustering!$A$7,policy_name_clustering!$C$7,D108=policy_name_clustering!$A$8,policy_name_clustering!$C$8,D108=policy_name_clustering!$A$9,policy_name_clustering!$C$9,D108=policy_name_clustering!$A$10,policy_name_clustering!$C$10,D108=policy_name_clustering!$A$11,policy_name_clustering!$C$11,D108=policy_name_clustering!$A$12,policy_name_clustering!$C$12,D108="-","")</f>
        <v>FiT/FiP-based</v>
      </c>
      <c r="F108" s="7">
        <f t="shared" si="0"/>
        <v>36642.055095555203</v>
      </c>
      <c r="I108" s="7">
        <f t="shared" si="1"/>
        <v>36197.752776200687</v>
      </c>
      <c r="K108" s="7" t="str" cm="1">
        <f t="array" ref="K108">IF(ISNUMBER(H108),_xlfn.IFS(D108= ""," ",D108&lt;&gt; " ",F108*(G108/H108)),"")</f>
        <v/>
      </c>
    </row>
    <row r="109" spans="1:11" s="7" customFormat="1" hidden="1" x14ac:dyDescent="0.35">
      <c r="A109" s="7" t="s">
        <v>6</v>
      </c>
      <c r="B109" s="7">
        <v>2019</v>
      </c>
      <c r="D109" s="9" t="s">
        <v>48</v>
      </c>
      <c r="E109" s="7" t="str" cm="1">
        <f t="array" ref="E109">_xlfn.IFS(D109=policy_name_clustering!$A$2,policy_name_clustering!$C$2,D109=policy_name_clustering!$A$3,policy_name_clustering!$C$3,D109=policy_name_clustering!$A$4,policy_name_clustering!$C$4,D109=policy_name_clustering!$A$5,policy_name_clustering!$C$5,D109=policy_name_clustering!$A$6,policy_name_clustering!$C$6,D109=policy_name_clustering!$A$7,policy_name_clustering!$C$7,D109=policy_name_clustering!$A$8,policy_name_clustering!$C$8,D109=policy_name_clustering!$A$9,policy_name_clustering!$C$9,D109=policy_name_clustering!$A$10,policy_name_clustering!$C$10,D109=policy_name_clustering!$A$11,policy_name_clustering!$C$11,D109=policy_name_clustering!$A$12,policy_name_clustering!$C$12,D109="-","")</f>
        <v>FiT/FiP-based</v>
      </c>
      <c r="F109" s="7">
        <f t="shared" si="0"/>
        <v>36642.055095555203</v>
      </c>
      <c r="I109" s="7">
        <f t="shared" si="1"/>
        <v>36197.752776200687</v>
      </c>
      <c r="K109" s="7" t="str" cm="1">
        <f t="array" ref="K109">IF(ISNUMBER(H109),_xlfn.IFS(D109= ""," ",D109&lt;&gt; " ",F109*(G109/H109)),"")</f>
        <v/>
      </c>
    </row>
    <row r="110" spans="1:11" s="7" customFormat="1" hidden="1" x14ac:dyDescent="0.35">
      <c r="A110" s="7" t="s">
        <v>6</v>
      </c>
      <c r="B110" s="7">
        <v>2020</v>
      </c>
      <c r="D110" s="9" t="s">
        <v>48</v>
      </c>
      <c r="E110" s="7" t="str" cm="1">
        <f t="array" ref="E110">_xlfn.IFS(D110=policy_name_clustering!$A$2,policy_name_clustering!$C$2,D110=policy_name_clustering!$A$3,policy_name_clustering!$C$3,D110=policy_name_clustering!$A$4,policy_name_clustering!$C$4,D110=policy_name_clustering!$A$5,policy_name_clustering!$C$5,D110=policy_name_clustering!$A$6,policy_name_clustering!$C$6,D110=policy_name_clustering!$A$7,policy_name_clustering!$C$7,D110=policy_name_clustering!$A$8,policy_name_clustering!$C$8,D110=policy_name_clustering!$A$9,policy_name_clustering!$C$9,D110=policy_name_clustering!$A$10,policy_name_clustering!$C$10,D110=policy_name_clustering!$A$11,policy_name_clustering!$C$11,D110=policy_name_clustering!$A$12,policy_name_clustering!$C$12,D110="-","")</f>
        <v>FiT/FiP-based</v>
      </c>
      <c r="F110" s="7">
        <f t="shared" si="0"/>
        <v>36642.055095555203</v>
      </c>
      <c r="I110" s="7">
        <f t="shared" si="1"/>
        <v>36197.752776200687</v>
      </c>
      <c r="K110" s="7" t="str" cm="1">
        <f t="array" ref="K110">IF(ISNUMBER(H110),_xlfn.IFS(D110= ""," ",D110&lt;&gt; " ",F110*(G110/H110)),"")</f>
        <v/>
      </c>
    </row>
    <row r="111" spans="1:11" s="7" customFormat="1" hidden="1" x14ac:dyDescent="0.35">
      <c r="A111" s="7" t="s">
        <v>6</v>
      </c>
      <c r="B111" s="7">
        <v>2021</v>
      </c>
      <c r="D111" s="9" t="s">
        <v>48</v>
      </c>
      <c r="E111" s="7" t="str" cm="1">
        <f t="array" ref="E111">_xlfn.IFS(D111=policy_name_clustering!$A$2,policy_name_clustering!$C$2,D111=policy_name_clustering!$A$3,policy_name_clustering!$C$3,D111=policy_name_clustering!$A$4,policy_name_clustering!$C$4,D111=policy_name_clustering!$A$5,policy_name_clustering!$C$5,D111=policy_name_clustering!$A$6,policy_name_clustering!$C$6,D111=policy_name_clustering!$A$7,policy_name_clustering!$C$7,D111=policy_name_clustering!$A$8,policy_name_clustering!$C$8,D111=policy_name_clustering!$A$9,policy_name_clustering!$C$9,D111=policy_name_clustering!$A$10,policy_name_clustering!$C$10,D111=policy_name_clustering!$A$11,policy_name_clustering!$C$11,D111=policy_name_clustering!$A$12,policy_name_clustering!$C$12,D111="-","")</f>
        <v>FiT/FiP-based</v>
      </c>
      <c r="F111" s="7">
        <f t="shared" si="0"/>
        <v>36642.055095555203</v>
      </c>
      <c r="I111" s="7">
        <f t="shared" si="1"/>
        <v>36197.752776200687</v>
      </c>
      <c r="K111" s="7" t="str" cm="1">
        <f t="array" ref="K111">IF(ISNUMBER(H111),_xlfn.IFS(D111= ""," ",D111&lt;&gt; " ",F111*(G111/H111)),"")</f>
        <v/>
      </c>
    </row>
    <row r="112" spans="1:11" s="7" customFormat="1" hidden="1" x14ac:dyDescent="0.35">
      <c r="A112" s="7" t="s">
        <v>6</v>
      </c>
      <c r="B112" s="7">
        <v>2022</v>
      </c>
      <c r="D112" s="9" t="s">
        <v>48</v>
      </c>
      <c r="E112" s="7" t="str" cm="1">
        <f t="array" ref="E112">_xlfn.IFS(D112=policy_name_clustering!$A$2,policy_name_clustering!$C$2,D112=policy_name_clustering!$A$3,policy_name_clustering!$C$3,D112=policy_name_clustering!$A$4,policy_name_clustering!$C$4,D112=policy_name_clustering!$A$5,policy_name_clustering!$C$5,D112=policy_name_clustering!$A$6,policy_name_clustering!$C$6,D112=policy_name_clustering!$A$7,policy_name_clustering!$C$7,D112=policy_name_clustering!$A$8,policy_name_clustering!$C$8,D112=policy_name_clustering!$A$9,policy_name_clustering!$C$9,D112=policy_name_clustering!$A$10,policy_name_clustering!$C$10,D112=policy_name_clustering!$A$11,policy_name_clustering!$C$11,D112=policy_name_clustering!$A$12,policy_name_clustering!$C$12,D112="-","")</f>
        <v>FiT/FiP-based</v>
      </c>
      <c r="F112" s="7">
        <f t="shared" si="0"/>
        <v>36642.055095555203</v>
      </c>
      <c r="I112" s="7">
        <f t="shared" si="1"/>
        <v>36197.752776200687</v>
      </c>
      <c r="K112" s="7" t="str" cm="1">
        <f t="array" ref="K112">IF(ISNUMBER(H112),_xlfn.IFS(D112= ""," ",D112&lt;&gt; " ",F112*(G112/H112)),"")</f>
        <v/>
      </c>
    </row>
    <row r="113" spans="1:11" s="7" customFormat="1" hidden="1" x14ac:dyDescent="0.35">
      <c r="A113" s="7" t="s">
        <v>6</v>
      </c>
      <c r="B113" s="7">
        <v>2023</v>
      </c>
      <c r="D113" s="9" t="s">
        <v>48</v>
      </c>
      <c r="E113" s="7" t="str" cm="1">
        <f t="array" ref="E113">_xlfn.IFS(D113=policy_name_clustering!$A$2,policy_name_clustering!$C$2,D113=policy_name_clustering!$A$3,policy_name_clustering!$C$3,D113=policy_name_clustering!$A$4,policy_name_clustering!$C$4,D113=policy_name_clustering!$A$5,policy_name_clustering!$C$5,D113=policy_name_clustering!$A$6,policy_name_clustering!$C$6,D113=policy_name_clustering!$A$7,policy_name_clustering!$C$7,D113=policy_name_clustering!$A$8,policy_name_clustering!$C$8,D113=policy_name_clustering!$A$9,policy_name_clustering!$C$9,D113=policy_name_clustering!$A$10,policy_name_clustering!$C$10,D113=policy_name_clustering!$A$11,policy_name_clustering!$C$11,D113=policy_name_clustering!$A$12,policy_name_clustering!$C$12,D113="-","")</f>
        <v>FiT/FiP-based</v>
      </c>
      <c r="F113" s="7">
        <f t="shared" si="0"/>
        <v>36642.055095555203</v>
      </c>
      <c r="I113" s="7">
        <f t="shared" si="1"/>
        <v>36197.752776200687</v>
      </c>
      <c r="K113" s="7" t="str" cm="1">
        <f t="array" ref="K113">IF(ISNUMBER(H113),_xlfn.IFS(D113= ""," ",D113&lt;&gt; " ",F113*(G113/H113)),"")</f>
        <v/>
      </c>
    </row>
    <row r="114" spans="1:11" s="7" customFormat="1" x14ac:dyDescent="0.35">
      <c r="A114" s="7" t="s">
        <v>6</v>
      </c>
      <c r="B114" s="7">
        <v>2015</v>
      </c>
      <c r="C114" s="7" t="s">
        <v>74</v>
      </c>
      <c r="D114" s="7" t="s">
        <v>124</v>
      </c>
      <c r="E114" s="7" t="str" cm="1">
        <f t="array" ref="E114">_xlfn.IFS(D114=policy_name_clustering!$A$2,policy_name_clustering!$C$2,D114=policy_name_clustering!$A$3,policy_name_clustering!$C$3,D114=policy_name_clustering!$A$4,policy_name_clustering!$C$4,D114=policy_name_clustering!$A$5,policy_name_clustering!$C$5,D114=policy_name_clustering!$A$6,policy_name_clustering!$C$6,D114=policy_name_clustering!$A$7,policy_name_clustering!$C$7,D114=policy_name_clustering!$A$8,policy_name_clustering!$C$8,D114=policy_name_clustering!$A$9,policy_name_clustering!$C$9,D114=policy_name_clustering!$A$10,policy_name_clustering!$C$10,D114=policy_name_clustering!$A$11,policy_name_clustering!$C$11,D114=policy_name_clustering!$A$12,policy_name_clustering!$C$12,D114="-","")</f>
        <v xml:space="preserve">Policy mix </v>
      </c>
      <c r="F114" s="7">
        <f>policy_contributions_cum!F22</f>
        <v>1026.41680069431</v>
      </c>
      <c r="G114" s="7">
        <f>solar_cum_cap!C110</f>
        <v>39224</v>
      </c>
      <c r="H114" s="7">
        <f>estimated_capacity!C105</f>
        <v>39863.611268310902</v>
      </c>
      <c r="I114" s="7" cm="1">
        <f t="array" ref="I114">_xlfn.IFS(D114= ""," ",D114&lt;&gt; " ",F114*(G114/H114))</f>
        <v>1009.9479527695966</v>
      </c>
      <c r="J114" s="7" cm="1">
        <f t="array" ref="J114">_xlfn.IFS(D114= ""," ",D114&lt;&gt; " ",(H114-F114)*(G114/H114)-$I$104)</f>
        <v>2016.2992710297185</v>
      </c>
      <c r="K114" s="7" cm="1">
        <f t="array" ref="K114">IF(ISNUMBER(H114),_xlfn.IFS(D114= ""," ",D114&lt;&gt; " ",F114*(G114/H114)),"")</f>
        <v>1009.9479527695966</v>
      </c>
    </row>
    <row r="115" spans="1:11" s="7" customFormat="1" x14ac:dyDescent="0.35">
      <c r="A115" s="7" t="s">
        <v>6</v>
      </c>
      <c r="B115" s="7">
        <v>2016</v>
      </c>
      <c r="C115" s="7" t="s">
        <v>75</v>
      </c>
      <c r="D115" s="7" t="s">
        <v>124</v>
      </c>
      <c r="E115" s="7" t="str" cm="1">
        <f t="array" ref="E115">_xlfn.IFS(D115=policy_name_clustering!$A$2,policy_name_clustering!$C$2,D115=policy_name_clustering!$A$3,policy_name_clustering!$C$3,D115=policy_name_clustering!$A$4,policy_name_clustering!$C$4,D115=policy_name_clustering!$A$5,policy_name_clustering!$C$5,D115=policy_name_clustering!$A$6,policy_name_clustering!$C$6,D115=policy_name_clustering!$A$7,policy_name_clustering!$C$7,D115=policy_name_clustering!$A$8,policy_name_clustering!$C$8,D115=policy_name_clustering!$A$9,policy_name_clustering!$C$9,D115=policy_name_clustering!$A$10,policy_name_clustering!$C$10,D115=policy_name_clustering!$A$11,policy_name_clustering!$C$11,D115=policy_name_clustering!$A$12,policy_name_clustering!$C$12,D115="-","")</f>
        <v xml:space="preserve">Policy mix </v>
      </c>
      <c r="F115" s="7">
        <f>policy_contributions_cum!F23</f>
        <v>2658.4376166113798</v>
      </c>
      <c r="G115" s="7">
        <f>solar_cum_cap!C111</f>
        <v>40679</v>
      </c>
      <c r="H115" s="7">
        <f>estimated_capacity!C106</f>
        <v>41558.827284113198</v>
      </c>
      <c r="I115" s="7" cm="1">
        <f t="array" ref="I115">_xlfn.IFS(D115= ""," ",D115&lt;&gt; " ",F115*(G115/H115))</f>
        <v>2602.1567708546545</v>
      </c>
      <c r="J115" s="7" cm="1">
        <f t="array" ref="J115">_xlfn.IFS(D115= ""," ",D115&lt;&gt; " ",(H115-F115)*(G115/H115)-$I$104)</f>
        <v>1879.0904529446561</v>
      </c>
      <c r="K115" s="7" cm="1">
        <f t="array" ref="K115">IF(ISNUMBER(H115),_xlfn.IFS(D115= ""," ",D115&lt;&gt; " ",F115*(G115/H115)),"")</f>
        <v>2602.1567708546545</v>
      </c>
    </row>
    <row r="116" spans="1:11" s="7" customFormat="1" x14ac:dyDescent="0.35">
      <c r="A116" s="7" t="s">
        <v>6</v>
      </c>
      <c r="B116" s="7">
        <v>2017</v>
      </c>
      <c r="C116" s="7" t="s">
        <v>76</v>
      </c>
      <c r="D116" s="7" t="s">
        <v>124</v>
      </c>
      <c r="E116" s="7" t="str" cm="1">
        <f t="array" ref="E116">_xlfn.IFS(D116=policy_name_clustering!$A$2,policy_name_clustering!$C$2,D116=policy_name_clustering!$A$3,policy_name_clustering!$C$3,D116=policy_name_clustering!$A$4,policy_name_clustering!$C$4,D116=policy_name_clustering!$A$5,policy_name_clustering!$C$5,D116=policy_name_clustering!$A$6,policy_name_clustering!$C$6,D116=policy_name_clustering!$A$7,policy_name_clustering!$C$7,D116=policy_name_clustering!$A$8,policy_name_clustering!$C$8,D116=policy_name_clustering!$A$9,policy_name_clustering!$C$9,D116=policy_name_clustering!$A$10,policy_name_clustering!$C$10,D116=policy_name_clustering!$A$11,policy_name_clustering!$C$11,D116=policy_name_clustering!$A$12,policy_name_clustering!$C$12,D116="-","")</f>
        <v xml:space="preserve">Policy mix </v>
      </c>
      <c r="F116" s="7">
        <f>policy_contributions_cum!F24</f>
        <v>5002.26196436601</v>
      </c>
      <c r="G116" s="7">
        <f>solar_cum_cap!C112</f>
        <v>42293</v>
      </c>
      <c r="H116" s="7">
        <f>estimated_capacity!C107</f>
        <v>43795.488936563997</v>
      </c>
      <c r="I116" s="7" cm="1">
        <f t="array" ref="I116">_xlfn.IFS(D116= ""," ",D116&lt;&gt; " ",F116*(G116/H116))</f>
        <v>4830.6496946607622</v>
      </c>
      <c r="J116" s="7" cm="1">
        <f t="array" ref="J116">_xlfn.IFS(D116= ""," ",D116&lt;&gt; " ",(H116-F116)*(G116/H116)-$I$104)</f>
        <v>1264.5975291385548</v>
      </c>
      <c r="K116" s="7" cm="1">
        <f t="array" ref="K116">IF(ISNUMBER(H116),_xlfn.IFS(D116= ""," ",D116&lt;&gt; " ",F116*(G116/H116)),"")</f>
        <v>4830.6496946607622</v>
      </c>
    </row>
    <row r="117" spans="1:11" s="7" customFormat="1" x14ac:dyDescent="0.35">
      <c r="A117" s="7" t="s">
        <v>6</v>
      </c>
      <c r="B117" s="7">
        <v>2018</v>
      </c>
      <c r="C117" s="7" t="s">
        <v>77</v>
      </c>
      <c r="D117" s="7" t="s">
        <v>124</v>
      </c>
      <c r="E117" s="7" t="str" cm="1">
        <f t="array" ref="E117">_xlfn.IFS(D117=policy_name_clustering!$A$2,policy_name_clustering!$C$2,D117=policy_name_clustering!$A$3,policy_name_clustering!$C$3,D117=policy_name_clustering!$A$4,policy_name_clustering!$C$4,D117=policy_name_clustering!$A$5,policy_name_clustering!$C$5,D117=policy_name_clustering!$A$6,policy_name_clustering!$C$6,D117=policy_name_clustering!$A$7,policy_name_clustering!$C$7,D117=policy_name_clustering!$A$8,policy_name_clustering!$C$8,D117=policy_name_clustering!$A$9,policy_name_clustering!$C$9,D117=policy_name_clustering!$A$10,policy_name_clustering!$C$10,D117=policy_name_clustering!$A$11,policy_name_clustering!$C$11,D117=policy_name_clustering!$A$12,policy_name_clustering!$C$12,D117="-","")</f>
        <v xml:space="preserve">Policy mix </v>
      </c>
      <c r="F117" s="7">
        <f>policy_contributions_cum!F25</f>
        <v>8064.8228265057396</v>
      </c>
      <c r="G117" s="7">
        <f>solar_cum_cap!C113</f>
        <v>45158</v>
      </c>
      <c r="H117" s="7">
        <f>estimated_capacity!C108</f>
        <v>46654.645656665802</v>
      </c>
      <c r="I117" s="7" cm="1">
        <f t="array" ref="I117">_xlfn.IFS(D117= ""," ",D117&lt;&gt; " ",F117*(G117/H117))</f>
        <v>7806.1094254032178</v>
      </c>
      <c r="J117" s="7" cm="1">
        <f t="array" ref="J117">_xlfn.IFS(D117= ""," ",D117&lt;&gt; " ",(H117-F117)*(G117/H117)-$I$104)</f>
        <v>1154.1377983960992</v>
      </c>
      <c r="K117" s="7" cm="1">
        <f t="array" ref="K117">IF(ISNUMBER(H117),_xlfn.IFS(D117= ""," ",D117&lt;&gt; " ",F117*(G117/H117)),"")</f>
        <v>7806.1094254032178</v>
      </c>
    </row>
    <row r="118" spans="1:11" s="7" customFormat="1" x14ac:dyDescent="0.35">
      <c r="A118" s="7" t="s">
        <v>6</v>
      </c>
      <c r="B118" s="7">
        <v>2019</v>
      </c>
      <c r="C118" s="7" t="s">
        <v>78</v>
      </c>
      <c r="D118" s="7" t="s">
        <v>124</v>
      </c>
      <c r="E118" s="7" t="str" cm="1">
        <f t="array" ref="E118">_xlfn.IFS(D118=policy_name_clustering!$A$2,policy_name_clustering!$C$2,D118=policy_name_clustering!$A$3,policy_name_clustering!$C$3,D118=policy_name_clustering!$A$4,policy_name_clustering!$C$4,D118=policy_name_clustering!$A$5,policy_name_clustering!$C$5,D118=policy_name_clustering!$A$6,policy_name_clustering!$C$6,D118=policy_name_clustering!$A$7,policy_name_clustering!$C$7,D118=policy_name_clustering!$A$8,policy_name_clustering!$C$8,D118=policy_name_clustering!$A$9,policy_name_clustering!$C$9,D118=policy_name_clustering!$A$10,policy_name_clustering!$C$10,D118=policy_name_clustering!$A$11,policy_name_clustering!$C$11,D118=policy_name_clustering!$A$12,policy_name_clustering!$C$12,D118="-","")</f>
        <v xml:space="preserve">Policy mix </v>
      </c>
      <c r="F118" s="7">
        <f>policy_contributions_cum!F26</f>
        <v>11242.384637380699</v>
      </c>
      <c r="G118" s="7">
        <f>solar_cum_cap!C114</f>
        <v>48914</v>
      </c>
      <c r="H118" s="7">
        <f>estimated_capacity!C109</f>
        <v>49565.609027122598</v>
      </c>
      <c r="I118" s="7" cm="1">
        <f t="array" ref="I118">_xlfn.IFS(D118= ""," ",D118&lt;&gt; " ",F118*(G118/H118))</f>
        <v>11094.587818984035</v>
      </c>
      <c r="J118" s="7" cm="1">
        <f t="array" ref="J118">_xlfn.IFS(D118= ""," ",D118&lt;&gt; " ",(H118-F118)*(G118/H118)-$I$104)</f>
        <v>1621.6594048152765</v>
      </c>
      <c r="K118" s="7" cm="1">
        <f t="array" ref="K118">IF(ISNUMBER(H118),_xlfn.IFS(D118= ""," ",D118&lt;&gt; " ",F118*(G118/H118)),"")</f>
        <v>11094.587818984035</v>
      </c>
    </row>
    <row r="119" spans="1:11" s="7" customFormat="1" x14ac:dyDescent="0.35">
      <c r="A119" s="7" t="s">
        <v>6</v>
      </c>
      <c r="B119" s="7">
        <v>2020</v>
      </c>
      <c r="C119" s="7" t="s">
        <v>78</v>
      </c>
      <c r="D119" s="9" t="s">
        <v>124</v>
      </c>
      <c r="E119" s="7" t="str" cm="1">
        <f t="array" ref="E119">_xlfn.IFS(D119=policy_name_clustering!$A$2,policy_name_clustering!$C$2,D119=policy_name_clustering!$A$3,policy_name_clustering!$C$3,D119=policy_name_clustering!$A$4,policy_name_clustering!$C$4,D119=policy_name_clustering!$A$5,policy_name_clustering!$C$5,D119=policy_name_clustering!$A$6,policy_name_clustering!$C$6,D119=policy_name_clustering!$A$7,policy_name_clustering!$C$7,D119=policy_name_clustering!$A$8,policy_name_clustering!$C$8,D119=policy_name_clustering!$A$9,policy_name_clustering!$C$9,D119=policy_name_clustering!$A$10,policy_name_clustering!$C$10,D119=policy_name_clustering!$A$11,policy_name_clustering!$C$11,D119=policy_name_clustering!$A$12,policy_name_clustering!$C$12,D119="-","")</f>
        <v xml:space="preserve">Policy mix </v>
      </c>
      <c r="F119" s="7">
        <f>F118</f>
        <v>11242.384637380699</v>
      </c>
      <c r="I119" s="7">
        <f>I118</f>
        <v>11094.587818984035</v>
      </c>
      <c r="K119" s="7" t="str" cm="1">
        <f t="array" ref="K119">IF(ISNUMBER(H119),_xlfn.IFS(D119= ""," ",D119&lt;&gt; " ",F119*(G119/H119)),"")</f>
        <v/>
      </c>
    </row>
    <row r="120" spans="1:11" s="7" customFormat="1" x14ac:dyDescent="0.35">
      <c r="A120" s="7" t="s">
        <v>6</v>
      </c>
      <c r="B120" s="7">
        <v>2021</v>
      </c>
      <c r="D120" s="10" t="s">
        <v>124</v>
      </c>
      <c r="E120" s="7" t="str" cm="1">
        <f t="array" ref="E120">_xlfn.IFS(D120=policy_name_clustering!$A$2,policy_name_clustering!$C$2,D120=policy_name_clustering!$A$3,policy_name_clustering!$C$3,D120=policy_name_clustering!$A$4,policy_name_clustering!$C$4,D120=policy_name_clustering!$A$5,policy_name_clustering!$C$5,D120=policy_name_clustering!$A$6,policy_name_clustering!$C$6,D120=policy_name_clustering!$A$7,policy_name_clustering!$C$7,D120=policy_name_clustering!$A$8,policy_name_clustering!$C$8,D120=policy_name_clustering!$A$9,policy_name_clustering!$C$9,D120=policy_name_clustering!$A$10,policy_name_clustering!$C$10,D120=policy_name_clustering!$A$11,policy_name_clustering!$C$11,D120=policy_name_clustering!$A$12,policy_name_clustering!$C$12,D120="-","")</f>
        <v xml:space="preserve">Policy mix </v>
      </c>
      <c r="F120" s="7">
        <f>F119</f>
        <v>11242.384637380699</v>
      </c>
      <c r="I120" s="7">
        <f>I119</f>
        <v>11094.587818984035</v>
      </c>
      <c r="K120" s="7" t="str" cm="1">
        <f t="array" ref="K120">IF(ISNUMBER(H120),_xlfn.IFS(D120= ""," ",D120&lt;&gt; " ",F120*(G120/H120)),"")</f>
        <v/>
      </c>
    </row>
    <row r="121" spans="1:11" s="7" customFormat="1" x14ac:dyDescent="0.35">
      <c r="A121" s="7" t="s">
        <v>6</v>
      </c>
      <c r="B121" s="7">
        <v>2022</v>
      </c>
      <c r="D121" s="9" t="s">
        <v>124</v>
      </c>
      <c r="E121" s="7" t="str" cm="1">
        <f t="array" ref="E121">_xlfn.IFS(D121=policy_name_clustering!$A$2,policy_name_clustering!$C$2,D121=policy_name_clustering!$A$3,policy_name_clustering!$C$3,D121=policy_name_clustering!$A$4,policy_name_clustering!$C$4,D121=policy_name_clustering!$A$5,policy_name_clustering!$C$5,D121=policy_name_clustering!$A$6,policy_name_clustering!$C$6,D121=policy_name_clustering!$A$7,policy_name_clustering!$C$7,D121=policy_name_clustering!$A$8,policy_name_clustering!$C$8,D121=policy_name_clustering!$A$9,policy_name_clustering!$C$9,D121=policy_name_clustering!$A$10,policy_name_clustering!$C$10,D121=policy_name_clustering!$A$11,policy_name_clustering!$C$11,D121=policy_name_clustering!$A$12,policy_name_clustering!$C$12,D121="-","")</f>
        <v xml:space="preserve">Policy mix </v>
      </c>
      <c r="F121" s="7">
        <f t="shared" ref="F121:F122" si="2">F120</f>
        <v>11242.384637380699</v>
      </c>
      <c r="I121" s="7">
        <f t="shared" ref="I121:I122" si="3">I120</f>
        <v>11094.587818984035</v>
      </c>
      <c r="K121" s="7" t="str" cm="1">
        <f t="array" ref="K121">IF(ISNUMBER(H121),_xlfn.IFS(D121= ""," ",D121&lt;&gt; " ",F121*(G121/H121)),"")</f>
        <v/>
      </c>
    </row>
    <row r="122" spans="1:11" s="7" customFormat="1" x14ac:dyDescent="0.35">
      <c r="A122" s="7" t="s">
        <v>6</v>
      </c>
      <c r="B122" s="7">
        <v>2023</v>
      </c>
      <c r="D122" s="9" t="s">
        <v>124</v>
      </c>
      <c r="E122" s="7" t="str" cm="1">
        <f t="array" ref="E122">_xlfn.IFS(D122=policy_name_clustering!$A$2,policy_name_clustering!$C$2,D122=policy_name_clustering!$A$3,policy_name_clustering!$C$3,D122=policy_name_clustering!$A$4,policy_name_clustering!$C$4,D122=policy_name_clustering!$A$5,policy_name_clustering!$C$5,D122=policy_name_clustering!$A$6,policy_name_clustering!$C$6,D122=policy_name_clustering!$A$7,policy_name_clustering!$C$7,D122=policy_name_clustering!$A$8,policy_name_clustering!$C$8,D122=policy_name_clustering!$A$9,policy_name_clustering!$C$9,D122=policy_name_clustering!$A$10,policy_name_clustering!$C$10,D122=policy_name_clustering!$A$11,policy_name_clustering!$C$11,D122=policy_name_clustering!$A$12,policy_name_clustering!$C$12,D122="-","")</f>
        <v xml:space="preserve">Policy mix </v>
      </c>
      <c r="F122" s="7">
        <f t="shared" si="2"/>
        <v>11242.384637380699</v>
      </c>
      <c r="I122" s="7">
        <f t="shared" si="3"/>
        <v>11094.587818984035</v>
      </c>
      <c r="K122" s="7" t="str" cm="1">
        <f t="array" ref="K122">IF(ISNUMBER(H122),_xlfn.IFS(D122= ""," ",D122&lt;&gt; " ",F122*(G122/H122)),"")</f>
        <v/>
      </c>
    </row>
    <row r="123" spans="1:11" s="7" customFormat="1" x14ac:dyDescent="0.35">
      <c r="A123" s="7" t="s">
        <v>6</v>
      </c>
      <c r="B123" s="7">
        <v>2020</v>
      </c>
      <c r="C123" s="7" t="s">
        <v>78</v>
      </c>
      <c r="D123" s="20" t="s">
        <v>125</v>
      </c>
      <c r="E123" s="7" t="str" cm="1">
        <f t="array" ref="E123">_xlfn.IFS(D123=policy_name_clustering!$A$2,policy_name_clustering!$C$2,D123=policy_name_clustering!$A$3,policy_name_clustering!$C$3,D123=policy_name_clustering!$A$4,policy_name_clustering!$C$4,D123=policy_name_clustering!$A$5,policy_name_clustering!$C$5,D123=policy_name_clustering!$A$6,policy_name_clustering!$C$6,D123=policy_name_clustering!$A$7,policy_name_clustering!$C$7,D123=policy_name_clustering!$A$8,policy_name_clustering!$C$8,D123=policy_name_clustering!$A$9,policy_name_clustering!$C$9,D123=policy_name_clustering!$A$10,policy_name_clustering!$C$10,D123=policy_name_clustering!$A$11,policy_name_clustering!$C$11,D123=policy_name_clustering!$A$12,policy_name_clustering!$C$12,D123="-","")</f>
        <v xml:space="preserve">Policy mix </v>
      </c>
      <c r="F123" s="7">
        <f>policy_contributions_cum!F27</f>
        <v>14611.1661017977</v>
      </c>
      <c r="G123" s="7">
        <f>solar_cum_cap!C115</f>
        <v>53671</v>
      </c>
      <c r="H123" s="7">
        <f>estimated_capacity!C110</f>
        <v>52640.637195375697</v>
      </c>
      <c r="I123" s="7" cm="1">
        <f t="array" ref="I123">_xlfn.IFS(D123= ""," ",D123&lt;&gt; " ",F123*(G123/H123)-$I$118)</f>
        <v>3802.5703012537906</v>
      </c>
      <c r="J123" s="7" cm="1">
        <f t="array" ref="J123">_xlfn.IFS(D123= ""," ",D123&lt;&gt; " ",(H123-F123)*(G123/H123)-$I$104)</f>
        <v>2576.0891035614914</v>
      </c>
      <c r="K123" s="7" cm="1">
        <f t="array" ref="K123">IF(ISNUMBER(H123),_xlfn.IFS(D123= ""," ",D123&lt;&gt; " ",F123*(G123/H123)),"")</f>
        <v>14897.158120237826</v>
      </c>
    </row>
    <row r="124" spans="1:11" s="7" customFormat="1" x14ac:dyDescent="0.35">
      <c r="A124" s="7" t="s">
        <v>6</v>
      </c>
      <c r="B124" s="7">
        <v>2021</v>
      </c>
      <c r="C124" s="7" t="s">
        <v>79</v>
      </c>
      <c r="D124" s="7" t="s">
        <v>125</v>
      </c>
      <c r="E124" s="7" t="str" cm="1">
        <f t="array" ref="E124">_xlfn.IFS(D124=policy_name_clustering!$A$2,policy_name_clustering!$C$2,D124=policy_name_clustering!$A$3,policy_name_clustering!$C$3,D124=policy_name_clustering!$A$4,policy_name_clustering!$C$4,D124=policy_name_clustering!$A$5,policy_name_clustering!$C$5,D124=policy_name_clustering!$A$6,policy_name_clustering!$C$6,D124=policy_name_clustering!$A$7,policy_name_clustering!$C$7,D124=policy_name_clustering!$A$8,policy_name_clustering!$C$8,D124=policy_name_clustering!$A$9,policy_name_clustering!$C$9,D124=policy_name_clustering!$A$10,policy_name_clustering!$C$10,D124=policy_name_clustering!$A$11,policy_name_clustering!$C$11,D124=policy_name_clustering!$A$12,policy_name_clustering!$C$12,D124="-","")</f>
        <v xml:space="preserve">Policy mix </v>
      </c>
      <c r="F124" s="7">
        <f>policy_contributions_cum!F28</f>
        <v>18736.503292345598</v>
      </c>
      <c r="G124" s="7">
        <f>solar_cum_cap!C116</f>
        <v>60038</v>
      </c>
      <c r="H124" s="7">
        <f>estimated_capacity!C111</f>
        <v>56461.499093436803</v>
      </c>
      <c r="I124" s="7" cm="1">
        <f t="array" ref="I124">_xlfn.IFS(D124= ""," ",D124&lt;&gt; " ",F124*(G124/H124)-$I$118)</f>
        <v>8828.7617683917942</v>
      </c>
      <c r="J124" s="7" cm="1">
        <f t="array" ref="J124">_xlfn.IFS(D124= ""," ",D124&lt;&gt; " ",(H124-F124)*(G124/H124)-$I$104)</f>
        <v>3916.8976364234841</v>
      </c>
      <c r="K124" s="7" cm="1">
        <f t="array" ref="K124">IF(ISNUMBER(H124),_xlfn.IFS(D124= ""," ",D124&lt;&gt; " ",F124*(G124/H124)),"")</f>
        <v>19923.349587375829</v>
      </c>
    </row>
    <row r="125" spans="1:11" s="7" customFormat="1" x14ac:dyDescent="0.35">
      <c r="A125" s="7" t="s">
        <v>6</v>
      </c>
      <c r="B125" s="7">
        <v>2022</v>
      </c>
      <c r="C125" s="7" t="s">
        <v>79</v>
      </c>
      <c r="D125" s="7" t="s">
        <v>125</v>
      </c>
      <c r="E125" s="7" t="str" cm="1">
        <f t="array" ref="E125">_xlfn.IFS(D125=policy_name_clustering!$A$2,policy_name_clustering!$C$2,D125=policy_name_clustering!$A$3,policy_name_clustering!$C$3,D125=policy_name_clustering!$A$4,policy_name_clustering!$C$4,D125=policy_name_clustering!$A$5,policy_name_clustering!$C$5,D125=policy_name_clustering!$A$6,policy_name_clustering!$C$6,D125=policy_name_clustering!$A$7,policy_name_clustering!$C$7,D125=policy_name_clustering!$A$8,policy_name_clustering!$C$8,D125=policy_name_clustering!$A$9,policy_name_clustering!$C$9,D125=policy_name_clustering!$A$10,policy_name_clustering!$C$10,D125=policy_name_clustering!$A$11,policy_name_clustering!$C$11,D125=policy_name_clustering!$A$12,policy_name_clustering!$C$12,D125="-","")</f>
        <v xml:space="preserve">Policy mix </v>
      </c>
      <c r="F125" s="7">
        <f>policy_contributions_cum!F29</f>
        <v>25249.150779007101</v>
      </c>
      <c r="G125" s="7">
        <f>solar_cum_cap!C117</f>
        <v>61188</v>
      </c>
      <c r="H125" s="7">
        <f>estimated_capacity!C112</f>
        <v>62665.859607255501</v>
      </c>
      <c r="I125" s="7" cm="1">
        <f t="array" ref="I125">_xlfn.IFS(D125= ""," ",D125&lt;&gt; " ",F125*(G125/H125)-$I$118)</f>
        <v>13559.107950107618</v>
      </c>
      <c r="J125" s="7" cm="1">
        <f t="array" ref="J125">_xlfn.IFS(D125= ""," ",D125&lt;&gt; " ",(H125-F125)*(G125/H125)-$I$104)</f>
        <v>336.55145470766729</v>
      </c>
      <c r="K125" s="7" cm="1">
        <f t="array" ref="K125">IF(ISNUMBER(H125),_xlfn.IFS(D125= ""," ",D125&lt;&gt; " ",F125*(G125/H125)),"")</f>
        <v>24653.695769091653</v>
      </c>
    </row>
    <row r="126" spans="1:11" s="7" customFormat="1" x14ac:dyDescent="0.35">
      <c r="A126" s="7" t="s">
        <v>6</v>
      </c>
      <c r="B126" s="7">
        <v>2023</v>
      </c>
      <c r="C126" s="7" t="s">
        <v>79</v>
      </c>
      <c r="D126" s="7" t="s">
        <v>125</v>
      </c>
      <c r="E126" s="7" t="str" cm="1">
        <f t="array" ref="E126">_xlfn.IFS(D126=policy_name_clustering!$A$2,policy_name_clustering!$C$2,D126=policy_name_clustering!$A$3,policy_name_clustering!$C$3,D126=policy_name_clustering!$A$4,policy_name_clustering!$C$4,D126=policy_name_clustering!$A$5,policy_name_clustering!$C$5,D126=policy_name_clustering!$A$6,policy_name_clustering!$C$6,D126=policy_name_clustering!$A$7,policy_name_clustering!$C$7,D126=policy_name_clustering!$A$8,policy_name_clustering!$C$8,D126=policy_name_clustering!$A$9,policy_name_clustering!$C$9,D126=policy_name_clustering!$A$10,policy_name_clustering!$C$10,D126=policy_name_clustering!$A$11,policy_name_clustering!$C$11,D126=policy_name_clustering!$A$12,policy_name_clustering!$C$12,D126="-","")</f>
        <v xml:space="preserve">Policy mix </v>
      </c>
      <c r="F126" s="7">
        <f>policy_contributions_cum!F30</f>
        <v>34038.526606686901</v>
      </c>
      <c r="G126" s="7">
        <f>solar_cum_cap!C118</f>
        <v>74882</v>
      </c>
      <c r="H126" s="7">
        <f>estimated_capacity!C113</f>
        <v>71143.520039322102</v>
      </c>
      <c r="I126" s="7" cm="1">
        <f t="array" ref="I126">_xlfn.IFS(D126= ""," ",D126&lt;&gt; " ",F126*(G126/H126)-$I$118)</f>
        <v>24732.609766307331</v>
      </c>
      <c r="J126" s="7" cm="1">
        <f t="array" ref="J126">_xlfn.IFS(D126= ""," ",D126&lt;&gt; " ",(H126-F126)*(G126/H126)-$I$104)</f>
        <v>2857.0496385079532</v>
      </c>
      <c r="K126" s="7" cm="1">
        <f t="array" ref="K126">IF(ISNUMBER(H126),_xlfn.IFS(D126= ""," ",D126&lt;&gt; " ",F126*(G126/H126)),"")</f>
        <v>35827.197585291367</v>
      </c>
    </row>
    <row r="127" spans="1:11" s="7" customFormat="1" hidden="1" x14ac:dyDescent="0.35">
      <c r="A127" s="7" t="s">
        <v>33</v>
      </c>
      <c r="B127" s="7">
        <v>2001</v>
      </c>
      <c r="D127" s="6" t="s">
        <v>73</v>
      </c>
      <c r="E127" s="7" t="str" cm="1">
        <f t="array" ref="E127">_xlfn.IFS(D127=policy_name_clustering!$A$2,policy_name_clustering!$C$2,D127=policy_name_clustering!$A$3,policy_name_clustering!$C$3,D127=policy_name_clustering!$A$4,policy_name_clustering!$C$4,D127=policy_name_clustering!$A$5,policy_name_clustering!$C$5,D127=policy_name_clustering!$A$6,policy_name_clustering!$C$6,D127=policy_name_clustering!$A$7,policy_name_clustering!$C$7,D127=policy_name_clustering!$A$8,policy_name_clustering!$C$8,D127=policy_name_clustering!$A$9,policy_name_clustering!$C$9,D127=policy_name_clustering!$A$10,policy_name_clustering!$C$10,D127=policy_name_clustering!$A$11,policy_name_clustering!$C$11,D127=policy_name_clustering!$A$12,policy_name_clustering!$C$12,D127="-","")</f>
        <v/>
      </c>
      <c r="G127" s="7">
        <f>solar_cum_cap!C120</f>
        <v>1</v>
      </c>
      <c r="H127" s="7">
        <f>estimated_capacity!C114</f>
        <v>-1.4924322129041301</v>
      </c>
      <c r="I127" s="7" cm="1">
        <f t="array" ref="I127">_xlfn.IFS(D127= ""," ",D127&lt;&gt; " ",F127*(G127/H127))</f>
        <v>0</v>
      </c>
      <c r="J127" s="7" cm="1">
        <f t="array" ref="J127">_xlfn.IFS(D127= ""," ",D127&lt;&gt; " ",(H127-F127)*(G127/H127))</f>
        <v>0.99999999999999989</v>
      </c>
      <c r="K127" s="7" cm="1">
        <f t="array" ref="K127">IF(ISNUMBER(H127),_xlfn.IFS(D127= ""," ",D127&lt;&gt; " ",F127*(G127/H127)),"")</f>
        <v>0</v>
      </c>
    </row>
    <row r="128" spans="1:11" s="7" customFormat="1" hidden="1" x14ac:dyDescent="0.35">
      <c r="A128" s="7" t="s">
        <v>33</v>
      </c>
      <c r="B128" s="7">
        <v>2002</v>
      </c>
      <c r="D128" s="6" t="s">
        <v>73</v>
      </c>
      <c r="E128" s="7" t="str" cm="1">
        <f t="array" ref="E128">_xlfn.IFS(D128=policy_name_clustering!$A$2,policy_name_clustering!$C$2,D128=policy_name_clustering!$A$3,policy_name_clustering!$C$3,D128=policy_name_clustering!$A$4,policy_name_clustering!$C$4,D128=policy_name_clustering!$A$5,policy_name_clustering!$C$5,D128=policy_name_clustering!$A$6,policy_name_clustering!$C$6,D128=policy_name_clustering!$A$7,policy_name_clustering!$C$7,D128=policy_name_clustering!$A$8,policy_name_clustering!$C$8,D128=policy_name_clustering!$A$9,policy_name_clustering!$C$9,D128=policy_name_clustering!$A$10,policy_name_clustering!$C$10,D128=policy_name_clustering!$A$11,policy_name_clustering!$C$11,D128=policy_name_clustering!$A$12,policy_name_clustering!$C$12,D128="-","")</f>
        <v/>
      </c>
      <c r="G128" s="7">
        <f>solar_cum_cap!C121</f>
        <v>2</v>
      </c>
      <c r="H128" s="7">
        <f>estimated_capacity!C115</f>
        <v>-8.6521616812804591</v>
      </c>
      <c r="I128" s="7" cm="1">
        <f t="array" ref="I128">_xlfn.IFS(D128= ""," ",D128&lt;&gt; " ",F128*(G128/H128))</f>
        <v>0</v>
      </c>
      <c r="J128" s="7" cm="1">
        <f t="array" ref="J128">_xlfn.IFS(D128= ""," ",D128&lt;&gt; " ",(H128-F128)*(G128/H128))</f>
        <v>1.9999999999999998</v>
      </c>
      <c r="K128" s="7" cm="1">
        <f t="array" ref="K128">IF(ISNUMBER(H128),_xlfn.IFS(D128= ""," ",D128&lt;&gt; " ",F128*(G128/H128)),"")</f>
        <v>0</v>
      </c>
    </row>
    <row r="129" spans="1:11" s="7" customFormat="1" hidden="1" x14ac:dyDescent="0.35">
      <c r="A129" s="7" t="s">
        <v>33</v>
      </c>
      <c r="B129" s="7">
        <v>2003</v>
      </c>
      <c r="D129" s="6" t="s">
        <v>73</v>
      </c>
      <c r="E129" s="7" t="str" cm="1">
        <f t="array" ref="E129">_xlfn.IFS(D129=policy_name_clustering!$A$2,policy_name_clustering!$C$2,D129=policy_name_clustering!$A$3,policy_name_clustering!$C$3,D129=policy_name_clustering!$A$4,policy_name_clustering!$C$4,D129=policy_name_clustering!$A$5,policy_name_clustering!$C$5,D129=policy_name_clustering!$A$6,policy_name_clustering!$C$6,D129=policy_name_clustering!$A$7,policy_name_clustering!$C$7,D129=policy_name_clustering!$A$8,policy_name_clustering!$C$8,D129=policy_name_clustering!$A$9,policy_name_clustering!$C$9,D129=policy_name_clustering!$A$10,policy_name_clustering!$C$10,D129=policy_name_clustering!$A$11,policy_name_clustering!$C$11,D129=policy_name_clustering!$A$12,policy_name_clustering!$C$12,D129="-","")</f>
        <v/>
      </c>
      <c r="G129" s="7">
        <f>solar_cum_cap!C122</f>
        <v>2</v>
      </c>
      <c r="H129" s="7">
        <f>estimated_capacity!C116</f>
        <v>-1.36778314102236</v>
      </c>
      <c r="I129" s="7" cm="1">
        <f t="array" ref="I129">_xlfn.IFS(D129= ""," ",D129&lt;&gt; " ",F129*(G129/H129))</f>
        <v>0</v>
      </c>
      <c r="J129" s="7" cm="1">
        <f t="array" ref="J129">_xlfn.IFS(D129= ""," ",D129&lt;&gt; " ",(H129-F129)*(G129/H129))</f>
        <v>2</v>
      </c>
      <c r="K129" s="7" cm="1">
        <f t="array" ref="K129">IF(ISNUMBER(H129),_xlfn.IFS(D129= ""," ",D129&lt;&gt; " ",F129*(G129/H129)),"")</f>
        <v>0</v>
      </c>
    </row>
    <row r="130" spans="1:11" s="7" customFormat="1" hidden="1" x14ac:dyDescent="0.35">
      <c r="A130" s="7" t="s">
        <v>33</v>
      </c>
      <c r="B130" s="7">
        <v>2004</v>
      </c>
      <c r="D130" s="6" t="s">
        <v>73</v>
      </c>
      <c r="E130" s="7" t="str" cm="1">
        <f t="array" ref="E130">_xlfn.IFS(D130=policy_name_clustering!$A$2,policy_name_clustering!$C$2,D130=policy_name_clustering!$A$3,policy_name_clustering!$C$3,D130=policy_name_clustering!$A$4,policy_name_clustering!$C$4,D130=policy_name_clustering!$A$5,policy_name_clustering!$C$5,D130=policy_name_clustering!$A$6,policy_name_clustering!$C$6,D130=policy_name_clustering!$A$7,policy_name_clustering!$C$7,D130=policy_name_clustering!$A$8,policy_name_clustering!$C$8,D130=policy_name_clustering!$A$9,policy_name_clustering!$C$9,D130=policy_name_clustering!$A$10,policy_name_clustering!$C$10,D130=policy_name_clustering!$A$11,policy_name_clustering!$C$11,D130=policy_name_clustering!$A$12,policy_name_clustering!$C$12,D130="-","")</f>
        <v/>
      </c>
      <c r="G130" s="7">
        <f>solar_cum_cap!C123</f>
        <v>2</v>
      </c>
      <c r="H130" s="7">
        <f>estimated_capacity!C117</f>
        <v>27.862988680082299</v>
      </c>
      <c r="I130" s="7" cm="1">
        <f t="array" ref="I130">_xlfn.IFS(D130= ""," ",D130&lt;&gt; " ",F130*(G130/H130))</f>
        <v>0</v>
      </c>
      <c r="J130" s="7" cm="1">
        <f t="array" ref="J130">_xlfn.IFS(D130= ""," ",D130&lt;&gt; " ",(H130-F130)*(G130/H130))</f>
        <v>2</v>
      </c>
      <c r="K130" s="7" cm="1">
        <f t="array" ref="K130">IF(ISNUMBER(H130),_xlfn.IFS(D130= ""," ",D130&lt;&gt; " ",F130*(G130/H130)),"")</f>
        <v>0</v>
      </c>
    </row>
    <row r="131" spans="1:11" s="7" customFormat="1" hidden="1" x14ac:dyDescent="0.35">
      <c r="A131" s="7" t="s">
        <v>33</v>
      </c>
      <c r="B131" s="7">
        <v>2005</v>
      </c>
      <c r="D131" s="6" t="s">
        <v>73</v>
      </c>
      <c r="E131" s="7" t="str" cm="1">
        <f t="array" ref="E131">_xlfn.IFS(D131=policy_name_clustering!$A$2,policy_name_clustering!$C$2,D131=policy_name_clustering!$A$3,policy_name_clustering!$C$3,D131=policy_name_clustering!$A$4,policy_name_clustering!$C$4,D131=policy_name_clustering!$A$5,policy_name_clustering!$C$5,D131=policy_name_clustering!$A$6,policy_name_clustering!$C$6,D131=policy_name_clustering!$A$7,policy_name_clustering!$C$7,D131=policy_name_clustering!$A$8,policy_name_clustering!$C$8,D131=policy_name_clustering!$A$9,policy_name_clustering!$C$9,D131=policy_name_clustering!$A$10,policy_name_clustering!$C$10,D131=policy_name_clustering!$A$11,policy_name_clustering!$C$11,D131=policy_name_clustering!$A$12,policy_name_clustering!$C$12,D131="-","")</f>
        <v/>
      </c>
      <c r="G131" s="7">
        <f>solar_cum_cap!C124</f>
        <v>3</v>
      </c>
      <c r="H131" s="7">
        <f>estimated_capacity!C118</f>
        <v>53.657718296517999</v>
      </c>
      <c r="I131" s="7" cm="1">
        <f t="array" ref="I131">_xlfn.IFS(D131= ""," ",D131&lt;&gt; " ",F131*(G131/H131))</f>
        <v>0</v>
      </c>
      <c r="J131" s="7" cm="1">
        <f t="array" ref="J131">_xlfn.IFS(D131= ""," ",D131&lt;&gt; " ",(H131-F131)*(G131/H131))</f>
        <v>3</v>
      </c>
      <c r="K131" s="7" cm="1">
        <f t="array" ref="K131">IF(ISNUMBER(H131),_xlfn.IFS(D131= ""," ",D131&lt;&gt; " ",F131*(G131/H131)),"")</f>
        <v>0</v>
      </c>
    </row>
    <row r="132" spans="1:11" s="7" customFormat="1" hidden="1" x14ac:dyDescent="0.35">
      <c r="A132" s="7" t="s">
        <v>33</v>
      </c>
      <c r="B132" s="7">
        <v>2006</v>
      </c>
      <c r="D132" s="6" t="s">
        <v>73</v>
      </c>
      <c r="E132" s="7" t="str" cm="1">
        <f t="array" ref="E132">_xlfn.IFS(D132=policy_name_clustering!$A$2,policy_name_clustering!$C$2,D132=policy_name_clustering!$A$3,policy_name_clustering!$C$3,D132=policy_name_clustering!$A$4,policy_name_clustering!$C$4,D132=policy_name_clustering!$A$5,policy_name_clustering!$C$5,D132=policy_name_clustering!$A$6,policy_name_clustering!$C$6,D132=policy_name_clustering!$A$7,policy_name_clustering!$C$7,D132=policy_name_clustering!$A$8,policy_name_clustering!$C$8,D132=policy_name_clustering!$A$9,policy_name_clustering!$C$9,D132=policy_name_clustering!$A$10,policy_name_clustering!$C$10,D132=policy_name_clustering!$A$11,policy_name_clustering!$C$11,D132=policy_name_clustering!$A$12,policy_name_clustering!$C$12,D132="-","")</f>
        <v/>
      </c>
      <c r="G132" s="7">
        <f>solar_cum_cap!C125</f>
        <v>3</v>
      </c>
      <c r="H132" s="7">
        <f>estimated_capacity!C119</f>
        <v>84.9479325210648</v>
      </c>
      <c r="I132" s="7" cm="1">
        <f t="array" ref="I132">_xlfn.IFS(D132= ""," ",D132&lt;&gt; " ",F132*(G132/H132))</f>
        <v>0</v>
      </c>
      <c r="J132" s="7" cm="1">
        <f t="array" ref="J132">_xlfn.IFS(D132= ""," ",D132&lt;&gt; " ",(H132-F132)*(G132/H132))</f>
        <v>3</v>
      </c>
      <c r="K132" s="7" cm="1">
        <f t="array" ref="K132">IF(ISNUMBER(H132),_xlfn.IFS(D132= ""," ",D132&lt;&gt; " ",F132*(G132/H132)),"")</f>
        <v>0</v>
      </c>
    </row>
    <row r="133" spans="1:11" s="7" customFormat="1" hidden="1" x14ac:dyDescent="0.35">
      <c r="A133" s="7" t="s">
        <v>33</v>
      </c>
      <c r="B133" s="7">
        <v>2007</v>
      </c>
      <c r="D133" s="6" t="s">
        <v>73</v>
      </c>
      <c r="E133" s="7" t="str" cm="1">
        <f t="array" ref="E133">_xlfn.IFS(D133=policy_name_clustering!$A$2,policy_name_clustering!$C$2,D133=policy_name_clustering!$A$3,policy_name_clustering!$C$3,D133=policy_name_clustering!$A$4,policy_name_clustering!$C$4,D133=policy_name_clustering!$A$5,policy_name_clustering!$C$5,D133=policy_name_clustering!$A$6,policy_name_clustering!$C$6,D133=policy_name_clustering!$A$7,policy_name_clustering!$C$7,D133=policy_name_clustering!$A$8,policy_name_clustering!$C$8,D133=policy_name_clustering!$A$9,policy_name_clustering!$C$9,D133=policy_name_clustering!$A$10,policy_name_clustering!$C$10,D133=policy_name_clustering!$A$11,policy_name_clustering!$C$11,D133=policy_name_clustering!$A$12,policy_name_clustering!$C$12,D133="-","")</f>
        <v/>
      </c>
      <c r="G133" s="7">
        <f>solar_cum_cap!C126</f>
        <v>3</v>
      </c>
      <c r="H133" s="7">
        <f>estimated_capacity!C120</f>
        <v>119.36398550488001</v>
      </c>
      <c r="I133" s="7" cm="1">
        <f t="array" ref="I133">_xlfn.IFS(D133= ""," ",D133&lt;&gt; " ",F133*(G133/H133))</f>
        <v>0</v>
      </c>
      <c r="J133" s="7" cm="1">
        <f t="array" ref="J133">_xlfn.IFS(D133= ""," ",D133&lt;&gt; " ",(H133-F133)*(G133/H133))</f>
        <v>3</v>
      </c>
      <c r="K133" s="7" cm="1">
        <f t="array" ref="K133">IF(ISNUMBER(H133),_xlfn.IFS(D133= ""," ",D133&lt;&gt; " ",F133*(G133/H133)),"")</f>
        <v>0</v>
      </c>
    </row>
    <row r="134" spans="1:11" s="7" customFormat="1" hidden="1" x14ac:dyDescent="0.35">
      <c r="A134" s="7" t="s">
        <v>33</v>
      </c>
      <c r="B134" s="7">
        <v>2008</v>
      </c>
      <c r="D134" s="6" t="s">
        <v>73</v>
      </c>
      <c r="E134" s="7" t="str" cm="1">
        <f t="array" ref="E134">_xlfn.IFS(D134=policy_name_clustering!$A$2,policy_name_clustering!$C$2,D134=policy_name_clustering!$A$3,policy_name_clustering!$C$3,D134=policy_name_clustering!$A$4,policy_name_clustering!$C$4,D134=policy_name_clustering!$A$5,policy_name_clustering!$C$5,D134=policy_name_clustering!$A$6,policy_name_clustering!$C$6,D134=policy_name_clustering!$A$7,policy_name_clustering!$C$7,D134=policy_name_clustering!$A$8,policy_name_clustering!$C$8,D134=policy_name_clustering!$A$9,policy_name_clustering!$C$9,D134=policy_name_clustering!$A$10,policy_name_clustering!$C$10,D134=policy_name_clustering!$A$11,policy_name_clustering!$C$11,D134=policy_name_clustering!$A$12,policy_name_clustering!$C$12,D134="-","")</f>
        <v/>
      </c>
      <c r="G134" s="7">
        <f>solar_cum_cap!C127</f>
        <v>3</v>
      </c>
      <c r="H134" s="7">
        <f>estimated_capacity!C121</f>
        <v>166.54433486340301</v>
      </c>
      <c r="I134" s="7" cm="1">
        <f t="array" ref="I134">_xlfn.IFS(D134= ""," ",D134&lt;&gt; " ",F134*(G134/H134))</f>
        <v>0</v>
      </c>
      <c r="J134" s="7" cm="1">
        <f t="array" ref="J134">_xlfn.IFS(D134= ""," ",D134&lt;&gt; " ",(H134-F134)*(G134/H134))</f>
        <v>3</v>
      </c>
      <c r="K134" s="7" cm="1">
        <f t="array" ref="K134">IF(ISNUMBER(H134),_xlfn.IFS(D134= ""," ",D134&lt;&gt; " ",F134*(G134/H134)),"")</f>
        <v>0</v>
      </c>
    </row>
    <row r="135" spans="1:11" s="7" customFormat="1" hidden="1" x14ac:dyDescent="0.35">
      <c r="A135" s="7" t="s">
        <v>33</v>
      </c>
      <c r="B135" s="7">
        <v>2009</v>
      </c>
      <c r="D135" s="6" t="s">
        <v>73</v>
      </c>
      <c r="E135" s="7" t="str" cm="1">
        <f t="array" ref="E135">_xlfn.IFS(D135=policy_name_clustering!$A$2,policy_name_clustering!$C$2,D135=policy_name_clustering!$A$3,policy_name_clustering!$C$3,D135=policy_name_clustering!$A$4,policy_name_clustering!$C$4,D135=policy_name_clustering!$A$5,policy_name_clustering!$C$5,D135=policy_name_clustering!$A$6,policy_name_clustering!$C$6,D135=policy_name_clustering!$A$7,policy_name_clustering!$C$7,D135=policy_name_clustering!$A$8,policy_name_clustering!$C$8,D135=policy_name_clustering!$A$9,policy_name_clustering!$C$9,D135=policy_name_clustering!$A$10,policy_name_clustering!$C$10,D135=policy_name_clustering!$A$11,policy_name_clustering!$C$11,D135=policy_name_clustering!$A$12,policy_name_clustering!$C$12,D135="-","")</f>
        <v/>
      </c>
      <c r="G135" s="7">
        <f>solar_cum_cap!C128</f>
        <v>5</v>
      </c>
      <c r="H135" s="7">
        <f>estimated_capacity!C122</f>
        <v>212.36095844572901</v>
      </c>
      <c r="I135" s="7" cm="1">
        <f t="array" ref="I135">_xlfn.IFS(D135= ""," ",D135&lt;&gt; " ",F135*(G135/H135))</f>
        <v>0</v>
      </c>
      <c r="J135" s="7" cm="1">
        <f t="array" ref="J135">_xlfn.IFS(D135= ""," ",D135&lt;&gt; " ",(H135-F135)*(G135/H135))</f>
        <v>5</v>
      </c>
      <c r="K135" s="7" cm="1">
        <f t="array" ref="K135">IF(ISNUMBER(H135),_xlfn.IFS(D135= ""," ",D135&lt;&gt; " ",F135*(G135/H135)),"")</f>
        <v>0</v>
      </c>
    </row>
    <row r="136" spans="1:11" s="7" customFormat="1" hidden="1" x14ac:dyDescent="0.35">
      <c r="A136" s="7" t="s">
        <v>33</v>
      </c>
      <c r="B136" s="7">
        <v>2010</v>
      </c>
      <c r="D136" s="6" t="s">
        <v>73</v>
      </c>
      <c r="E136" s="7" t="str" cm="1">
        <f t="array" ref="E136">_xlfn.IFS(D136=policy_name_clustering!$A$2,policy_name_clustering!$C$2,D136=policy_name_clustering!$A$3,policy_name_clustering!$C$3,D136=policy_name_clustering!$A$4,policy_name_clustering!$C$4,D136=policy_name_clustering!$A$5,policy_name_clustering!$C$5,D136=policy_name_clustering!$A$6,policy_name_clustering!$C$6,D136=policy_name_clustering!$A$7,policy_name_clustering!$C$7,D136=policy_name_clustering!$A$8,policy_name_clustering!$C$8,D136=policy_name_clustering!$A$9,policy_name_clustering!$C$9,D136=policy_name_clustering!$A$10,policy_name_clustering!$C$10,D136=policy_name_clustering!$A$11,policy_name_clustering!$C$11,D136=policy_name_clustering!$A$12,policy_name_clustering!$C$12,D136="-","")</f>
        <v/>
      </c>
      <c r="G136" s="7">
        <f>solar_cum_cap!C129</f>
        <v>7</v>
      </c>
      <c r="H136" s="7">
        <f>estimated_capacity!C123</f>
        <v>292.54863293074499</v>
      </c>
      <c r="I136" s="7" cm="1">
        <f t="array" ref="I136">_xlfn.IFS(D136= ""," ",D136&lt;&gt; " ",F136*(G136/H136))</f>
        <v>0</v>
      </c>
      <c r="J136" s="7" cm="1">
        <f t="array" ref="J136">_xlfn.IFS(D136= ""," ",D136&lt;&gt; " ",(H136-F136)*(G136/H136))</f>
        <v>7</v>
      </c>
      <c r="K136" s="7" cm="1">
        <f t="array" ref="K136">IF(ISNUMBER(H136),_xlfn.IFS(D136= ""," ",D136&lt;&gt; " ",F136*(G136/H136)),"")</f>
        <v>0</v>
      </c>
    </row>
    <row r="137" spans="1:11" s="7" customFormat="1" hidden="1" x14ac:dyDescent="0.35">
      <c r="A137" s="7" t="s">
        <v>33</v>
      </c>
      <c r="B137" s="7">
        <v>2011</v>
      </c>
      <c r="D137" s="6" t="s">
        <v>73</v>
      </c>
      <c r="E137" s="7" t="str" cm="1">
        <f t="array" ref="E137">_xlfn.IFS(D137=policy_name_clustering!$A$2,policy_name_clustering!$C$2,D137=policy_name_clustering!$A$3,policy_name_clustering!$C$3,D137=policy_name_clustering!$A$4,policy_name_clustering!$C$4,D137=policy_name_clustering!$A$5,policy_name_clustering!$C$5,D137=policy_name_clustering!$A$6,policy_name_clustering!$C$6,D137=policy_name_clustering!$A$7,policy_name_clustering!$C$7,D137=policy_name_clustering!$A$8,policy_name_clustering!$C$8,D137=policy_name_clustering!$A$9,policy_name_clustering!$C$9,D137=policy_name_clustering!$A$10,policy_name_clustering!$C$10,D137=policy_name_clustering!$A$11,policy_name_clustering!$C$11,D137=policy_name_clustering!$A$12,policy_name_clustering!$C$12,D137="-","")</f>
        <v/>
      </c>
      <c r="G137" s="7">
        <f>solar_cum_cap!C130</f>
        <v>17</v>
      </c>
      <c r="H137" s="7">
        <f>estimated_capacity!C124</f>
        <v>407.924474805361</v>
      </c>
      <c r="I137" s="7" cm="1">
        <f t="array" ref="I137">_xlfn.IFS(D137= ""," ",D137&lt;&gt; " ",F137*(G137/H137))</f>
        <v>0</v>
      </c>
      <c r="J137" s="7" cm="1">
        <f t="array" ref="J137">_xlfn.IFS(D137= ""," ",D137&lt;&gt; " ",(H137-F137)*(G137/H137))</f>
        <v>17</v>
      </c>
      <c r="K137" s="7" cm="1">
        <f t="array" ref="K137">IF(ISNUMBER(H137),_xlfn.IFS(D137= ""," ",D137&lt;&gt; " ",F137*(G137/H137)),"")</f>
        <v>0</v>
      </c>
    </row>
    <row r="138" spans="1:11" s="7" customFormat="1" hidden="1" x14ac:dyDescent="0.35">
      <c r="A138" s="7" t="s">
        <v>33</v>
      </c>
      <c r="B138" s="7">
        <v>2012</v>
      </c>
      <c r="D138" s="6" t="s">
        <v>73</v>
      </c>
      <c r="E138" s="7" t="str" cm="1">
        <f t="array" ref="E138">_xlfn.IFS(D138=policy_name_clustering!$A$2,policy_name_clustering!$C$2,D138=policy_name_clustering!$A$3,policy_name_clustering!$C$3,D138=policy_name_clustering!$A$4,policy_name_clustering!$C$4,D138=policy_name_clustering!$A$5,policy_name_clustering!$C$5,D138=policy_name_clustering!$A$6,policy_name_clustering!$C$6,D138=policy_name_clustering!$A$7,policy_name_clustering!$C$7,D138=policy_name_clustering!$A$8,policy_name_clustering!$C$8,D138=policy_name_clustering!$A$9,policy_name_clustering!$C$9,D138=policy_name_clustering!$A$10,policy_name_clustering!$C$10,D138=policy_name_clustering!$A$11,policy_name_clustering!$C$11,D138=policy_name_clustering!$A$12,policy_name_clustering!$C$12,D138="-","")</f>
        <v/>
      </c>
      <c r="G138" s="7">
        <f>solar_cum_cap!C131</f>
        <v>402</v>
      </c>
      <c r="H138" s="7">
        <f>estimated_capacity!C125</f>
        <v>533.80630683066499</v>
      </c>
      <c r="I138" s="7" cm="1">
        <f t="array" ref="I138">_xlfn.IFS(D138= ""," ",D138&lt;&gt; " ",F138*(G138/H138))</f>
        <v>0</v>
      </c>
      <c r="J138" s="7" cm="1">
        <f t="array" ref="J138">_xlfn.IFS(D138= ""," ",D138&lt;&gt; " ",(H138-F138)*(G138/H138))</f>
        <v>402</v>
      </c>
      <c r="K138" s="7" cm="1">
        <f t="array" ref="K138">IF(ISNUMBER(H138),_xlfn.IFS(D138= ""," ",D138&lt;&gt; " ",F138*(G138/H138)),"")</f>
        <v>0</v>
      </c>
    </row>
    <row r="139" spans="1:11" s="7" customFormat="1" hidden="1" x14ac:dyDescent="0.35">
      <c r="A139" s="7" t="s">
        <v>33</v>
      </c>
      <c r="B139" s="7">
        <v>2013</v>
      </c>
      <c r="D139" s="6" t="s">
        <v>73</v>
      </c>
      <c r="E139" s="7" t="str" cm="1">
        <f t="array" ref="E139">_xlfn.IFS(D139=policy_name_clustering!$A$2,policy_name_clustering!$C$2,D139=policy_name_clustering!$A$3,policy_name_clustering!$C$3,D139=policy_name_clustering!$A$4,policy_name_clustering!$C$4,D139=policy_name_clustering!$A$5,policy_name_clustering!$C$5,D139=policy_name_clustering!$A$6,policy_name_clustering!$C$6,D139=policy_name_clustering!$A$7,policy_name_clustering!$C$7,D139=policy_name_clustering!$A$8,policy_name_clustering!$C$8,D139=policy_name_clustering!$A$9,policy_name_clustering!$C$9,D139=policy_name_clustering!$A$10,policy_name_clustering!$C$10,D139=policy_name_clustering!$A$11,policy_name_clustering!$C$11,D139=policy_name_clustering!$A$12,policy_name_clustering!$C$12,D139="-","")</f>
        <v/>
      </c>
      <c r="G139" s="7">
        <f>solar_cum_cap!C132</f>
        <v>571</v>
      </c>
      <c r="H139" s="7">
        <f>estimated_capacity!C126</f>
        <v>746.781747594016</v>
      </c>
      <c r="I139" s="7" cm="1">
        <f t="array" ref="I139">_xlfn.IFS(D139= ""," ",D139&lt;&gt; " ",F139*(G139/H139))</f>
        <v>0</v>
      </c>
      <c r="J139" s="7" cm="1">
        <f t="array" ref="J139">_xlfn.IFS(D139= ""," ",D139&lt;&gt; " ",(H139-F139)*(G139/H139))</f>
        <v>571</v>
      </c>
      <c r="K139" s="7" cm="1">
        <f t="array" ref="K139">IF(ISNUMBER(H139),_xlfn.IFS(D139= ""," ",D139&lt;&gt; " ",F139*(G139/H139)),"")</f>
        <v>0</v>
      </c>
    </row>
    <row r="140" spans="1:11" s="7" customFormat="1" hidden="1" x14ac:dyDescent="0.35">
      <c r="A140" s="7" t="s">
        <v>33</v>
      </c>
      <c r="B140" s="7">
        <v>2014</v>
      </c>
      <c r="D140" s="6" t="s">
        <v>73</v>
      </c>
      <c r="E140" s="7" t="str" cm="1">
        <f t="array" ref="E140">_xlfn.IFS(D140=policy_name_clustering!$A$2,policy_name_clustering!$C$2,D140=policy_name_clustering!$A$3,policy_name_clustering!$C$3,D140=policy_name_clustering!$A$4,policy_name_clustering!$C$4,D140=policy_name_clustering!$A$5,policy_name_clustering!$C$5,D140=policy_name_clustering!$A$6,policy_name_clustering!$C$6,D140=policy_name_clustering!$A$7,policy_name_clustering!$C$7,D140=policy_name_clustering!$A$8,policy_name_clustering!$C$8,D140=policy_name_clustering!$A$9,policy_name_clustering!$C$9,D140=policy_name_clustering!$A$10,policy_name_clustering!$C$10,D140=policy_name_clustering!$A$11,policy_name_clustering!$C$11,D140=policy_name_clustering!$A$12,policy_name_clustering!$C$12,D140="-","")</f>
        <v/>
      </c>
      <c r="G140" s="7">
        <f>solar_cum_cap!C133</f>
        <v>607</v>
      </c>
      <c r="H140" s="7">
        <f>estimated_capacity!C127</f>
        <v>971.81016756238398</v>
      </c>
      <c r="I140" s="7" cm="1">
        <f t="array" ref="I140">_xlfn.IFS(D140= ""," ",D140&lt;&gt; " ",F140*(G140/H140))</f>
        <v>0</v>
      </c>
      <c r="J140" s="7" cm="1">
        <f t="array" ref="J140">_xlfn.IFS(D140= ""," ",D140&lt;&gt; " ",(H140-F140)*(G140/H140))</f>
        <v>607</v>
      </c>
      <c r="K140" s="7" cm="1">
        <f t="array" ref="K140">IF(ISNUMBER(H140),_xlfn.IFS(D140= ""," ",D140&lt;&gt; " ",F140*(G140/H140)),"")</f>
        <v>0</v>
      </c>
    </row>
    <row r="141" spans="1:11" s="7" customFormat="1" hidden="1" x14ac:dyDescent="0.35">
      <c r="A141" s="7" t="s">
        <v>33</v>
      </c>
      <c r="B141" s="7">
        <v>2015</v>
      </c>
      <c r="D141" s="6" t="s">
        <v>73</v>
      </c>
      <c r="E141" s="7" t="str" cm="1">
        <f t="array" ref="E141">_xlfn.IFS(D141=policy_name_clustering!$A$2,policy_name_clustering!$C$2,D141=policy_name_clustering!$A$3,policy_name_clustering!$C$3,D141=policy_name_clustering!$A$4,policy_name_clustering!$C$4,D141=policy_name_clustering!$A$5,policy_name_clustering!$C$5,D141=policy_name_clustering!$A$6,policy_name_clustering!$C$6,D141=policy_name_clustering!$A$7,policy_name_clustering!$C$7,D141=policy_name_clustering!$A$8,policy_name_clustering!$C$8,D141=policy_name_clustering!$A$9,policy_name_clustering!$C$9,D141=policy_name_clustering!$A$10,policy_name_clustering!$C$10,D141=policy_name_clustering!$A$11,policy_name_clustering!$C$11,D141=policy_name_clustering!$A$12,policy_name_clustering!$C$12,D141="-","")</f>
        <v/>
      </c>
      <c r="G141" s="7">
        <f>solar_cum_cap!C134</f>
        <v>782.10799999999995</v>
      </c>
      <c r="H141" s="7">
        <f>estimated_capacity!C128</f>
        <v>1163.6609197842499</v>
      </c>
      <c r="I141" s="7" cm="1">
        <f t="array" ref="I141">_xlfn.IFS(D141= ""," ",D141&lt;&gt; " ",F141*(G141/H141))</f>
        <v>0</v>
      </c>
      <c r="J141" s="7" cm="1">
        <f t="array" ref="J141">_xlfn.IFS(D141= ""," ",D141&lt;&gt; " ",(H141-F141)*(G141/H141))</f>
        <v>782.10799999999995</v>
      </c>
      <c r="K141" s="7" cm="1">
        <f t="array" ref="K141">IF(ISNUMBER(H141),_xlfn.IFS(D141= ""," ",D141&lt;&gt; " ",F141*(G141/H141)),"")</f>
        <v>0</v>
      </c>
    </row>
    <row r="142" spans="1:11" s="7" customFormat="1" hidden="1" x14ac:dyDescent="0.35">
      <c r="A142" s="7" t="s">
        <v>33</v>
      </c>
      <c r="B142" s="7">
        <v>2016</v>
      </c>
      <c r="D142" s="6" t="s">
        <v>73</v>
      </c>
      <c r="E142" s="7" t="str" cm="1">
        <f t="array" ref="E142">_xlfn.IFS(D142=policy_name_clustering!$A$2,policy_name_clustering!$C$2,D142=policy_name_clustering!$A$3,policy_name_clustering!$C$3,D142=policy_name_clustering!$A$4,policy_name_clustering!$C$4,D142=policy_name_clustering!$A$5,policy_name_clustering!$C$5,D142=policy_name_clustering!$A$6,policy_name_clustering!$C$6,D142=policy_name_clustering!$A$7,policy_name_clustering!$C$7,D142=policy_name_clustering!$A$8,policy_name_clustering!$C$8,D142=policy_name_clustering!$A$9,policy_name_clustering!$C$9,D142=policy_name_clustering!$A$10,policy_name_clustering!$C$10,D142=policy_name_clustering!$A$11,policy_name_clustering!$C$11,D142=policy_name_clustering!$A$12,policy_name_clustering!$C$12,D142="-","")</f>
        <v/>
      </c>
      <c r="G142" s="7">
        <f>solar_cum_cap!C135</f>
        <v>850.95299999999997</v>
      </c>
      <c r="H142" s="7">
        <f>estimated_capacity!C129</f>
        <v>1339.7868384604601</v>
      </c>
      <c r="I142" s="7" cm="1">
        <f t="array" ref="I142">_xlfn.IFS(D142= ""," ",D142&lt;&gt; " ",F142*(G142/H142))</f>
        <v>0</v>
      </c>
      <c r="J142" s="7" cm="1">
        <f t="array" ref="J142">_xlfn.IFS(D142= ""," ",D142&lt;&gt; " ",(H142-F142)*(G142/H142))</f>
        <v>850.95299999999986</v>
      </c>
      <c r="K142" s="7" cm="1">
        <f t="array" ref="K142">IF(ISNUMBER(H142),_xlfn.IFS(D142= ""," ",D142&lt;&gt; " ",F142*(G142/H142)),"")</f>
        <v>0</v>
      </c>
    </row>
    <row r="143" spans="1:11" s="7" customFormat="1" hidden="1" x14ac:dyDescent="0.35">
      <c r="A143" s="7" t="s">
        <v>33</v>
      </c>
      <c r="B143" s="7">
        <v>2017</v>
      </c>
      <c r="D143" s="6" t="s">
        <v>73</v>
      </c>
      <c r="E143" s="7" t="str" cm="1">
        <f t="array" ref="E143">_xlfn.IFS(D143=policy_name_clustering!$A$2,policy_name_clustering!$C$2,D143=policy_name_clustering!$A$3,policy_name_clustering!$C$3,D143=policy_name_clustering!$A$4,policy_name_clustering!$C$4,D143=policy_name_clustering!$A$5,policy_name_clustering!$C$5,D143=policy_name_clustering!$A$6,policy_name_clustering!$C$6,D143=policy_name_clustering!$A$7,policy_name_clustering!$C$7,D143=policy_name_clustering!$A$8,policy_name_clustering!$C$8,D143=policy_name_clustering!$A$9,policy_name_clustering!$C$9,D143=policy_name_clustering!$A$10,policy_name_clustering!$C$10,D143=policy_name_clustering!$A$11,policy_name_clustering!$C$11,D143=policy_name_clustering!$A$12,policy_name_clustering!$C$12,D143="-","")</f>
        <v/>
      </c>
      <c r="G143" s="7">
        <f>solar_cum_cap!C136</f>
        <v>906.35</v>
      </c>
      <c r="H143" s="7">
        <f>estimated_capacity!C130</f>
        <v>1562.7055553662999</v>
      </c>
      <c r="I143" s="7" cm="1">
        <f t="array" ref="I143">_xlfn.IFS(D143= ""," ",D143&lt;&gt; " ",F143*(G143/H143))</f>
        <v>0</v>
      </c>
      <c r="J143" s="7" cm="1">
        <f t="array" ref="J143">_xlfn.IFS(D143= ""," ",D143&lt;&gt; " ",(H143-F143)*(G143/H143))</f>
        <v>906.35</v>
      </c>
      <c r="K143" s="7" cm="1">
        <f t="array" ref="K143">IF(ISNUMBER(H143),_xlfn.IFS(D143= ""," ",D143&lt;&gt; " ",F143*(G143/H143)),"")</f>
        <v>0</v>
      </c>
    </row>
    <row r="144" spans="1:11" s="7" customFormat="1" hidden="1" x14ac:dyDescent="0.35">
      <c r="A144" s="7" t="s">
        <v>33</v>
      </c>
      <c r="B144" s="7">
        <v>2018</v>
      </c>
      <c r="D144" s="6" t="s">
        <v>73</v>
      </c>
      <c r="E144" s="7" t="str" cm="1">
        <f t="array" ref="E144">_xlfn.IFS(D144=policy_name_clustering!$A$2,policy_name_clustering!$C$2,D144=policy_name_clustering!$A$3,policy_name_clustering!$C$3,D144=policy_name_clustering!$A$4,policy_name_clustering!$C$4,D144=policy_name_clustering!$A$5,policy_name_clustering!$C$5,D144=policy_name_clustering!$A$6,policy_name_clustering!$C$6,D144=policy_name_clustering!$A$7,policy_name_clustering!$C$7,D144=policy_name_clustering!$A$8,policy_name_clustering!$C$8,D144=policy_name_clustering!$A$9,policy_name_clustering!$C$9,D144=policy_name_clustering!$A$10,policy_name_clustering!$C$10,D144=policy_name_clustering!$A$11,policy_name_clustering!$C$11,D144=policy_name_clustering!$A$12,policy_name_clustering!$C$12,D144="-","")</f>
        <v/>
      </c>
      <c r="G144" s="7">
        <f>solar_cum_cap!C137</f>
        <v>998</v>
      </c>
      <c r="H144" s="7">
        <f>estimated_capacity!C131</f>
        <v>1817.66383055242</v>
      </c>
      <c r="I144" s="7" cm="1">
        <f t="array" ref="I144">_xlfn.IFS(D144= ""," ",D144&lt;&gt; " ",F144*(G144/H144))</f>
        <v>0</v>
      </c>
      <c r="J144" s="7" cm="1">
        <f t="array" ref="J144">_xlfn.IFS(D144= ""," ",D144&lt;&gt; " ",(H144-F144)*(G144/H144))</f>
        <v>998.00000000000011</v>
      </c>
      <c r="K144" s="7" cm="1">
        <f t="array" ref="K144">IF(ISNUMBER(H144),_xlfn.IFS(D144= ""," ",D144&lt;&gt; " ",F144*(G144/H144)),"")</f>
        <v>0</v>
      </c>
    </row>
    <row r="145" spans="1:11" s="7" customFormat="1" hidden="1" x14ac:dyDescent="0.35">
      <c r="A145" s="7" t="s">
        <v>33</v>
      </c>
      <c r="B145" s="7">
        <v>2019</v>
      </c>
      <c r="D145" s="6" t="s">
        <v>73</v>
      </c>
      <c r="E145" s="7" t="str" cm="1">
        <f t="array" ref="E145">_xlfn.IFS(D145=policy_name_clustering!$A$2,policy_name_clustering!$C$2,D145=policy_name_clustering!$A$3,policy_name_clustering!$C$3,D145=policy_name_clustering!$A$4,policy_name_clustering!$C$4,D145=policy_name_clustering!$A$5,policy_name_clustering!$C$5,D145=policy_name_clustering!$A$6,policy_name_clustering!$C$6,D145=policy_name_clustering!$A$7,policy_name_clustering!$C$7,D145=policy_name_clustering!$A$8,policy_name_clustering!$C$8,D145=policy_name_clustering!$A$9,policy_name_clustering!$C$9,D145=policy_name_clustering!$A$10,policy_name_clustering!$C$10,D145=policy_name_clustering!$A$11,policy_name_clustering!$C$11,D145=policy_name_clustering!$A$12,policy_name_clustering!$C$12,D145="-","")</f>
        <v/>
      </c>
      <c r="G145" s="7">
        <f>solar_cum_cap!C138</f>
        <v>1080</v>
      </c>
      <c r="H145" s="7">
        <f>estimated_capacity!C132</f>
        <v>1995.9607855627401</v>
      </c>
      <c r="I145" s="7" cm="1">
        <f t="array" ref="I145">_xlfn.IFS(D145= ""," ",D145&lt;&gt; " ",F145*(G145/H145))</f>
        <v>0</v>
      </c>
      <c r="J145" s="7" cm="1">
        <f t="array" ref="J145">_xlfn.IFS(D145= ""," ",D145&lt;&gt; " ",(H145-F145)*(G145/H145))</f>
        <v>1080</v>
      </c>
      <c r="K145" s="7" cm="1">
        <f t="array" ref="K145">IF(ISNUMBER(H145),_xlfn.IFS(D145= ""," ",D145&lt;&gt; " ",F145*(G145/H145)),"")</f>
        <v>0</v>
      </c>
    </row>
    <row r="146" spans="1:11" s="7" customFormat="1" hidden="1" x14ac:dyDescent="0.35">
      <c r="A146" s="7" t="s">
        <v>33</v>
      </c>
      <c r="B146" s="7">
        <v>2020</v>
      </c>
      <c r="D146" s="6" t="s">
        <v>73</v>
      </c>
      <c r="E146" s="7" t="str" cm="1">
        <f t="array" ref="E146">_xlfn.IFS(D146=policy_name_clustering!$A$2,policy_name_clustering!$C$2,D146=policy_name_clustering!$A$3,policy_name_clustering!$C$3,D146=policy_name_clustering!$A$4,policy_name_clustering!$C$4,D146=policy_name_clustering!$A$5,policy_name_clustering!$C$5,D146=policy_name_clustering!$A$6,policy_name_clustering!$C$6,D146=policy_name_clustering!$A$7,policy_name_clustering!$C$7,D146=policy_name_clustering!$A$8,policy_name_clustering!$C$8,D146=policy_name_clustering!$A$9,policy_name_clustering!$C$9,D146=policy_name_clustering!$A$10,policy_name_clustering!$C$10,D146=policy_name_clustering!$A$11,policy_name_clustering!$C$11,D146=policy_name_clustering!$A$12,policy_name_clustering!$C$12,D146="-","")</f>
        <v/>
      </c>
      <c r="G146" s="7">
        <f>solar_cum_cap!C139</f>
        <v>1304.2940000000001</v>
      </c>
      <c r="H146" s="7">
        <f>estimated_capacity!C133</f>
        <v>2145.4840890066798</v>
      </c>
      <c r="I146" s="7" cm="1">
        <f t="array" ref="I146">_xlfn.IFS(D146= ""," ",D146&lt;&gt; " ",F146*(G146/H146))</f>
        <v>0</v>
      </c>
      <c r="J146" s="7" cm="1">
        <f t="array" ref="J146">_xlfn.IFS(D146= ""," ",D146&lt;&gt; " ",(H146-F146)*(G146/H146))</f>
        <v>1304.2939999999999</v>
      </c>
      <c r="K146" s="7" cm="1">
        <f t="array" ref="K146">IF(ISNUMBER(H146),_xlfn.IFS(D146= ""," ",D146&lt;&gt; " ",F146*(G146/H146)),"")</f>
        <v>0</v>
      </c>
    </row>
    <row r="147" spans="1:11" s="7" customFormat="1" hidden="1" x14ac:dyDescent="0.35">
      <c r="A147" s="7" t="s">
        <v>33</v>
      </c>
      <c r="B147" s="7">
        <v>2021</v>
      </c>
      <c r="D147" s="6" t="s">
        <v>73</v>
      </c>
      <c r="E147" s="7" t="str" cm="1">
        <f t="array" ref="E147">_xlfn.IFS(D147=policy_name_clustering!$A$2,policy_name_clustering!$C$2,D147=policy_name_clustering!$A$3,policy_name_clustering!$C$3,D147=policy_name_clustering!$A$4,policy_name_clustering!$C$4,D147=policy_name_clustering!$A$5,policy_name_clustering!$C$5,D147=policy_name_clustering!$A$6,policy_name_clustering!$C$6,D147=policy_name_clustering!$A$7,policy_name_clustering!$C$7,D147=policy_name_clustering!$A$8,policy_name_clustering!$C$8,D147=policy_name_clustering!$A$9,policy_name_clustering!$C$9,D147=policy_name_clustering!$A$10,policy_name_clustering!$C$10,D147=policy_name_clustering!$A$11,policy_name_clustering!$C$11,D147=policy_name_clustering!$A$12,policy_name_clustering!$C$12,D147="-","")</f>
        <v/>
      </c>
      <c r="G147" s="7">
        <f>solar_cum_cap!C140</f>
        <v>1704.0409999999999</v>
      </c>
      <c r="H147" s="7">
        <f>estimated_capacity!C134</f>
        <v>2348.5500119690801</v>
      </c>
      <c r="I147" s="7" cm="1">
        <f t="array" ref="I147">_xlfn.IFS(D147= ""," ",D147&lt;&gt; " ",F147*(G147/H147))</f>
        <v>0</v>
      </c>
      <c r="J147" s="7" cm="1">
        <f t="array" ref="J147">_xlfn.IFS(D147= ""," ",D147&lt;&gt; " ",(H147-F147)*(G147/H147))</f>
        <v>1704.0409999999999</v>
      </c>
      <c r="K147" s="7" cm="1">
        <f t="array" ref="K147">IF(ISNUMBER(H147),_xlfn.IFS(D147= ""," ",D147&lt;&gt; " ",F147*(G147/H147)),"")</f>
        <v>0</v>
      </c>
    </row>
    <row r="148" spans="1:11" s="7" customFormat="1" hidden="1" x14ac:dyDescent="0.35">
      <c r="A148" s="7" t="s">
        <v>33</v>
      </c>
      <c r="B148" s="7">
        <v>2022</v>
      </c>
      <c r="D148" s="6" t="s">
        <v>73</v>
      </c>
      <c r="E148" s="7" t="str" cm="1">
        <f t="array" ref="E148">_xlfn.IFS(D148=policy_name_clustering!$A$2,policy_name_clustering!$C$2,D148=policy_name_clustering!$A$3,policy_name_clustering!$C$3,D148=policy_name_clustering!$A$4,policy_name_clustering!$C$4,D148=policy_name_clustering!$A$5,policy_name_clustering!$C$5,D148=policy_name_clustering!$A$6,policy_name_clustering!$C$6,D148=policy_name_clustering!$A$7,policy_name_clustering!$C$7,D148=policy_name_clustering!$A$8,policy_name_clustering!$C$8,D148=policy_name_clustering!$A$9,policy_name_clustering!$C$9,D148=policy_name_clustering!$A$10,policy_name_clustering!$C$10,D148=policy_name_clustering!$A$11,policy_name_clustering!$C$11,D148=policy_name_clustering!$A$12,policy_name_clustering!$C$12,D148="-","")</f>
        <v/>
      </c>
      <c r="G148" s="7">
        <f>solar_cum_cap!C141</f>
        <v>3069.9</v>
      </c>
      <c r="H148" s="7">
        <f>estimated_capacity!C135</f>
        <v>2719.2863456378</v>
      </c>
      <c r="I148" s="7" cm="1">
        <f t="array" ref="I148">_xlfn.IFS(D148= ""," ",D148&lt;&gt; " ",F148*(G148/H148))</f>
        <v>0</v>
      </c>
      <c r="J148" s="7" cm="1">
        <f t="array" ref="J148">_xlfn.IFS(D148= ""," ",D148&lt;&gt; " ",(H148-F148)*(G148/H148))</f>
        <v>3069.9</v>
      </c>
      <c r="K148" s="7" cm="1">
        <f t="array" ref="K148">IF(ISNUMBER(H148),_xlfn.IFS(D148= ""," ",D148&lt;&gt; " ",F148*(G148/H148)),"")</f>
        <v>0</v>
      </c>
    </row>
    <row r="149" spans="1:11" s="7" customFormat="1" hidden="1" x14ac:dyDescent="0.35">
      <c r="A149" s="7" t="s">
        <v>33</v>
      </c>
      <c r="B149" s="7">
        <v>2023</v>
      </c>
      <c r="D149" s="6" t="s">
        <v>73</v>
      </c>
      <c r="E149" s="7" t="str" cm="1">
        <f t="array" ref="E149">_xlfn.IFS(D149=policy_name_clustering!$A$2,policy_name_clustering!$C$2,D149=policy_name_clustering!$A$3,policy_name_clustering!$C$3,D149=policy_name_clustering!$A$4,policy_name_clustering!$C$4,D149=policy_name_clustering!$A$5,policy_name_clustering!$C$5,D149=policy_name_clustering!$A$6,policy_name_clustering!$C$6,D149=policy_name_clustering!$A$7,policy_name_clustering!$C$7,D149=policy_name_clustering!$A$8,policy_name_clustering!$C$8,D149=policy_name_clustering!$A$9,policy_name_clustering!$C$9,D149=policy_name_clustering!$A$10,policy_name_clustering!$C$10,D149=policy_name_clustering!$A$11,policy_name_clustering!$C$11,D149=policy_name_clustering!$A$12,policy_name_clustering!$C$12,D149="-","")</f>
        <v/>
      </c>
      <c r="G149" s="7">
        <f>solar_cum_cap!C142</f>
        <v>3529</v>
      </c>
      <c r="H149" s="7">
        <f>estimated_capacity!C136</f>
        <v>3183.3026153319402</v>
      </c>
      <c r="I149" s="7" cm="1">
        <f t="array" ref="I149">_xlfn.IFS(D149= ""," ",D149&lt;&gt; " ",F149*(G149/H149))</f>
        <v>0</v>
      </c>
      <c r="J149" s="7" cm="1">
        <f t="array" ref="J149">_xlfn.IFS(D149= ""," ",D149&lt;&gt; " ",(H149-F149)*(G149/H149))</f>
        <v>3529</v>
      </c>
      <c r="K149" s="7" cm="1">
        <f t="array" ref="K149">IF(ISNUMBER(H149),_xlfn.IFS(D149= ""," ",D149&lt;&gt; " ",F149*(G149/H149)),"")</f>
        <v>0</v>
      </c>
    </row>
    <row r="150" spans="1:11" s="7" customFormat="1" hidden="1" x14ac:dyDescent="0.35">
      <c r="A150" s="7" t="s">
        <v>9</v>
      </c>
      <c r="B150" s="7">
        <v>2001</v>
      </c>
      <c r="D150" s="6" t="s">
        <v>73</v>
      </c>
      <c r="E150" s="7" t="str" cm="1">
        <f t="array" ref="E150">_xlfn.IFS(D150=policy_name_clustering!$A$2,policy_name_clustering!$C$2,D150=policy_name_clustering!$A$3,policy_name_clustering!$C$3,D150=policy_name_clustering!$A$4,policy_name_clustering!$C$4,D150=policy_name_clustering!$A$5,policy_name_clustering!$C$5,D150=policy_name_clustering!$A$6,policy_name_clustering!$C$6,D150=policy_name_clustering!$A$7,policy_name_clustering!$C$7,D150=policy_name_clustering!$A$8,policy_name_clustering!$C$8,D150=policy_name_clustering!$A$9,policy_name_clustering!$C$9,D150=policy_name_clustering!$A$10,policy_name_clustering!$C$10,D150=policy_name_clustering!$A$11,policy_name_clustering!$C$11,D150=policy_name_clustering!$A$12,policy_name_clustering!$C$12,D150="-","")</f>
        <v/>
      </c>
      <c r="G150" s="7">
        <f>solar_cum_cap!C144</f>
        <v>13.143000000000001</v>
      </c>
      <c r="H150" s="7">
        <f>estimated_capacity!C137</f>
        <v>16.8195051885514</v>
      </c>
      <c r="I150" s="7" cm="1">
        <f t="array" ref="I150">_xlfn.IFS(D150= ""," ",D150&lt;&gt; " ",F150*(G150/H150))</f>
        <v>0</v>
      </c>
      <c r="J150" s="7" cm="1">
        <f t="array" ref="J150">_xlfn.IFS(D150= ""," ",D150&lt;&gt; " ",(H150-F150)*(G150/H150))</f>
        <v>13.143000000000001</v>
      </c>
      <c r="K150" s="7" cm="1">
        <f t="array" ref="K150">IF(ISNUMBER(H150),_xlfn.IFS(D150= ""," ",D150&lt;&gt; " ",F150*(G150/H150)),"")</f>
        <v>0</v>
      </c>
    </row>
    <row r="151" spans="1:11" s="7" customFormat="1" hidden="1" x14ac:dyDescent="0.35">
      <c r="A151" s="7" t="s">
        <v>9</v>
      </c>
      <c r="B151" s="7">
        <v>2002</v>
      </c>
      <c r="D151" s="6" t="s">
        <v>73</v>
      </c>
      <c r="E151" s="7" t="str" cm="1">
        <f t="array" ref="E151">_xlfn.IFS(D151=policy_name_clustering!$A$2,policy_name_clustering!$C$2,D151=policy_name_clustering!$A$3,policy_name_clustering!$C$3,D151=policy_name_clustering!$A$4,policy_name_clustering!$C$4,D151=policy_name_clustering!$A$5,policy_name_clustering!$C$5,D151=policy_name_clustering!$A$6,policy_name_clustering!$C$6,D151=policy_name_clustering!$A$7,policy_name_clustering!$C$7,D151=policy_name_clustering!$A$8,policy_name_clustering!$C$8,D151=policy_name_clustering!$A$9,policy_name_clustering!$C$9,D151=policy_name_clustering!$A$10,policy_name_clustering!$C$10,D151=policy_name_clustering!$A$11,policy_name_clustering!$C$11,D151=policy_name_clustering!$A$12,policy_name_clustering!$C$12,D151="-","")</f>
        <v/>
      </c>
      <c r="G151" s="7">
        <f>solar_cum_cap!C145</f>
        <v>16.971</v>
      </c>
      <c r="H151" s="7">
        <f>estimated_capacity!C138</f>
        <v>26.430340687388899</v>
      </c>
      <c r="I151" s="7" cm="1">
        <f t="array" ref="I151">_xlfn.IFS(D151= ""," ",D151&lt;&gt; " ",F151*(G151/H151))</f>
        <v>0</v>
      </c>
      <c r="J151" s="7" cm="1">
        <f t="array" ref="J151">_xlfn.IFS(D151= ""," ",D151&lt;&gt; " ",(H151-F151)*(G151/H151))</f>
        <v>16.971</v>
      </c>
      <c r="K151" s="7" cm="1">
        <f t="array" ref="K151">IF(ISNUMBER(H151),_xlfn.IFS(D151= ""," ",D151&lt;&gt; " ",F151*(G151/H151)),"")</f>
        <v>0</v>
      </c>
    </row>
    <row r="152" spans="1:11" s="7" customFormat="1" hidden="1" x14ac:dyDescent="0.35">
      <c r="A152" s="7" t="s">
        <v>9</v>
      </c>
      <c r="B152" s="7">
        <v>2003</v>
      </c>
      <c r="D152" s="6" t="s">
        <v>73</v>
      </c>
      <c r="E152" s="7" t="str" cm="1">
        <f t="array" ref="E152">_xlfn.IFS(D152=policy_name_clustering!$A$2,policy_name_clustering!$C$2,D152=policy_name_clustering!$A$3,policy_name_clustering!$C$3,D152=policy_name_clustering!$A$4,policy_name_clustering!$C$4,D152=policy_name_clustering!$A$5,policy_name_clustering!$C$5,D152=policy_name_clustering!$A$6,policy_name_clustering!$C$6,D152=policy_name_clustering!$A$7,policy_name_clustering!$C$7,D152=policy_name_clustering!$A$8,policy_name_clustering!$C$8,D152=policy_name_clustering!$A$9,policy_name_clustering!$C$9,D152=policy_name_clustering!$A$10,policy_name_clustering!$C$10,D152=policy_name_clustering!$A$11,policy_name_clustering!$C$11,D152=policy_name_clustering!$A$12,policy_name_clustering!$C$12,D152="-","")</f>
        <v/>
      </c>
      <c r="G152" s="7">
        <f>solar_cum_cap!C146</f>
        <v>22.375</v>
      </c>
      <c r="H152" s="7">
        <f>estimated_capacity!C139</f>
        <v>49.428071072468803</v>
      </c>
      <c r="I152" s="7" cm="1">
        <f t="array" ref="I152">_xlfn.IFS(D152= ""," ",D152&lt;&gt; " ",F152*(G152/H152))</f>
        <v>0</v>
      </c>
      <c r="J152" s="7" cm="1">
        <f t="array" ref="J152">_xlfn.IFS(D152= ""," ",D152&lt;&gt; " ",(H152-F152)*(G152/H152))</f>
        <v>22.375</v>
      </c>
      <c r="K152" s="7" cm="1">
        <f t="array" ref="K152">IF(ISNUMBER(H152),_xlfn.IFS(D152= ""," ",D152&lt;&gt; " ",F152*(G152/H152)),"")</f>
        <v>0</v>
      </c>
    </row>
    <row r="153" spans="1:11" s="7" customFormat="1" hidden="1" x14ac:dyDescent="0.35">
      <c r="A153" s="7" t="s">
        <v>9</v>
      </c>
      <c r="B153" s="7">
        <v>2004</v>
      </c>
      <c r="D153" s="6" t="s">
        <v>73</v>
      </c>
      <c r="E153" s="7" t="str" cm="1">
        <f t="array" ref="E153">_xlfn.IFS(D153=policy_name_clustering!$A$2,policy_name_clustering!$C$2,D153=policy_name_clustering!$A$3,policy_name_clustering!$C$3,D153=policy_name_clustering!$A$4,policy_name_clustering!$C$4,D153=policy_name_clustering!$A$5,policy_name_clustering!$C$5,D153=policy_name_clustering!$A$6,policy_name_clustering!$C$6,D153=policy_name_clustering!$A$7,policy_name_clustering!$C$7,D153=policy_name_clustering!$A$8,policy_name_clustering!$C$8,D153=policy_name_clustering!$A$9,policy_name_clustering!$C$9,D153=policy_name_clustering!$A$10,policy_name_clustering!$C$10,D153=policy_name_clustering!$A$11,policy_name_clustering!$C$11,D153=policy_name_clustering!$A$12,policy_name_clustering!$C$12,D153="-","")</f>
        <v/>
      </c>
      <c r="G153" s="7">
        <f>solar_cum_cap!C147</f>
        <v>32.823</v>
      </c>
      <c r="H153" s="7">
        <f>estimated_capacity!C140</f>
        <v>94.964021925057196</v>
      </c>
      <c r="I153" s="7" cm="1">
        <f t="array" ref="I153">_xlfn.IFS(D153= ""," ",D153&lt;&gt; " ",F153*(G153/H153))</f>
        <v>0</v>
      </c>
      <c r="J153" s="7" cm="1">
        <f t="array" ref="J153">_xlfn.IFS(D153= ""," ",D153&lt;&gt; " ",(H153-F153)*(G153/H153))</f>
        <v>32.823</v>
      </c>
      <c r="K153" s="7" cm="1">
        <f t="array" ref="K153">IF(ISNUMBER(H153),_xlfn.IFS(D153= ""," ",D153&lt;&gt; " ",F153*(G153/H153)),"")</f>
        <v>0</v>
      </c>
    </row>
    <row r="154" spans="1:11" s="7" customFormat="1" hidden="1" x14ac:dyDescent="0.35">
      <c r="A154" s="7" t="s">
        <v>9</v>
      </c>
      <c r="B154" s="7">
        <v>2005</v>
      </c>
      <c r="D154" s="6" t="s">
        <v>73</v>
      </c>
      <c r="E154" s="7" t="str" cm="1">
        <f t="array" ref="E154">_xlfn.IFS(D154=policy_name_clustering!$A$2,policy_name_clustering!$C$2,D154=policy_name_clustering!$A$3,policy_name_clustering!$C$3,D154=policy_name_clustering!$A$4,policy_name_clustering!$C$4,D154=policy_name_clustering!$A$5,policy_name_clustering!$C$5,D154=policy_name_clustering!$A$6,policy_name_clustering!$C$6,D154=policy_name_clustering!$A$7,policy_name_clustering!$C$7,D154=policy_name_clustering!$A$8,policy_name_clustering!$C$8,D154=policy_name_clustering!$A$9,policy_name_clustering!$C$9,D154=policy_name_clustering!$A$10,policy_name_clustering!$C$10,D154=policy_name_clustering!$A$11,policy_name_clustering!$C$11,D154=policy_name_clustering!$A$12,policy_name_clustering!$C$12,D154="-","")</f>
        <v/>
      </c>
      <c r="G154" s="7">
        <f>solar_cum_cap!C148</f>
        <v>51.96</v>
      </c>
      <c r="H154" s="7">
        <f>estimated_capacity!C141</f>
        <v>141.111942436097</v>
      </c>
      <c r="I154" s="7" cm="1">
        <f t="array" ref="I154">_xlfn.IFS(D154= ""," ",D154&lt;&gt; " ",F154*(G154/H154))</f>
        <v>0</v>
      </c>
      <c r="J154" s="7" cm="1">
        <f t="array" ref="J154">_xlfn.IFS(D154= ""," ",D154&lt;&gt; " ",(H154-F154)*(G154/H154))</f>
        <v>51.959999999999994</v>
      </c>
      <c r="K154" s="7" cm="1">
        <f t="array" ref="K154">IF(ISNUMBER(H154),_xlfn.IFS(D154= ""," ",D154&lt;&gt; " ",F154*(G154/H154)),"")</f>
        <v>0</v>
      </c>
    </row>
    <row r="155" spans="1:11" s="7" customFormat="1" hidden="1" x14ac:dyDescent="0.35">
      <c r="A155" s="7" t="s">
        <v>9</v>
      </c>
      <c r="B155" s="7">
        <v>2006</v>
      </c>
      <c r="D155" s="6" t="s">
        <v>73</v>
      </c>
      <c r="E155" s="7" t="str" cm="1">
        <f t="array" ref="E155">_xlfn.IFS(D155=policy_name_clustering!$A$2,policy_name_clustering!$C$2,D155=policy_name_clustering!$A$3,policy_name_clustering!$C$3,D155=policy_name_clustering!$A$4,policy_name_clustering!$C$4,D155=policy_name_clustering!$A$5,policy_name_clustering!$C$5,D155=policy_name_clustering!$A$6,policy_name_clustering!$C$6,D155=policy_name_clustering!$A$7,policy_name_clustering!$C$7,D155=policy_name_clustering!$A$8,policy_name_clustering!$C$8,D155=policy_name_clustering!$A$9,policy_name_clustering!$C$9,D155=policy_name_clustering!$A$10,policy_name_clustering!$C$10,D155=policy_name_clustering!$A$11,policy_name_clustering!$C$11,D155=policy_name_clustering!$A$12,policy_name_clustering!$C$12,D155="-","")</f>
        <v/>
      </c>
      <c r="G155" s="7">
        <f>solar_cum_cap!C149</f>
        <v>141.755</v>
      </c>
      <c r="H155" s="7">
        <f>estimated_capacity!C142</f>
        <v>192.52908203008101</v>
      </c>
      <c r="I155" s="7" cm="1">
        <f t="array" ref="I155">_xlfn.IFS(D155= ""," ",D155&lt;&gt; " ",F155*(G155/H155))</f>
        <v>0</v>
      </c>
      <c r="J155" s="7" cm="1">
        <f t="array" ref="J155">_xlfn.IFS(D155= ""," ",D155&lt;&gt; " ",(H155-F155)*(G155/H155))</f>
        <v>141.755</v>
      </c>
      <c r="K155" s="7" cm="1">
        <f t="array" ref="K155">IF(ISNUMBER(H155),_xlfn.IFS(D155= ""," ",D155&lt;&gt; " ",F155*(G155/H155)),"")</f>
        <v>0</v>
      </c>
    </row>
    <row r="156" spans="1:11" s="7" customFormat="1" hidden="1" x14ac:dyDescent="0.35">
      <c r="A156" s="7" t="s">
        <v>9</v>
      </c>
      <c r="B156" s="7">
        <v>2007</v>
      </c>
      <c r="C156" s="7" t="s">
        <v>80</v>
      </c>
      <c r="D156" s="7" t="s">
        <v>51</v>
      </c>
      <c r="E156" s="7" t="str" cm="1">
        <f t="array" ref="E156">_xlfn.IFS(D156=policy_name_clustering!$A$2,policy_name_clustering!$C$2,D156=policy_name_clustering!$A$3,policy_name_clustering!$C$3,D156=policy_name_clustering!$A$4,policy_name_clustering!$C$4,D156=policy_name_clustering!$A$5,policy_name_clustering!$C$5,D156=policy_name_clustering!$A$6,policy_name_clustering!$C$6,D156=policy_name_clustering!$A$7,policy_name_clustering!$C$7,D156=policy_name_clustering!$A$8,policy_name_clustering!$C$8,D156=policy_name_clustering!$A$9,policy_name_clustering!$C$9,D156=policy_name_clustering!$A$10,policy_name_clustering!$C$10,D156=policy_name_clustering!$A$11,policy_name_clustering!$C$11,D156=policy_name_clustering!$A$12,policy_name_clustering!$C$12,D156="-","")</f>
        <v>FiT/FiP-based</v>
      </c>
      <c r="F156" s="7">
        <f>policy_contributions_cum!F36</f>
        <v>450.07651665238001</v>
      </c>
      <c r="G156" s="7">
        <f>solar_cum_cap!C150</f>
        <v>505.92099999999999</v>
      </c>
      <c r="H156" s="7">
        <f>estimated_capacity!C143</f>
        <v>697.91067113471001</v>
      </c>
      <c r="I156" s="7" cm="1">
        <f t="array" ref="I156">_xlfn.IFS(D156= ""," ",D156&lt;&gt; " ",F156*(G156/H156))</f>
        <v>326.26404896642953</v>
      </c>
      <c r="J156" s="7" cm="1">
        <f t="array" ref="J156">_xlfn.IFS(D156= ""," ",D156&lt;&gt; " ",(H156-F156)*(G156/H156))</f>
        <v>179.65695103357044</v>
      </c>
      <c r="K156" s="7" cm="1">
        <f t="array" ref="K156">IF(ISNUMBER(H156),_xlfn.IFS(D156= ""," ",D156&lt;&gt; " ",F156*(G156/H156)),"")</f>
        <v>326.26404896642953</v>
      </c>
    </row>
    <row r="157" spans="1:11" s="7" customFormat="1" hidden="1" x14ac:dyDescent="0.35">
      <c r="A157" s="7" t="s">
        <v>9</v>
      </c>
      <c r="B157" s="7">
        <v>2008</v>
      </c>
      <c r="C157" s="7" t="s">
        <v>81</v>
      </c>
      <c r="D157" s="7" t="s">
        <v>51</v>
      </c>
      <c r="E157" s="7" t="str" cm="1">
        <f t="array" ref="E157">_xlfn.IFS(D157=policy_name_clustering!$A$2,policy_name_clustering!$C$2,D157=policy_name_clustering!$A$3,policy_name_clustering!$C$3,D157=policy_name_clustering!$A$4,policy_name_clustering!$C$4,D157=policy_name_clustering!$A$5,policy_name_clustering!$C$5,D157=policy_name_clustering!$A$6,policy_name_clustering!$C$6,D157=policy_name_clustering!$A$7,policy_name_clustering!$C$7,D157=policy_name_clustering!$A$8,policy_name_clustering!$C$8,D157=policy_name_clustering!$A$9,policy_name_clustering!$C$9,D157=policy_name_clustering!$A$10,policy_name_clustering!$C$10,D157=policy_name_clustering!$A$11,policy_name_clustering!$C$11,D157=policy_name_clustering!$A$12,policy_name_clustering!$C$12,D157="-","")</f>
        <v>FiT/FiP-based</v>
      </c>
      <c r="F157" s="7">
        <f>policy_contributions_cum!F37</f>
        <v>1956.91702592611</v>
      </c>
      <c r="G157" s="7">
        <f>solar_cum_cap!C151</f>
        <v>3448.2489999999998</v>
      </c>
      <c r="H157" s="7">
        <f>estimated_capacity!C144</f>
        <v>2276.00308084987</v>
      </c>
      <c r="I157" s="7" cm="1">
        <f t="array" ref="I157">_xlfn.IFS(D157= ""," ",D157&lt;&gt; " ",F157*(G157/H157))</f>
        <v>2964.8189998112707</v>
      </c>
      <c r="J157" s="7" cm="1">
        <f t="array" ref="J157">_xlfn.IFS(D157= ""," ",D157&lt;&gt; " ",(H157-F157)*(G157/H157))</f>
        <v>483.43000018872897</v>
      </c>
      <c r="K157" s="7" cm="1">
        <f t="array" ref="K157">IF(ISNUMBER(H157),_xlfn.IFS(D157= ""," ",D157&lt;&gt; " ",F157*(G157/H157)),"")</f>
        <v>2964.8189998112707</v>
      </c>
    </row>
    <row r="158" spans="1:11" s="7" customFormat="1" hidden="1" x14ac:dyDescent="0.35">
      <c r="A158" s="7" t="s">
        <v>9</v>
      </c>
      <c r="B158" s="7">
        <v>2009</v>
      </c>
      <c r="C158" s="9" t="s">
        <v>82</v>
      </c>
      <c r="D158" s="7" t="s">
        <v>51</v>
      </c>
      <c r="E158" s="7" t="str" cm="1">
        <f t="array" ref="E158">_xlfn.IFS(D158=policy_name_clustering!$A$2,policy_name_clustering!$C$2,D158=policy_name_clustering!$A$3,policy_name_clustering!$C$3,D158=policy_name_clustering!$A$4,policy_name_clustering!$C$4,D158=policy_name_clustering!$A$5,policy_name_clustering!$C$5,D158=policy_name_clustering!$A$6,policy_name_clustering!$C$6,D158=policy_name_clustering!$A$7,policy_name_clustering!$C$7,D158=policy_name_clustering!$A$8,policy_name_clustering!$C$8,D158=policy_name_clustering!$A$9,policy_name_clustering!$C$9,D158=policy_name_clustering!$A$10,policy_name_clustering!$C$10,D158=policy_name_clustering!$A$11,policy_name_clustering!$C$11,D158=policy_name_clustering!$A$12,policy_name_clustering!$C$12,D158="-","")</f>
        <v>FiT/FiP-based</v>
      </c>
      <c r="F158" s="7">
        <f>policy_contributions_cum!F38</f>
        <v>3251.1454643670099</v>
      </c>
      <c r="G158" s="7">
        <f>solar_cum_cap!C152</f>
        <v>3710.1210000000001</v>
      </c>
      <c r="H158" s="7">
        <f>estimated_capacity!C145</f>
        <v>3385.7522687505698</v>
      </c>
      <c r="I158" s="7" cm="1">
        <f t="array" ref="I158">_xlfn.IFS(D158= ""," ",D158&lt;&gt; " ",F158*(G158/H158))</f>
        <v>3562.6183205229122</v>
      </c>
      <c r="J158" s="7" cm="1">
        <f t="array" ref="J158">_xlfn.IFS(D158= ""," ",D158&lt;&gt; " ",(H158-F158)*(G158/H158))</f>
        <v>147.50267947708758</v>
      </c>
      <c r="K158" s="7" cm="1">
        <f t="array" ref="K158">IF(ISNUMBER(H158),_xlfn.IFS(D158= ""," ",D158&lt;&gt; " ",F158*(G158/H158)),"")</f>
        <v>3562.6183205229122</v>
      </c>
    </row>
    <row r="159" spans="1:11" s="7" customFormat="1" hidden="1" x14ac:dyDescent="0.35">
      <c r="A159" s="7" t="s">
        <v>9</v>
      </c>
      <c r="B159" s="7">
        <v>2010</v>
      </c>
      <c r="D159" s="7" t="s">
        <v>51</v>
      </c>
      <c r="E159" s="7" t="str" cm="1">
        <f t="array" ref="E159">_xlfn.IFS(D159=policy_name_clustering!$A$2,policy_name_clustering!$C$2,D159=policy_name_clustering!$A$3,policy_name_clustering!$C$3,D159=policy_name_clustering!$A$4,policy_name_clustering!$C$4,D159=policy_name_clustering!$A$5,policy_name_clustering!$C$5,D159=policy_name_clustering!$A$6,policy_name_clustering!$C$6,D159=policy_name_clustering!$A$7,policy_name_clustering!$C$7,D159=policy_name_clustering!$A$8,policy_name_clustering!$C$8,D159=policy_name_clustering!$A$9,policy_name_clustering!$C$9,D159=policy_name_clustering!$A$10,policy_name_clustering!$C$10,D159=policy_name_clustering!$A$11,policy_name_clustering!$C$11,D159=policy_name_clustering!$A$12,policy_name_clustering!$C$12,D159="-","")</f>
        <v>FiT/FiP-based</v>
      </c>
      <c r="F159" s="7">
        <f>policy_contributions_cum!F39</f>
        <v>4433.5279241119897</v>
      </c>
      <c r="G159" s="7">
        <f>solar_cum_cap!C153</f>
        <v>4612.0619999999999</v>
      </c>
      <c r="H159" s="7">
        <f>estimated_capacity!C146</f>
        <v>4303.2738513294098</v>
      </c>
      <c r="I159" s="7" cm="1">
        <f t="array" ref="I159">_xlfn.IFS(D159= ""," ",D159&lt;&gt; " ",F159*(G159/H159))</f>
        <v>4751.6626575877535</v>
      </c>
      <c r="J159" s="7" cm="1">
        <f t="array" ref="J159">_xlfn.IFS(D159= ""," ",D159&lt;&gt; " ",(H159-F159)*(G159/H159))</f>
        <v>-139.60065758775369</v>
      </c>
      <c r="K159" s="7" cm="1">
        <f t="array" ref="K159">IF(ISNUMBER(H159),_xlfn.IFS(D159= ""," ",D159&lt;&gt; " ",F159*(G159/H159)),"")</f>
        <v>4751.6626575877535</v>
      </c>
    </row>
    <row r="160" spans="1:11" s="7" customFormat="1" hidden="1" x14ac:dyDescent="0.35">
      <c r="A160" s="7" t="s">
        <v>9</v>
      </c>
      <c r="B160" s="7">
        <v>2011</v>
      </c>
      <c r="D160" s="9" t="s">
        <v>51</v>
      </c>
      <c r="E160" s="7" t="str" cm="1">
        <f t="array" ref="E160">_xlfn.IFS(D160=policy_name_clustering!$A$2,policy_name_clustering!$C$2,D160=policy_name_clustering!$A$3,policy_name_clustering!$C$3,D160=policy_name_clustering!$A$4,policy_name_clustering!$C$4,D160=policy_name_clustering!$A$5,policy_name_clustering!$C$5,D160=policy_name_clustering!$A$6,policy_name_clustering!$C$6,D160=policy_name_clustering!$A$7,policy_name_clustering!$C$7,D160=policy_name_clustering!$A$8,policy_name_clustering!$C$8,D160=policy_name_clustering!$A$9,policy_name_clustering!$C$9,D160=policy_name_clustering!$A$10,policy_name_clustering!$C$10,D160=policy_name_clustering!$A$11,policy_name_clustering!$C$11,D160=policy_name_clustering!$A$12,policy_name_clustering!$C$12,D160="-","")</f>
        <v>FiT/FiP-based</v>
      </c>
      <c r="F160" s="7">
        <f>F159</f>
        <v>4433.5279241119897</v>
      </c>
      <c r="I160" s="7">
        <f>I159</f>
        <v>4751.6626575877535</v>
      </c>
      <c r="K160" s="7" t="str" cm="1">
        <f t="array" ref="K160">IF(ISNUMBER(H160),_xlfn.IFS(D160= ""," ",D160&lt;&gt; " ",F160*(G160/H160)),"")</f>
        <v/>
      </c>
    </row>
    <row r="161" spans="1:11" s="7" customFormat="1" hidden="1" x14ac:dyDescent="0.35">
      <c r="A161" s="7" t="s">
        <v>9</v>
      </c>
      <c r="B161" s="7">
        <v>2012</v>
      </c>
      <c r="D161" s="9" t="s">
        <v>51</v>
      </c>
      <c r="E161" s="7" t="str" cm="1">
        <f t="array" ref="E161">_xlfn.IFS(D161=policy_name_clustering!$A$2,policy_name_clustering!$C$2,D161=policy_name_clustering!$A$3,policy_name_clustering!$C$3,D161=policy_name_clustering!$A$4,policy_name_clustering!$C$4,D161=policy_name_clustering!$A$5,policy_name_clustering!$C$5,D161=policy_name_clustering!$A$6,policy_name_clustering!$C$6,D161=policy_name_clustering!$A$7,policy_name_clustering!$C$7,D161=policy_name_clustering!$A$8,policy_name_clustering!$C$8,D161=policy_name_clustering!$A$9,policy_name_clustering!$C$9,D161=policy_name_clustering!$A$10,policy_name_clustering!$C$10,D161=policy_name_clustering!$A$11,policy_name_clustering!$C$11,D161=policy_name_clustering!$A$12,policy_name_clustering!$C$12,D161="-","")</f>
        <v>FiT/FiP-based</v>
      </c>
      <c r="F161" s="7">
        <f t="shared" ref="F161:F172" si="4">F160</f>
        <v>4433.5279241119897</v>
      </c>
      <c r="I161" s="7">
        <f t="shared" ref="I161:I172" si="5">I160</f>
        <v>4751.6626575877535</v>
      </c>
      <c r="K161" s="7" t="str" cm="1">
        <f t="array" ref="K161">IF(ISNUMBER(H161),_xlfn.IFS(D161= ""," ",D161&lt;&gt; " ",F161*(G161/H161)),"")</f>
        <v/>
      </c>
    </row>
    <row r="162" spans="1:11" s="7" customFormat="1" hidden="1" x14ac:dyDescent="0.35">
      <c r="A162" s="7" t="s">
        <v>9</v>
      </c>
      <c r="B162" s="7">
        <v>2013</v>
      </c>
      <c r="D162" s="9" t="s">
        <v>51</v>
      </c>
      <c r="E162" s="7" t="str" cm="1">
        <f t="array" ref="E162">_xlfn.IFS(D162=policy_name_clustering!$A$2,policy_name_clustering!$C$2,D162=policy_name_clustering!$A$3,policy_name_clustering!$C$3,D162=policy_name_clustering!$A$4,policy_name_clustering!$C$4,D162=policy_name_clustering!$A$5,policy_name_clustering!$C$5,D162=policy_name_clustering!$A$6,policy_name_clustering!$C$6,D162=policy_name_clustering!$A$7,policy_name_clustering!$C$7,D162=policy_name_clustering!$A$8,policy_name_clustering!$C$8,D162=policy_name_clustering!$A$9,policy_name_clustering!$C$9,D162=policy_name_clustering!$A$10,policy_name_clustering!$C$10,D162=policy_name_clustering!$A$11,policy_name_clustering!$C$11,D162=policy_name_clustering!$A$12,policy_name_clustering!$C$12,D162="-","")</f>
        <v>FiT/FiP-based</v>
      </c>
      <c r="F162" s="7">
        <f t="shared" si="4"/>
        <v>4433.5279241119897</v>
      </c>
      <c r="I162" s="7">
        <f t="shared" si="5"/>
        <v>4751.6626575877535</v>
      </c>
      <c r="K162" s="7" t="str" cm="1">
        <f t="array" ref="K162">IF(ISNUMBER(H162),_xlfn.IFS(D162= ""," ",D162&lt;&gt; " ",F162*(G162/H162)),"")</f>
        <v/>
      </c>
    </row>
    <row r="163" spans="1:11" s="7" customFormat="1" hidden="1" x14ac:dyDescent="0.35">
      <c r="A163" s="7" t="s">
        <v>9</v>
      </c>
      <c r="B163" s="7">
        <v>2014</v>
      </c>
      <c r="D163" s="9" t="s">
        <v>51</v>
      </c>
      <c r="E163" s="7" t="str" cm="1">
        <f t="array" ref="E163">_xlfn.IFS(D163=policy_name_clustering!$A$2,policy_name_clustering!$C$2,D163=policy_name_clustering!$A$3,policy_name_clustering!$C$3,D163=policy_name_clustering!$A$4,policy_name_clustering!$C$4,D163=policy_name_clustering!$A$5,policy_name_clustering!$C$5,D163=policy_name_clustering!$A$6,policy_name_clustering!$C$6,D163=policy_name_clustering!$A$7,policy_name_clustering!$C$7,D163=policy_name_clustering!$A$8,policy_name_clustering!$C$8,D163=policy_name_clustering!$A$9,policy_name_clustering!$C$9,D163=policy_name_clustering!$A$10,policy_name_clustering!$C$10,D163=policy_name_clustering!$A$11,policy_name_clustering!$C$11,D163=policy_name_clustering!$A$12,policy_name_clustering!$C$12,D163="-","")</f>
        <v>FiT/FiP-based</v>
      </c>
      <c r="F163" s="7">
        <f t="shared" si="4"/>
        <v>4433.5279241119897</v>
      </c>
      <c r="I163" s="7">
        <f t="shared" si="5"/>
        <v>4751.6626575877535</v>
      </c>
      <c r="K163" s="7" t="str" cm="1">
        <f t="array" ref="K163">IF(ISNUMBER(H163),_xlfn.IFS(D163= ""," ",D163&lt;&gt; " ",F163*(G163/H163)),"")</f>
        <v/>
      </c>
    </row>
    <row r="164" spans="1:11" s="7" customFormat="1" hidden="1" x14ac:dyDescent="0.35">
      <c r="A164" s="7" t="s">
        <v>9</v>
      </c>
      <c r="B164" s="7">
        <v>2015</v>
      </c>
      <c r="D164" s="9" t="s">
        <v>51</v>
      </c>
      <c r="E164" s="7" t="str" cm="1">
        <f t="array" ref="E164">_xlfn.IFS(D164=policy_name_clustering!$A$2,policy_name_clustering!$C$2,D164=policy_name_clustering!$A$3,policy_name_clustering!$C$3,D164=policy_name_clustering!$A$4,policy_name_clustering!$C$4,D164=policy_name_clustering!$A$5,policy_name_clustering!$C$5,D164=policy_name_clustering!$A$6,policy_name_clustering!$C$6,D164=policy_name_clustering!$A$7,policy_name_clustering!$C$7,D164=policy_name_clustering!$A$8,policy_name_clustering!$C$8,D164=policy_name_clustering!$A$9,policy_name_clustering!$C$9,D164=policy_name_clustering!$A$10,policy_name_clustering!$C$10,D164=policy_name_clustering!$A$11,policy_name_clustering!$C$11,D164=policy_name_clustering!$A$12,policy_name_clustering!$C$12,D164="-","")</f>
        <v>FiT/FiP-based</v>
      </c>
      <c r="F164" s="7">
        <f t="shared" si="4"/>
        <v>4433.5279241119897</v>
      </c>
      <c r="I164" s="7">
        <f t="shared" si="5"/>
        <v>4751.6626575877535</v>
      </c>
      <c r="K164" s="7" t="str" cm="1">
        <f t="array" ref="K164">IF(ISNUMBER(H164),_xlfn.IFS(D164= ""," ",D164&lt;&gt; " ",F164*(G164/H164)),"")</f>
        <v/>
      </c>
    </row>
    <row r="165" spans="1:11" s="7" customFormat="1" hidden="1" x14ac:dyDescent="0.35">
      <c r="A165" s="7" t="s">
        <v>9</v>
      </c>
      <c r="B165" s="7">
        <v>2016</v>
      </c>
      <c r="D165" s="9" t="s">
        <v>51</v>
      </c>
      <c r="E165" s="7" t="str" cm="1">
        <f t="array" ref="E165">_xlfn.IFS(D165=policy_name_clustering!$A$2,policy_name_clustering!$C$2,D165=policy_name_clustering!$A$3,policy_name_clustering!$C$3,D165=policy_name_clustering!$A$4,policy_name_clustering!$C$4,D165=policy_name_clustering!$A$5,policy_name_clustering!$C$5,D165=policy_name_clustering!$A$6,policy_name_clustering!$C$6,D165=policy_name_clustering!$A$7,policy_name_clustering!$C$7,D165=policy_name_clustering!$A$8,policy_name_clustering!$C$8,D165=policy_name_clustering!$A$9,policy_name_clustering!$C$9,D165=policy_name_clustering!$A$10,policy_name_clustering!$C$10,D165=policy_name_clustering!$A$11,policy_name_clustering!$C$11,D165=policy_name_clustering!$A$12,policy_name_clustering!$C$12,D165="-","")</f>
        <v>FiT/FiP-based</v>
      </c>
      <c r="F165" s="7">
        <f t="shared" si="4"/>
        <v>4433.5279241119897</v>
      </c>
      <c r="I165" s="7">
        <f t="shared" si="5"/>
        <v>4751.6626575877535</v>
      </c>
      <c r="K165" s="7" t="str" cm="1">
        <f t="array" ref="K165">IF(ISNUMBER(H165),_xlfn.IFS(D165= ""," ",D165&lt;&gt; " ",F165*(G165/H165)),"")</f>
        <v/>
      </c>
    </row>
    <row r="166" spans="1:11" s="7" customFormat="1" hidden="1" x14ac:dyDescent="0.35">
      <c r="A166" s="7" t="s">
        <v>9</v>
      </c>
      <c r="B166" s="7">
        <v>2017</v>
      </c>
      <c r="D166" s="9" t="s">
        <v>51</v>
      </c>
      <c r="E166" s="7" t="str" cm="1">
        <f t="array" ref="E166">_xlfn.IFS(D166=policy_name_clustering!$A$2,policy_name_clustering!$C$2,D166=policy_name_clustering!$A$3,policy_name_clustering!$C$3,D166=policy_name_clustering!$A$4,policy_name_clustering!$C$4,D166=policy_name_clustering!$A$5,policy_name_clustering!$C$5,D166=policy_name_clustering!$A$6,policy_name_clustering!$C$6,D166=policy_name_clustering!$A$7,policy_name_clustering!$C$7,D166=policy_name_clustering!$A$8,policy_name_clustering!$C$8,D166=policy_name_clustering!$A$9,policy_name_clustering!$C$9,D166=policy_name_clustering!$A$10,policy_name_clustering!$C$10,D166=policy_name_clustering!$A$11,policy_name_clustering!$C$11,D166=policy_name_clustering!$A$12,policy_name_clustering!$C$12,D166="-","")</f>
        <v>FiT/FiP-based</v>
      </c>
      <c r="F166" s="7">
        <f t="shared" si="4"/>
        <v>4433.5279241119897</v>
      </c>
      <c r="I166" s="7">
        <f t="shared" si="5"/>
        <v>4751.6626575877535</v>
      </c>
      <c r="K166" s="7" t="str" cm="1">
        <f t="array" ref="K166">IF(ISNUMBER(H166),_xlfn.IFS(D166= ""," ",D166&lt;&gt; " ",F166*(G166/H166)),"")</f>
        <v/>
      </c>
    </row>
    <row r="167" spans="1:11" s="7" customFormat="1" hidden="1" x14ac:dyDescent="0.35">
      <c r="A167" s="7" t="s">
        <v>9</v>
      </c>
      <c r="B167" s="7">
        <v>2018</v>
      </c>
      <c r="D167" s="9" t="s">
        <v>51</v>
      </c>
      <c r="E167" s="7" t="str" cm="1">
        <f t="array" ref="E167">_xlfn.IFS(D167=policy_name_clustering!$A$2,policy_name_clustering!$C$2,D167=policy_name_clustering!$A$3,policy_name_clustering!$C$3,D167=policy_name_clustering!$A$4,policy_name_clustering!$C$4,D167=policy_name_clustering!$A$5,policy_name_clustering!$C$5,D167=policy_name_clustering!$A$6,policy_name_clustering!$C$6,D167=policy_name_clustering!$A$7,policy_name_clustering!$C$7,D167=policy_name_clustering!$A$8,policy_name_clustering!$C$8,D167=policy_name_clustering!$A$9,policy_name_clustering!$C$9,D167=policy_name_clustering!$A$10,policy_name_clustering!$C$10,D167=policy_name_clustering!$A$11,policy_name_clustering!$C$11,D167=policy_name_clustering!$A$12,policy_name_clustering!$C$12,D167="-","")</f>
        <v>FiT/FiP-based</v>
      </c>
      <c r="F167" s="7">
        <f t="shared" si="4"/>
        <v>4433.5279241119897</v>
      </c>
      <c r="I167" s="7">
        <f t="shared" si="5"/>
        <v>4751.6626575877535</v>
      </c>
      <c r="K167" s="7" t="str" cm="1">
        <f t="array" ref="K167">IF(ISNUMBER(H167),_xlfn.IFS(D167= ""," ",D167&lt;&gt; " ",F167*(G167/H167)),"")</f>
        <v/>
      </c>
    </row>
    <row r="168" spans="1:11" s="7" customFormat="1" hidden="1" x14ac:dyDescent="0.35">
      <c r="A168" s="7" t="s">
        <v>9</v>
      </c>
      <c r="B168" s="7">
        <v>2019</v>
      </c>
      <c r="D168" s="9" t="s">
        <v>51</v>
      </c>
      <c r="E168" s="7" t="str" cm="1">
        <f t="array" ref="E168">_xlfn.IFS(D168=policy_name_clustering!$A$2,policy_name_clustering!$C$2,D168=policy_name_clustering!$A$3,policy_name_clustering!$C$3,D168=policy_name_clustering!$A$4,policy_name_clustering!$C$4,D168=policy_name_clustering!$A$5,policy_name_clustering!$C$5,D168=policy_name_clustering!$A$6,policy_name_clustering!$C$6,D168=policy_name_clustering!$A$7,policy_name_clustering!$C$7,D168=policy_name_clustering!$A$8,policy_name_clustering!$C$8,D168=policy_name_clustering!$A$9,policy_name_clustering!$C$9,D168=policy_name_clustering!$A$10,policy_name_clustering!$C$10,D168=policy_name_clustering!$A$11,policy_name_clustering!$C$11,D168=policy_name_clustering!$A$12,policy_name_clustering!$C$12,D168="-","")</f>
        <v>FiT/FiP-based</v>
      </c>
      <c r="F168" s="7">
        <f t="shared" si="4"/>
        <v>4433.5279241119897</v>
      </c>
      <c r="I168" s="7">
        <f t="shared" si="5"/>
        <v>4751.6626575877535</v>
      </c>
      <c r="K168" s="7" t="str" cm="1">
        <f t="array" ref="K168">IF(ISNUMBER(H168),_xlfn.IFS(D168= ""," ",D168&lt;&gt; " ",F168*(G168/H168)),"")</f>
        <v/>
      </c>
    </row>
    <row r="169" spans="1:11" s="7" customFormat="1" hidden="1" x14ac:dyDescent="0.35">
      <c r="A169" s="7" t="s">
        <v>9</v>
      </c>
      <c r="B169" s="7">
        <v>2020</v>
      </c>
      <c r="D169" s="9" t="s">
        <v>51</v>
      </c>
      <c r="E169" s="7" t="str" cm="1">
        <f t="array" ref="E169">_xlfn.IFS(D169=policy_name_clustering!$A$2,policy_name_clustering!$C$2,D169=policy_name_clustering!$A$3,policy_name_clustering!$C$3,D169=policy_name_clustering!$A$4,policy_name_clustering!$C$4,D169=policy_name_clustering!$A$5,policy_name_clustering!$C$5,D169=policy_name_clustering!$A$6,policy_name_clustering!$C$6,D169=policy_name_clustering!$A$7,policy_name_clustering!$C$7,D169=policy_name_clustering!$A$8,policy_name_clustering!$C$8,D169=policy_name_clustering!$A$9,policy_name_clustering!$C$9,D169=policy_name_clustering!$A$10,policy_name_clustering!$C$10,D169=policy_name_clustering!$A$11,policy_name_clustering!$C$11,D169=policy_name_clustering!$A$12,policy_name_clustering!$C$12,D169="-","")</f>
        <v>FiT/FiP-based</v>
      </c>
      <c r="F169" s="7">
        <f t="shared" si="4"/>
        <v>4433.5279241119897</v>
      </c>
      <c r="I169" s="7">
        <f t="shared" si="5"/>
        <v>4751.6626575877535</v>
      </c>
      <c r="K169" s="7" t="str" cm="1">
        <f t="array" ref="K169">IF(ISNUMBER(H169),_xlfn.IFS(D169= ""," ",D169&lt;&gt; " ",F169*(G169/H169)),"")</f>
        <v/>
      </c>
    </row>
    <row r="170" spans="1:11" s="7" customFormat="1" hidden="1" x14ac:dyDescent="0.35">
      <c r="A170" s="7" t="s">
        <v>9</v>
      </c>
      <c r="B170" s="7">
        <v>2021</v>
      </c>
      <c r="D170" s="9" t="s">
        <v>51</v>
      </c>
      <c r="E170" s="7" t="str" cm="1">
        <f t="array" ref="E170">_xlfn.IFS(D170=policy_name_clustering!$A$2,policy_name_clustering!$C$2,D170=policy_name_clustering!$A$3,policy_name_clustering!$C$3,D170=policy_name_clustering!$A$4,policy_name_clustering!$C$4,D170=policy_name_clustering!$A$5,policy_name_clustering!$C$5,D170=policy_name_clustering!$A$6,policy_name_clustering!$C$6,D170=policy_name_clustering!$A$7,policy_name_clustering!$C$7,D170=policy_name_clustering!$A$8,policy_name_clustering!$C$8,D170=policy_name_clustering!$A$9,policy_name_clustering!$C$9,D170=policy_name_clustering!$A$10,policy_name_clustering!$C$10,D170=policy_name_clustering!$A$11,policy_name_clustering!$C$11,D170=policy_name_clustering!$A$12,policy_name_clustering!$C$12,D170="-","")</f>
        <v>FiT/FiP-based</v>
      </c>
      <c r="F170" s="7">
        <f t="shared" si="4"/>
        <v>4433.5279241119897</v>
      </c>
      <c r="I170" s="7">
        <f t="shared" si="5"/>
        <v>4751.6626575877535</v>
      </c>
      <c r="K170" s="7" t="str" cm="1">
        <f t="array" ref="K170">IF(ISNUMBER(H170),_xlfn.IFS(D170= ""," ",D170&lt;&gt; " ",F170*(G170/H170)),"")</f>
        <v/>
      </c>
    </row>
    <row r="171" spans="1:11" s="7" customFormat="1" hidden="1" x14ac:dyDescent="0.35">
      <c r="A171" s="7" t="s">
        <v>9</v>
      </c>
      <c r="B171" s="7">
        <v>2022</v>
      </c>
      <c r="D171" s="9" t="s">
        <v>51</v>
      </c>
      <c r="E171" s="7" t="str" cm="1">
        <f t="array" ref="E171">_xlfn.IFS(D171=policy_name_clustering!$A$2,policy_name_clustering!$C$2,D171=policy_name_clustering!$A$3,policy_name_clustering!$C$3,D171=policy_name_clustering!$A$4,policy_name_clustering!$C$4,D171=policy_name_clustering!$A$5,policy_name_clustering!$C$5,D171=policy_name_clustering!$A$6,policy_name_clustering!$C$6,D171=policy_name_clustering!$A$7,policy_name_clustering!$C$7,D171=policy_name_clustering!$A$8,policy_name_clustering!$C$8,D171=policy_name_clustering!$A$9,policy_name_clustering!$C$9,D171=policy_name_clustering!$A$10,policy_name_clustering!$C$10,D171=policy_name_clustering!$A$11,policy_name_clustering!$C$11,D171=policy_name_clustering!$A$12,policy_name_clustering!$C$12,D171="-","")</f>
        <v>FiT/FiP-based</v>
      </c>
      <c r="F171" s="7">
        <f t="shared" si="4"/>
        <v>4433.5279241119897</v>
      </c>
      <c r="I171" s="7">
        <f t="shared" si="5"/>
        <v>4751.6626575877535</v>
      </c>
      <c r="K171" s="7" t="str" cm="1">
        <f t="array" ref="K171">IF(ISNUMBER(H171),_xlfn.IFS(D171= ""," ",D171&lt;&gt; " ",F171*(G171/H171)),"")</f>
        <v/>
      </c>
    </row>
    <row r="172" spans="1:11" s="7" customFormat="1" hidden="1" x14ac:dyDescent="0.35">
      <c r="A172" s="7" t="s">
        <v>9</v>
      </c>
      <c r="B172" s="7">
        <v>2023</v>
      </c>
      <c r="D172" s="9" t="s">
        <v>51</v>
      </c>
      <c r="E172" s="7" t="str" cm="1">
        <f t="array" ref="E172">_xlfn.IFS(D172=policy_name_clustering!$A$2,policy_name_clustering!$C$2,D172=policy_name_clustering!$A$3,policy_name_clustering!$C$3,D172=policy_name_clustering!$A$4,policy_name_clustering!$C$4,D172=policy_name_clustering!$A$5,policy_name_clustering!$C$5,D172=policy_name_clustering!$A$6,policy_name_clustering!$C$6,D172=policy_name_clustering!$A$7,policy_name_clustering!$C$7,D172=policy_name_clustering!$A$8,policy_name_clustering!$C$8,D172=policy_name_clustering!$A$9,policy_name_clustering!$C$9,D172=policy_name_clustering!$A$10,policy_name_clustering!$C$10,D172=policy_name_clustering!$A$11,policy_name_clustering!$C$11,D172=policy_name_clustering!$A$12,policy_name_clustering!$C$12,D172="-","")</f>
        <v>FiT/FiP-based</v>
      </c>
      <c r="F172" s="7">
        <f t="shared" si="4"/>
        <v>4433.5279241119897</v>
      </c>
      <c r="I172" s="7">
        <f t="shared" si="5"/>
        <v>4751.6626575877535</v>
      </c>
      <c r="K172" s="7" t="str" cm="1">
        <f t="array" ref="K172">IF(ISNUMBER(H172),_xlfn.IFS(D172= ""," ",D172&lt;&gt; " ",F172*(G172/H172)),"")</f>
        <v/>
      </c>
    </row>
    <row r="173" spans="1:11" s="7" customFormat="1" hidden="1" x14ac:dyDescent="0.35">
      <c r="A173" s="7" t="s">
        <v>9</v>
      </c>
      <c r="B173" s="7">
        <v>2011</v>
      </c>
      <c r="D173" s="6" t="s">
        <v>50</v>
      </c>
      <c r="E173" s="7" t="str" cm="1">
        <f t="array" ref="E173">_xlfn.IFS(D173=policy_name_clustering!$A$2,policy_name_clustering!$C$2,D173=policy_name_clustering!$A$3,policy_name_clustering!$C$3,D173=policy_name_clustering!$A$4,policy_name_clustering!$C$4,D173=policy_name_clustering!$A$5,policy_name_clustering!$C$5,D173=policy_name_clustering!$A$6,policy_name_clustering!$C$6,D173=policy_name_clustering!$A$7,policy_name_clustering!$C$7,D173=policy_name_clustering!$A$8,policy_name_clustering!$C$8,D173=policy_name_clustering!$A$9,policy_name_clustering!$C$9,D173=policy_name_clustering!$A$10,policy_name_clustering!$C$10,D173=policy_name_clustering!$A$11,policy_name_clustering!$C$11,D173=policy_name_clustering!$A$12,policy_name_clustering!$C$12,D173="-","")</f>
        <v>FiT/FiP-based</v>
      </c>
      <c r="F173" s="7">
        <f>policy_contributions_cum!F40</f>
        <v>5481.5133287262497</v>
      </c>
      <c r="G173" s="7">
        <f>solar_cum_cap!C154</f>
        <v>5437.0540000000001</v>
      </c>
      <c r="H173" s="7">
        <f>estimated_capacity!C147</f>
        <v>5054.9416138074102</v>
      </c>
      <c r="I173" s="7" cm="1">
        <f t="array" ref="I173">_xlfn.IFS(D173= ""," ",D173&lt;&gt; " ",F173*(G173/H173)-$I$159)</f>
        <v>1144.2084022475692</v>
      </c>
      <c r="J173" s="7" cm="1">
        <f t="array" ref="J173">_xlfn.IFS(D173= ""," ",D173&lt;&gt; " ",(H173-F173)*(G173/H173))</f>
        <v>-458.81705983532242</v>
      </c>
      <c r="K173" s="7" cm="1">
        <f t="array" ref="K173">IF(ISNUMBER(H173),_xlfn.IFS(D173= ""," ",D173&lt;&gt; " ",F173*(G173/H173)),"")</f>
        <v>5895.8710598353227</v>
      </c>
    </row>
    <row r="174" spans="1:11" s="7" customFormat="1" hidden="1" x14ac:dyDescent="0.35">
      <c r="A174" s="7" t="s">
        <v>9</v>
      </c>
      <c r="B174" s="7">
        <v>2012</v>
      </c>
      <c r="C174" s="7" t="s">
        <v>83</v>
      </c>
      <c r="D174" s="6" t="s">
        <v>50</v>
      </c>
      <c r="E174" s="7" t="str" cm="1">
        <f t="array" ref="E174">_xlfn.IFS(D174=policy_name_clustering!$A$2,policy_name_clustering!$C$2,D174=policy_name_clustering!$A$3,policy_name_clustering!$C$3,D174=policy_name_clustering!$A$4,policy_name_clustering!$C$4,D174=policy_name_clustering!$A$5,policy_name_clustering!$C$5,D174=policy_name_clustering!$A$6,policy_name_clustering!$C$6,D174=policy_name_clustering!$A$7,policy_name_clustering!$C$7,D174=policy_name_clustering!$A$8,policy_name_clustering!$C$8,D174=policy_name_clustering!$A$9,policy_name_clustering!$C$9,D174=policy_name_clustering!$A$10,policy_name_clustering!$C$10,D174=policy_name_clustering!$A$11,policy_name_clustering!$C$11,D174=policy_name_clustering!$A$12,policy_name_clustering!$C$12,D174="-","")</f>
        <v>FiT/FiP-based</v>
      </c>
      <c r="F174" s="7">
        <f>policy_contributions_cum!F41</f>
        <v>6405.37844015276</v>
      </c>
      <c r="G174" s="7">
        <f>solar_cum_cap!C155</f>
        <v>6574.6980000000003</v>
      </c>
      <c r="H174" s="7">
        <f>estimated_capacity!C148</f>
        <v>5670.2314896451098</v>
      </c>
      <c r="I174" s="7" cm="1">
        <f t="array" ref="I174">_xlfn.IFS(D174= ""," ",D174&lt;&gt; " ",F174*(G174/H174)-$I$159)</f>
        <v>2675.446605344875</v>
      </c>
      <c r="J174" s="7" cm="1">
        <f t="array" ref="J174">_xlfn.IFS(D174= ""," ",D174&lt;&gt; " ",(H174-F174)*(G174/H174))</f>
        <v>-852.41126293262846</v>
      </c>
      <c r="K174" s="7" cm="1">
        <f t="array" ref="K174">IF(ISNUMBER(H174),_xlfn.IFS(D174= ""," ",D174&lt;&gt; " ",F174*(G174/H174)),"")</f>
        <v>7427.1092629326286</v>
      </c>
    </row>
    <row r="175" spans="1:11" s="7" customFormat="1" hidden="1" x14ac:dyDescent="0.35">
      <c r="A175" s="7" t="s">
        <v>9</v>
      </c>
      <c r="B175" s="7">
        <v>2013</v>
      </c>
      <c r="C175" s="7" t="s">
        <v>84</v>
      </c>
      <c r="D175" s="6" t="s">
        <v>50</v>
      </c>
      <c r="E175" s="7" t="str" cm="1">
        <f t="array" ref="E175">_xlfn.IFS(D175=policy_name_clustering!$A$2,policy_name_clustering!$C$2,D175=policy_name_clustering!$A$3,policy_name_clustering!$C$3,D175=policy_name_clustering!$A$4,policy_name_clustering!$C$4,D175=policy_name_clustering!$A$5,policy_name_clustering!$C$5,D175=policy_name_clustering!$A$6,policy_name_clustering!$C$6,D175=policy_name_clustering!$A$7,policy_name_clustering!$C$7,D175=policy_name_clustering!$A$8,policy_name_clustering!$C$8,D175=policy_name_clustering!$A$9,policy_name_clustering!$C$9,D175=policy_name_clustering!$A$10,policy_name_clustering!$C$10,D175=policy_name_clustering!$A$11,policy_name_clustering!$C$11,D175=policy_name_clustering!$A$12,policy_name_clustering!$C$12,D175="-","")</f>
        <v>FiT/FiP-based</v>
      </c>
      <c r="F175" s="7">
        <f>policy_contributions_cum!F42</f>
        <v>7144.6689452067603</v>
      </c>
      <c r="G175" s="7">
        <f>solar_cum_cap!C156</f>
        <v>6999.7730000000001</v>
      </c>
      <c r="H175" s="7">
        <f>estimated_capacity!C149</f>
        <v>6095.8346856296002</v>
      </c>
      <c r="I175" s="7" cm="1">
        <f t="array" ref="I175">_xlfn.IFS(D175= ""," ",D175&lt;&gt; " ",F175*(G175/H175)-$I$159)</f>
        <v>3452.4739956737731</v>
      </c>
      <c r="J175" s="7" cm="1">
        <f t="array" ref="J175">_xlfn.IFS(D175= ""," ",D175&lt;&gt; " ",(H175-F175)*(G175/H175))</f>
        <v>-1204.3636532615269</v>
      </c>
      <c r="K175" s="7" cm="1">
        <f t="array" ref="K175">IF(ISNUMBER(H175),_xlfn.IFS(D175= ""," ",D175&lt;&gt; " ",F175*(G175/H175)),"")</f>
        <v>8204.1366532615266</v>
      </c>
    </row>
    <row r="176" spans="1:11" s="7" customFormat="1" hidden="1" x14ac:dyDescent="0.35">
      <c r="A176" s="7" t="s">
        <v>9</v>
      </c>
      <c r="B176" s="7">
        <v>2014</v>
      </c>
      <c r="C176" s="7" t="s">
        <v>85</v>
      </c>
      <c r="D176" s="6" t="s">
        <v>50</v>
      </c>
      <c r="E176" s="7" t="str" cm="1">
        <f t="array" ref="E176">_xlfn.IFS(D176=policy_name_clustering!$A$2,policy_name_clustering!$C$2,D176=policy_name_clustering!$A$3,policy_name_clustering!$C$3,D176=policy_name_clustering!$A$4,policy_name_clustering!$C$4,D176=policy_name_clustering!$A$5,policy_name_clustering!$C$5,D176=policy_name_clustering!$A$6,policy_name_clustering!$C$6,D176=policy_name_clustering!$A$7,policy_name_clustering!$C$7,D176=policy_name_clustering!$A$8,policy_name_clustering!$C$8,D176=policy_name_clustering!$A$9,policy_name_clustering!$C$9,D176=policy_name_clustering!$A$10,policy_name_clustering!$C$10,D176=policy_name_clustering!$A$11,policy_name_clustering!$C$11,D176=policy_name_clustering!$A$12,policy_name_clustering!$C$12,D176="-","")</f>
        <v>FiT/FiP-based</v>
      </c>
      <c r="F176" s="7">
        <f>policy_contributions_cum!F43</f>
        <v>7667.6520408710803</v>
      </c>
      <c r="G176" s="7">
        <f>solar_cum_cap!C157</f>
        <v>7006.53</v>
      </c>
      <c r="H176" s="7">
        <f>estimated_capacity!C150</f>
        <v>6303.1704724007104</v>
      </c>
      <c r="I176" s="7" cm="1">
        <f t="array" ref="I176">_xlfn.IFS(D176= ""," ",D176&lt;&gt; " ",F176*(G176/H176)-$I$159)</f>
        <v>3771.6089704224169</v>
      </c>
      <c r="J176" s="7" cm="1">
        <f t="array" ref="J176">_xlfn.IFS(D176= ""," ",D176&lt;&gt; " ",(H176-F176)*(G176/H176))</f>
        <v>-1516.7416280101722</v>
      </c>
      <c r="K176" s="7" cm="1">
        <f t="array" ref="K176">IF(ISNUMBER(H176),_xlfn.IFS(D176= ""," ",D176&lt;&gt; " ",F176*(G176/H176)),"")</f>
        <v>8523.2716280101704</v>
      </c>
    </row>
    <row r="177" spans="1:11" s="7" customFormat="1" hidden="1" x14ac:dyDescent="0.35">
      <c r="A177" s="7" t="s">
        <v>9</v>
      </c>
      <c r="B177" s="7">
        <v>2015</v>
      </c>
      <c r="C177" s="9"/>
      <c r="D177" s="17" t="s">
        <v>50</v>
      </c>
      <c r="E177" s="7" t="str" cm="1">
        <f t="array" ref="E177">_xlfn.IFS(D177=policy_name_clustering!$A$2,policy_name_clustering!$C$2,D177=policy_name_clustering!$A$3,policy_name_clustering!$C$3,D177=policy_name_clustering!$A$4,policy_name_clustering!$C$4,D177=policy_name_clustering!$A$5,policy_name_clustering!$C$5,D177=policy_name_clustering!$A$6,policy_name_clustering!$C$6,D177=policy_name_clustering!$A$7,policy_name_clustering!$C$7,D177=policy_name_clustering!$A$8,policy_name_clustering!$C$8,D177=policy_name_clustering!$A$9,policy_name_clustering!$C$9,D177=policy_name_clustering!$A$10,policy_name_clustering!$C$10,D177=policy_name_clustering!$A$11,policy_name_clustering!$C$11,D177=policy_name_clustering!$A$12,policy_name_clustering!$C$12,D177="-","")</f>
        <v>FiT/FiP-based</v>
      </c>
      <c r="F177" s="7">
        <f>policy_contributions_cum!F44</f>
        <v>8028.6110355799301</v>
      </c>
      <c r="G177" s="7">
        <f>solar_cum_cap!C158</f>
        <v>7013.7529999999997</v>
      </c>
      <c r="H177" s="7">
        <f>estimated_capacity!C151</f>
        <v>6347.8493754137598</v>
      </c>
      <c r="I177" s="7">
        <f>I176</f>
        <v>3771.6089704224169</v>
      </c>
      <c r="J177" s="10" cm="1">
        <f t="array" ref="J177">_xlfn.IFS(D177= ""," ",D177&lt;&gt; " ",(H177-F177)*(G177/H177))</f>
        <v>-1857.0773247919217</v>
      </c>
      <c r="K177" s="7" cm="1">
        <f t="array" ref="K177">IF(ISNUMBER(H177),_xlfn.IFS(D177= ""," ",D177&lt;&gt; " ",F177*(G177/H177)),"")</f>
        <v>8870.8303247919212</v>
      </c>
    </row>
    <row r="178" spans="1:11" s="7" customFormat="1" hidden="1" x14ac:dyDescent="0.35">
      <c r="A178" s="7" t="s">
        <v>9</v>
      </c>
      <c r="B178" s="7">
        <v>2016</v>
      </c>
      <c r="D178" s="17" t="s">
        <v>50</v>
      </c>
      <c r="E178" s="7" t="str" cm="1">
        <f t="array" ref="E178">_xlfn.IFS(D178=policy_name_clustering!$A$2,policy_name_clustering!$C$2,D178=policy_name_clustering!$A$3,policy_name_clustering!$C$3,D178=policy_name_clustering!$A$4,policy_name_clustering!$C$4,D178=policy_name_clustering!$A$5,policy_name_clustering!$C$5,D178=policy_name_clustering!$A$6,policy_name_clustering!$C$6,D178=policy_name_clustering!$A$7,policy_name_clustering!$C$7,D178=policy_name_clustering!$A$8,policy_name_clustering!$C$8,D178=policy_name_clustering!$A$9,policy_name_clustering!$C$9,D178=policy_name_clustering!$A$10,policy_name_clustering!$C$10,D178=policy_name_clustering!$A$11,policy_name_clustering!$C$11,D178=policy_name_clustering!$A$12,policy_name_clustering!$C$12,D178="-","")</f>
        <v>FiT/FiP-based</v>
      </c>
      <c r="F178" s="7">
        <f>F177</f>
        <v>8028.6110355799301</v>
      </c>
      <c r="G178" s="7">
        <f>solar_cum_cap!C159</f>
        <v>7017.9930000000004</v>
      </c>
      <c r="H178" s="7">
        <f>estimated_capacity!C152</f>
        <v>6299.6352212310303</v>
      </c>
      <c r="I178" s="7">
        <f t="shared" ref="I178:I185" si="6">I177</f>
        <v>3771.6089704224169</v>
      </c>
      <c r="J178" s="10" cm="1">
        <f t="array" ref="J178">_xlfn.IFS(D178= ""," ",D178&lt;&gt; " ",(H178-F178)*(G178/H178))</f>
        <v>-1926.1337738058346</v>
      </c>
      <c r="K178" s="7" cm="1">
        <f t="array" ref="K178">IF(ISNUMBER(H178),_xlfn.IFS(D178= ""," ",D178&lt;&gt; " ",F178*(G178/H178)),"")</f>
        <v>8944.1267738058341</v>
      </c>
    </row>
    <row r="179" spans="1:11" s="7" customFormat="1" hidden="1" x14ac:dyDescent="0.35">
      <c r="A179" s="7" t="s">
        <v>9</v>
      </c>
      <c r="B179" s="7">
        <v>2017</v>
      </c>
      <c r="C179" s="10" t="s">
        <v>86</v>
      </c>
      <c r="D179" s="8" t="s">
        <v>50</v>
      </c>
      <c r="E179" s="7" t="str" cm="1">
        <f t="array" ref="E179">_xlfn.IFS(D179=policy_name_clustering!$A$2,policy_name_clustering!$C$2,D179=policy_name_clustering!$A$3,policy_name_clustering!$C$3,D179=policy_name_clustering!$A$4,policy_name_clustering!$C$4,D179=policy_name_clustering!$A$5,policy_name_clustering!$C$5,D179=policy_name_clustering!$A$6,policy_name_clustering!$C$6,D179=policy_name_clustering!$A$7,policy_name_clustering!$C$7,D179=policy_name_clustering!$A$8,policy_name_clustering!$C$8,D179=policy_name_clustering!$A$9,policy_name_clustering!$C$9,D179=policy_name_clustering!$A$10,policy_name_clustering!$C$10,D179=policy_name_clustering!$A$11,policy_name_clustering!$C$11,D179=policy_name_clustering!$A$12,policy_name_clustering!$C$12,D179="-","")</f>
        <v>FiT/FiP-based</v>
      </c>
      <c r="F179" s="7">
        <f>F178</f>
        <v>8028.6110355799301</v>
      </c>
      <c r="I179" s="7">
        <f t="shared" si="6"/>
        <v>3771.6089704224169</v>
      </c>
      <c r="K179" s="7" t="str" cm="1">
        <f t="array" ref="K179">IF(ISNUMBER(H179),_xlfn.IFS(D179= ""," ",D179&lt;&gt; " ",F179*(G179/H179)),"")</f>
        <v/>
      </c>
    </row>
    <row r="180" spans="1:11" s="7" customFormat="1" hidden="1" x14ac:dyDescent="0.35">
      <c r="A180" s="7" t="s">
        <v>9</v>
      </c>
      <c r="B180" s="7">
        <v>2018</v>
      </c>
      <c r="D180" s="8" t="s">
        <v>50</v>
      </c>
      <c r="E180" s="7" t="str" cm="1">
        <f t="array" ref="E180">_xlfn.IFS(D180=policy_name_clustering!$A$2,policy_name_clustering!$C$2,D180=policy_name_clustering!$A$3,policy_name_clustering!$C$3,D180=policy_name_clustering!$A$4,policy_name_clustering!$C$4,D180=policy_name_clustering!$A$5,policy_name_clustering!$C$5,D180=policy_name_clustering!$A$6,policy_name_clustering!$C$6,D180=policy_name_clustering!$A$7,policy_name_clustering!$C$7,D180=policy_name_clustering!$A$8,policy_name_clustering!$C$8,D180=policy_name_clustering!$A$9,policy_name_clustering!$C$9,D180=policy_name_clustering!$A$10,policy_name_clustering!$C$10,D180=policy_name_clustering!$A$11,policy_name_clustering!$C$11,D180=policy_name_clustering!$A$12,policy_name_clustering!$C$12,D180="-","")</f>
        <v>FiT/FiP-based</v>
      </c>
      <c r="F180" s="7">
        <f>F179</f>
        <v>8028.6110355799301</v>
      </c>
      <c r="I180" s="7">
        <f t="shared" si="6"/>
        <v>3771.6089704224169</v>
      </c>
      <c r="K180" s="7" t="str" cm="1">
        <f t="array" ref="K180">IF(ISNUMBER(H180),_xlfn.IFS(D180= ""," ",D180&lt;&gt; " ",F180*(G180/H180)),"")</f>
        <v/>
      </c>
    </row>
    <row r="181" spans="1:11" s="7" customFormat="1" hidden="1" x14ac:dyDescent="0.35">
      <c r="A181" s="7" t="s">
        <v>9</v>
      </c>
      <c r="B181" s="7">
        <v>2019</v>
      </c>
      <c r="D181" s="8" t="s">
        <v>50</v>
      </c>
      <c r="E181" s="7" t="str" cm="1">
        <f t="array" ref="E181">_xlfn.IFS(D181=policy_name_clustering!$A$2,policy_name_clustering!$C$2,D181=policy_name_clustering!$A$3,policy_name_clustering!$C$3,D181=policy_name_clustering!$A$4,policy_name_clustering!$C$4,D181=policy_name_clustering!$A$5,policy_name_clustering!$C$5,D181=policy_name_clustering!$A$6,policy_name_clustering!$C$6,D181=policy_name_clustering!$A$7,policy_name_clustering!$C$7,D181=policy_name_clustering!$A$8,policy_name_clustering!$C$8,D181=policy_name_clustering!$A$9,policy_name_clustering!$C$9,D181=policy_name_clustering!$A$10,policy_name_clustering!$C$10,D181=policy_name_clustering!$A$11,policy_name_clustering!$C$11,D181=policy_name_clustering!$A$12,policy_name_clustering!$C$12,D181="-","")</f>
        <v>FiT/FiP-based</v>
      </c>
      <c r="F181" s="7">
        <f t="shared" ref="F181:F185" si="7">F180</f>
        <v>8028.6110355799301</v>
      </c>
      <c r="I181" s="7">
        <f t="shared" si="6"/>
        <v>3771.6089704224169</v>
      </c>
      <c r="K181" s="7" t="str" cm="1">
        <f t="array" ref="K181">IF(ISNUMBER(H181),_xlfn.IFS(D181= ""," ",D181&lt;&gt; " ",F181*(G181/H181)),"")</f>
        <v/>
      </c>
    </row>
    <row r="182" spans="1:11" s="7" customFormat="1" hidden="1" x14ac:dyDescent="0.35">
      <c r="A182" s="7" t="s">
        <v>9</v>
      </c>
      <c r="B182" s="7">
        <v>2020</v>
      </c>
      <c r="D182" s="8" t="s">
        <v>50</v>
      </c>
      <c r="E182" s="7" t="str" cm="1">
        <f t="array" ref="E182">_xlfn.IFS(D182=policy_name_clustering!$A$2,policy_name_clustering!$C$2,D182=policy_name_clustering!$A$3,policy_name_clustering!$C$3,D182=policy_name_clustering!$A$4,policy_name_clustering!$C$4,D182=policy_name_clustering!$A$5,policy_name_clustering!$C$5,D182=policy_name_clustering!$A$6,policy_name_clustering!$C$6,D182=policy_name_clustering!$A$7,policy_name_clustering!$C$7,D182=policy_name_clustering!$A$8,policy_name_clustering!$C$8,D182=policy_name_clustering!$A$9,policy_name_clustering!$C$9,D182=policy_name_clustering!$A$10,policy_name_clustering!$C$10,D182=policy_name_clustering!$A$11,policy_name_clustering!$C$11,D182=policy_name_clustering!$A$12,policy_name_clustering!$C$12,D182="-","")</f>
        <v>FiT/FiP-based</v>
      </c>
      <c r="F182" s="7">
        <f>F181</f>
        <v>8028.6110355799301</v>
      </c>
      <c r="I182" s="7">
        <f t="shared" si="6"/>
        <v>3771.6089704224169</v>
      </c>
      <c r="K182" s="7" t="str" cm="1">
        <f t="array" ref="K182">IF(ISNUMBER(H182),_xlfn.IFS(D182= ""," ",D182&lt;&gt; " ",F182*(G182/H182)),"")</f>
        <v/>
      </c>
    </row>
    <row r="183" spans="1:11" s="7" customFormat="1" hidden="1" x14ac:dyDescent="0.35">
      <c r="A183" s="7" t="s">
        <v>9</v>
      </c>
      <c r="B183" s="7">
        <v>2021</v>
      </c>
      <c r="D183" s="8" t="s">
        <v>50</v>
      </c>
      <c r="E183" s="7" t="str" cm="1">
        <f t="array" ref="E183">_xlfn.IFS(D183=policy_name_clustering!$A$2,policy_name_clustering!$C$2,D183=policy_name_clustering!$A$3,policy_name_clustering!$C$3,D183=policy_name_clustering!$A$4,policy_name_clustering!$C$4,D183=policy_name_clustering!$A$5,policy_name_clustering!$C$5,D183=policy_name_clustering!$A$6,policy_name_clustering!$C$6,D183=policy_name_clustering!$A$7,policy_name_clustering!$C$7,D183=policy_name_clustering!$A$8,policy_name_clustering!$C$8,D183=policy_name_clustering!$A$9,policy_name_clustering!$C$9,D183=policy_name_clustering!$A$10,policy_name_clustering!$C$10,D183=policy_name_clustering!$A$11,policy_name_clustering!$C$11,D183=policy_name_clustering!$A$12,policy_name_clustering!$C$12,D183="-","")</f>
        <v>FiT/FiP-based</v>
      </c>
      <c r="F183" s="7">
        <f t="shared" si="7"/>
        <v>8028.6110355799301</v>
      </c>
      <c r="I183" s="7">
        <f t="shared" si="6"/>
        <v>3771.6089704224169</v>
      </c>
      <c r="K183" s="7" t="str" cm="1">
        <f t="array" ref="K183">IF(ISNUMBER(H183),_xlfn.IFS(D183= ""," ",D183&lt;&gt; " ",F183*(G183/H183)),"")</f>
        <v/>
      </c>
    </row>
    <row r="184" spans="1:11" s="7" customFormat="1" hidden="1" x14ac:dyDescent="0.35">
      <c r="A184" s="7" t="s">
        <v>9</v>
      </c>
      <c r="B184" s="7">
        <v>2022</v>
      </c>
      <c r="D184" s="8" t="s">
        <v>50</v>
      </c>
      <c r="E184" s="7" t="str" cm="1">
        <f t="array" ref="E184">_xlfn.IFS(D184=policy_name_clustering!$A$2,policy_name_clustering!$C$2,D184=policy_name_clustering!$A$3,policy_name_clustering!$C$3,D184=policy_name_clustering!$A$4,policy_name_clustering!$C$4,D184=policy_name_clustering!$A$5,policy_name_clustering!$C$5,D184=policy_name_clustering!$A$6,policy_name_clustering!$C$6,D184=policy_name_clustering!$A$7,policy_name_clustering!$C$7,D184=policy_name_clustering!$A$8,policy_name_clustering!$C$8,D184=policy_name_clustering!$A$9,policy_name_clustering!$C$9,D184=policy_name_clustering!$A$10,policy_name_clustering!$C$10,D184=policy_name_clustering!$A$11,policy_name_clustering!$C$11,D184=policy_name_clustering!$A$12,policy_name_clustering!$C$12,D184="-","")</f>
        <v>FiT/FiP-based</v>
      </c>
      <c r="F184" s="7">
        <f t="shared" si="7"/>
        <v>8028.6110355799301</v>
      </c>
      <c r="I184" s="7">
        <f t="shared" si="6"/>
        <v>3771.6089704224169</v>
      </c>
      <c r="K184" s="7" t="str" cm="1">
        <f t="array" ref="K184">IF(ISNUMBER(H184),_xlfn.IFS(D184= ""," ",D184&lt;&gt; " ",F184*(G184/H184)),"")</f>
        <v/>
      </c>
    </row>
    <row r="185" spans="1:11" s="7" customFormat="1" hidden="1" x14ac:dyDescent="0.35">
      <c r="A185" s="7" t="s">
        <v>9</v>
      </c>
      <c r="B185" s="7">
        <v>2023</v>
      </c>
      <c r="D185" s="8" t="s">
        <v>50</v>
      </c>
      <c r="E185" s="7" t="str" cm="1">
        <f t="array" ref="E185">_xlfn.IFS(D185=policy_name_clustering!$A$2,policy_name_clustering!$C$2,D185=policy_name_clustering!$A$3,policy_name_clustering!$C$3,D185=policy_name_clustering!$A$4,policy_name_clustering!$C$4,D185=policy_name_clustering!$A$5,policy_name_clustering!$C$5,D185=policy_name_clustering!$A$6,policy_name_clustering!$C$6,D185=policy_name_clustering!$A$7,policy_name_clustering!$C$7,D185=policy_name_clustering!$A$8,policy_name_clustering!$C$8,D185=policy_name_clustering!$A$9,policy_name_clustering!$C$9,D185=policy_name_clustering!$A$10,policy_name_clustering!$C$10,D185=policy_name_clustering!$A$11,policy_name_clustering!$C$11,D185=policy_name_clustering!$A$12,policy_name_clustering!$C$12,D185="-","")</f>
        <v>FiT/FiP-based</v>
      </c>
      <c r="F185" s="7">
        <f t="shared" si="7"/>
        <v>8028.6110355799301</v>
      </c>
      <c r="I185" s="7">
        <f t="shared" si="6"/>
        <v>3771.6089704224169</v>
      </c>
      <c r="K185" s="7" t="str" cm="1">
        <f t="array" ref="K185">IF(ISNUMBER(H185),_xlfn.IFS(D185= ""," ",D185&lt;&gt; " ",F185*(G185/H185)),"")</f>
        <v/>
      </c>
    </row>
    <row r="186" spans="1:11" s="7" customFormat="1" hidden="1" x14ac:dyDescent="0.35">
      <c r="A186" t="s">
        <v>9</v>
      </c>
      <c r="B186">
        <v>2017</v>
      </c>
      <c r="C186" s="7" t="s">
        <v>127</v>
      </c>
      <c r="D186" s="7" t="s">
        <v>128</v>
      </c>
      <c r="E186" s="7" t="str" cm="1">
        <f t="array" ref="E186">_xlfn.IFS(D186=policy_name_clustering!$A$2,policy_name_clustering!$C$2,D186=policy_name_clustering!$A$3,policy_name_clustering!$C$3,D186=policy_name_clustering!$A$4,policy_name_clustering!$C$4,D186=policy_name_clustering!$A$5,policy_name_clustering!$C$5,D186=policy_name_clustering!$A$6,policy_name_clustering!$C$6,D186=policy_name_clustering!$A$7,policy_name_clustering!$C$7,D186=policy_name_clustering!$A$8,policy_name_clustering!$C$8,D186=policy_name_clustering!$A$9,policy_name_clustering!$C$9,D186=policy_name_clustering!$A$10,policy_name_clustering!$C$10,D186=policy_name_clustering!$A$11,policy_name_clustering!$C$11,D186=policy_name_clustering!$A$12,policy_name_clustering!$C$12,D186="-","")</f>
        <v>Tender-based</v>
      </c>
      <c r="F186" s="7">
        <f>policy_contributions_cum!F53</f>
        <v>119.807260456202</v>
      </c>
      <c r="G186" s="7">
        <f>solar_cum_cap!C160</f>
        <v>7026.2619999999997</v>
      </c>
      <c r="H186" s="7">
        <f>estimated_capacity!C153</f>
        <v>6317.6739089981702</v>
      </c>
      <c r="I186" s="7" cm="1">
        <f t="array" ref="I186">_xlfn.IFS(D186= ""," ",D186&lt;&gt; " ",F186*(G186/H186))</f>
        <v>133.2448007910879</v>
      </c>
      <c r="J186" s="7" cm="1">
        <f t="array" ref="J186">_xlfn.IFS(D186= ""," ",D186&lt;&gt; " ",(H186-F186)*(G186/H186)-$I$178-$I$159)</f>
        <v>-1630.2544288012587</v>
      </c>
      <c r="K186" s="7" cm="1">
        <f t="array" ref="K186">IF(ISNUMBER(H186),_xlfn.IFS(D186= ""," ",D186&lt;&gt; " ",F186*(G186/H186)),"")</f>
        <v>133.2448007910879</v>
      </c>
    </row>
    <row r="187" spans="1:11" s="7" customFormat="1" hidden="1" x14ac:dyDescent="0.35">
      <c r="A187" t="s">
        <v>9</v>
      </c>
      <c r="B187">
        <v>2018</v>
      </c>
      <c r="C187" s="7" t="s">
        <v>129</v>
      </c>
      <c r="D187" s="7" t="s">
        <v>128</v>
      </c>
      <c r="E187" s="7" t="str" cm="1">
        <f t="array" ref="E187">_xlfn.IFS(D187=policy_name_clustering!$A$2,policy_name_clustering!$C$2,D187=policy_name_clustering!$A$3,policy_name_clustering!$C$3,D187=policy_name_clustering!$A$4,policy_name_clustering!$C$4,D187=policy_name_clustering!$A$5,policy_name_clustering!$C$5,D187=policy_name_clustering!$A$6,policy_name_clustering!$C$6,D187=policy_name_clustering!$A$7,policy_name_clustering!$C$7,D187=policy_name_clustering!$A$8,policy_name_clustering!$C$8,D187=policy_name_clustering!$A$9,policy_name_clustering!$C$9,D187=policy_name_clustering!$A$10,policy_name_clustering!$C$10,D187=policy_name_clustering!$A$11,policy_name_clustering!$C$11,D187=policy_name_clustering!$A$12,policy_name_clustering!$C$12,D187="-","")</f>
        <v>Tender-based</v>
      </c>
      <c r="F187" s="7">
        <f>policy_contributions_cum!F54</f>
        <v>354.82156718259699</v>
      </c>
      <c r="G187" s="7">
        <f>solar_cum_cap!C161</f>
        <v>7067.6689999999999</v>
      </c>
      <c r="H187" s="7">
        <f>estimated_capacity!C154</f>
        <v>6400.8545353192903</v>
      </c>
      <c r="I187" s="7" cm="1">
        <f t="array" ref="I187">_xlfn.IFS(D187= ""," ",D187&lt;&gt; " ",F187*(G187/H187))</f>
        <v>391.78540569392345</v>
      </c>
      <c r="J187" s="7" cm="1">
        <f t="array" ref="J187">_xlfn.IFS(D187= ""," ",D187&lt;&gt; " ",(H187-F187)*(G187/H187)-$I$178-$I$159)</f>
        <v>-1847.3880337040946</v>
      </c>
      <c r="K187" s="7" cm="1">
        <f t="array" ref="K187">IF(ISNUMBER(H187),_xlfn.IFS(D187= ""," ",D187&lt;&gt; " ",F187*(G187/H187)),"")</f>
        <v>391.78540569392345</v>
      </c>
    </row>
    <row r="188" spans="1:11" s="7" customFormat="1" hidden="1" x14ac:dyDescent="0.35">
      <c r="A188" t="s">
        <v>9</v>
      </c>
      <c r="B188">
        <v>2019</v>
      </c>
      <c r="C188" s="7" t="s">
        <v>130</v>
      </c>
      <c r="D188" s="9" t="s">
        <v>128</v>
      </c>
      <c r="E188" s="7" t="str" cm="1">
        <f t="array" ref="E188">_xlfn.IFS(D188=policy_name_clustering!$A$2,policy_name_clustering!$C$2,D188=policy_name_clustering!$A$3,policy_name_clustering!$C$3,D188=policy_name_clustering!$A$4,policy_name_clustering!$C$4,D188=policy_name_clustering!$A$5,policy_name_clustering!$C$5,D188=policy_name_clustering!$A$6,policy_name_clustering!$C$6,D188=policy_name_clustering!$A$7,policy_name_clustering!$C$7,D188=policy_name_clustering!$A$8,policy_name_clustering!$C$8,D188=policy_name_clustering!$A$9,policy_name_clustering!$C$9,D188=policy_name_clustering!$A$10,policy_name_clustering!$C$10,D188=policy_name_clustering!$A$11,policy_name_clustering!$C$11,D188=policy_name_clustering!$A$12,policy_name_clustering!$C$12,D188="-","")</f>
        <v>Tender-based</v>
      </c>
      <c r="F188" s="7">
        <f>F187</f>
        <v>354.82156718259699</v>
      </c>
      <c r="I188" s="7">
        <f>I187</f>
        <v>391.78540569392345</v>
      </c>
      <c r="K188" s="7" t="str" cm="1">
        <f t="array" ref="K188">IF(ISNUMBER(H188),_xlfn.IFS(D188= ""," ",D188&lt;&gt; " ",F188*(G188/H188)),"")</f>
        <v/>
      </c>
    </row>
    <row r="189" spans="1:11" s="7" customFormat="1" hidden="1" x14ac:dyDescent="0.35">
      <c r="A189" t="s">
        <v>9</v>
      </c>
      <c r="B189">
        <v>2020</v>
      </c>
      <c r="C189" s="7" t="s">
        <v>131</v>
      </c>
      <c r="D189" s="9" t="s">
        <v>128</v>
      </c>
      <c r="E189" s="7" t="str" cm="1">
        <f t="array" ref="E189">_xlfn.IFS(D189=policy_name_clustering!$A$2,policy_name_clustering!$C$2,D189=policy_name_clustering!$A$3,policy_name_clustering!$C$3,D189=policy_name_clustering!$A$4,policy_name_clustering!$C$4,D189=policy_name_clustering!$A$5,policy_name_clustering!$C$5,D189=policy_name_clustering!$A$6,policy_name_clustering!$C$6,D189=policy_name_clustering!$A$7,policy_name_clustering!$C$7,D189=policy_name_clustering!$A$8,policy_name_clustering!$C$8,D189=policy_name_clustering!$A$9,policy_name_clustering!$C$9,D189=policy_name_clustering!$A$10,policy_name_clustering!$C$10,D189=policy_name_clustering!$A$11,policy_name_clustering!$C$11,D189=policy_name_clustering!$A$12,policy_name_clustering!$C$12,D189="-","")</f>
        <v>Tender-based</v>
      </c>
      <c r="F189" s="7">
        <f t="shared" ref="F189:F192" si="8">F188</f>
        <v>354.82156718259699</v>
      </c>
      <c r="I189" s="7">
        <f t="shared" ref="I189:I192" si="9">I188</f>
        <v>391.78540569392345</v>
      </c>
      <c r="K189" s="7" t="str" cm="1">
        <f t="array" ref="K189">IF(ISNUMBER(H189),_xlfn.IFS(D189= ""," ",D189&lt;&gt; " ",F189*(G189/H189)),"")</f>
        <v/>
      </c>
    </row>
    <row r="190" spans="1:11" s="7" customFormat="1" hidden="1" x14ac:dyDescent="0.35">
      <c r="A190" t="s">
        <v>9</v>
      </c>
      <c r="B190">
        <v>2021</v>
      </c>
      <c r="C190" s="7" t="s">
        <v>132</v>
      </c>
      <c r="D190" s="9" t="s">
        <v>128</v>
      </c>
      <c r="E190" s="7" t="str" cm="1">
        <f t="array" ref="E190">_xlfn.IFS(D190=policy_name_clustering!$A$2,policy_name_clustering!$C$2,D190=policy_name_clustering!$A$3,policy_name_clustering!$C$3,D190=policy_name_clustering!$A$4,policy_name_clustering!$C$4,D190=policy_name_clustering!$A$5,policy_name_clustering!$C$5,D190=policy_name_clustering!$A$6,policy_name_clustering!$C$6,D190=policy_name_clustering!$A$7,policy_name_clustering!$C$7,D190=policy_name_clustering!$A$8,policy_name_clustering!$C$8,D190=policy_name_clustering!$A$9,policy_name_clustering!$C$9,D190=policy_name_clustering!$A$10,policy_name_clustering!$C$10,D190=policy_name_clustering!$A$11,policy_name_clustering!$C$11,D190=policy_name_clustering!$A$12,policy_name_clustering!$C$12,D190="-","")</f>
        <v>Tender-based</v>
      </c>
      <c r="F190" s="7">
        <f t="shared" si="8"/>
        <v>354.82156718259699</v>
      </c>
      <c r="I190" s="7">
        <f t="shared" si="9"/>
        <v>391.78540569392345</v>
      </c>
      <c r="K190" s="7" t="str" cm="1">
        <f t="array" ref="K190">IF(ISNUMBER(H190),_xlfn.IFS(D190= ""," ",D190&lt;&gt; " ",F190*(G190/H190)),"")</f>
        <v/>
      </c>
    </row>
    <row r="191" spans="1:11" s="7" customFormat="1" hidden="1" x14ac:dyDescent="0.35">
      <c r="A191" t="s">
        <v>9</v>
      </c>
      <c r="B191">
        <v>2022</v>
      </c>
      <c r="C191" s="7" t="s">
        <v>133</v>
      </c>
      <c r="D191" s="9" t="s">
        <v>128</v>
      </c>
      <c r="E191" s="7" t="str" cm="1">
        <f t="array" ref="E191">_xlfn.IFS(D191=policy_name_clustering!$A$2,policy_name_clustering!$C$2,D191=policy_name_clustering!$A$3,policy_name_clustering!$C$3,D191=policy_name_clustering!$A$4,policy_name_clustering!$C$4,D191=policy_name_clustering!$A$5,policy_name_clustering!$C$5,D191=policy_name_clustering!$A$6,policy_name_clustering!$C$6,D191=policy_name_clustering!$A$7,policy_name_clustering!$C$7,D191=policy_name_clustering!$A$8,policy_name_clustering!$C$8,D191=policy_name_clustering!$A$9,policy_name_clustering!$C$9,D191=policy_name_clustering!$A$10,policy_name_clustering!$C$10,D191=policy_name_clustering!$A$11,policy_name_clustering!$C$11,D191=policy_name_clustering!$A$12,policy_name_clustering!$C$12,D191="-","")</f>
        <v>Tender-based</v>
      </c>
      <c r="F191" s="7">
        <f t="shared" si="8"/>
        <v>354.82156718259699</v>
      </c>
      <c r="I191" s="7">
        <f t="shared" si="9"/>
        <v>391.78540569392345</v>
      </c>
      <c r="K191" s="7" t="str" cm="1">
        <f t="array" ref="K191">IF(ISNUMBER(H191),_xlfn.IFS(D191= ""," ",D191&lt;&gt; " ",F191*(G191/H191)),"")</f>
        <v/>
      </c>
    </row>
    <row r="192" spans="1:11" s="7" customFormat="1" hidden="1" x14ac:dyDescent="0.35">
      <c r="A192" t="s">
        <v>9</v>
      </c>
      <c r="B192">
        <v>2023</v>
      </c>
      <c r="C192" s="7" t="s">
        <v>134</v>
      </c>
      <c r="D192" s="9" t="s">
        <v>128</v>
      </c>
      <c r="E192" s="7" t="str" cm="1">
        <f t="array" ref="E192">_xlfn.IFS(D192=policy_name_clustering!$A$2,policy_name_clustering!$C$2,D192=policy_name_clustering!$A$3,policy_name_clustering!$C$3,D192=policy_name_clustering!$A$4,policy_name_clustering!$C$4,D192=policy_name_clustering!$A$5,policy_name_clustering!$C$5,D192=policy_name_clustering!$A$6,policy_name_clustering!$C$6,D192=policy_name_clustering!$A$7,policy_name_clustering!$C$7,D192=policy_name_clustering!$A$8,policy_name_clustering!$C$8,D192=policy_name_clustering!$A$9,policy_name_clustering!$C$9,D192=policy_name_clustering!$A$10,policy_name_clustering!$C$10,D192=policy_name_clustering!$A$11,policy_name_clustering!$C$11,D192=policy_name_clustering!$A$12,policy_name_clustering!$C$12,D192="-","")</f>
        <v>Tender-based</v>
      </c>
      <c r="F192" s="7">
        <f t="shared" si="8"/>
        <v>354.82156718259699</v>
      </c>
      <c r="I192" s="7">
        <f t="shared" si="9"/>
        <v>391.78540569392345</v>
      </c>
      <c r="K192" s="7" t="str" cm="1">
        <f t="array" ref="K192">IF(ISNUMBER(H192),_xlfn.IFS(D192= ""," ",D192&lt;&gt; " ",F192*(G192/H192)),"")</f>
        <v/>
      </c>
    </row>
    <row r="193" spans="1:11" s="7" customFormat="1" hidden="1" x14ac:dyDescent="0.35">
      <c r="A193" t="s">
        <v>9</v>
      </c>
      <c r="B193">
        <v>2019</v>
      </c>
      <c r="C193" s="7" t="s">
        <v>129</v>
      </c>
      <c r="D193" s="7" t="s">
        <v>128</v>
      </c>
      <c r="E193" s="7" t="str" cm="1">
        <f t="array" ref="E193">_xlfn.IFS(D193=policy_name_clustering!$A$2,policy_name_clustering!$C$2,D193=policy_name_clustering!$A$3,policy_name_clustering!$C$3,D193=policy_name_clustering!$A$4,policy_name_clustering!$C$4,D193=policy_name_clustering!$A$5,policy_name_clustering!$C$5,D193=policy_name_clustering!$A$6,policy_name_clustering!$C$6,D193=policy_name_clustering!$A$7,policy_name_clustering!$C$7,D193=policy_name_clustering!$A$8,policy_name_clustering!$C$8,D193=policy_name_clustering!$A$9,policy_name_clustering!$C$9,D193=policy_name_clustering!$A$10,policy_name_clustering!$C$10,D193=policy_name_clustering!$A$11,policy_name_clustering!$C$11,D193=policy_name_clustering!$A$12,policy_name_clustering!$C$12,D193="-","")</f>
        <v>Tender-based</v>
      </c>
      <c r="F193" s="7">
        <f>policy_contributions_cum!F31</f>
        <v>2797.4947191748602</v>
      </c>
      <c r="G193" s="7">
        <f>solar_cum_cap!C162</f>
        <v>11111.21</v>
      </c>
      <c r="H193" s="7">
        <f>estimated_capacity!C155</f>
        <v>9302.2667100382605</v>
      </c>
      <c r="I193" s="7" cm="1">
        <f t="array" ref="I193">_xlfn.IFS(D193= ""," ",D193&lt;&gt; " ",F193*(G193/H193))</f>
        <v>3341.5029118763082</v>
      </c>
      <c r="J193" s="7" cm="1">
        <f t="array" ref="J193">_xlfn.IFS(D193= ""," ",D193&lt;&gt; " ",(H193-F193)*(G193/H193)-$I$178-$I$187-$I$159)</f>
        <v>-1145.3499455804035</v>
      </c>
      <c r="K193" s="7" cm="1">
        <f t="array" ref="K193">IF(ISNUMBER(H193),_xlfn.IFS(D193= ""," ",D193&lt;&gt; " ",F193*(G193/H193)),"")</f>
        <v>3341.5029118763082</v>
      </c>
    </row>
    <row r="194" spans="1:11" s="7" customFormat="1" hidden="1" x14ac:dyDescent="0.35">
      <c r="A194" t="s">
        <v>9</v>
      </c>
      <c r="B194">
        <v>2020</v>
      </c>
      <c r="C194" s="7" t="s">
        <v>135</v>
      </c>
      <c r="D194" s="7" t="s">
        <v>128</v>
      </c>
      <c r="E194" s="7" t="str" cm="1">
        <f t="array" ref="E194">_xlfn.IFS(D194=policy_name_clustering!$A$2,policy_name_clustering!$C$2,D194=policy_name_clustering!$A$3,policy_name_clustering!$C$3,D194=policy_name_clustering!$A$4,policy_name_clustering!$C$4,D194=policy_name_clustering!$A$5,policy_name_clustering!$C$5,D194=policy_name_clustering!$A$6,policy_name_clustering!$C$6,D194=policy_name_clustering!$A$7,policy_name_clustering!$C$7,D194=policy_name_clustering!$A$8,policy_name_clustering!$C$8,D194=policy_name_clustering!$A$9,policy_name_clustering!$C$9,D194=policy_name_clustering!$A$10,policy_name_clustering!$C$10,D194=policy_name_clustering!$A$11,policy_name_clustering!$C$11,D194=policy_name_clustering!$A$12,policy_name_clustering!$C$12,D194="-","")</f>
        <v>Tender-based</v>
      </c>
      <c r="F194" s="7">
        <f>policy_contributions_cum!F32</f>
        <v>5819.10303223348</v>
      </c>
      <c r="G194" s="7">
        <f>solar_cum_cap!C163</f>
        <v>12439.601000000001</v>
      </c>
      <c r="H194" s="7">
        <f>estimated_capacity!C156</f>
        <v>12461.478434099001</v>
      </c>
      <c r="I194" s="7" cm="1">
        <f t="array" ref="I194">_xlfn.IFS(D194= ""," ",D194&lt;&gt; " ",F194*(G194/H194))</f>
        <v>5808.8869857365708</v>
      </c>
      <c r="J194" s="7" cm="1">
        <f t="array" ref="J194">_xlfn.IFS(D194= ""," ",D194&lt;&gt; " ",(H194-F194)*(G194/H194)-$I$178-$I$187-$I$159)</f>
        <v>-2284.3430194406651</v>
      </c>
      <c r="K194" s="7" cm="1">
        <f t="array" ref="K194">IF(ISNUMBER(H194),_xlfn.IFS(D194= ""," ",D194&lt;&gt; " ",F194*(G194/H194)),"")</f>
        <v>5808.8869857365708</v>
      </c>
    </row>
    <row r="195" spans="1:11" s="7" customFormat="1" hidden="1" x14ac:dyDescent="0.35">
      <c r="A195" t="s">
        <v>9</v>
      </c>
      <c r="B195">
        <v>2021</v>
      </c>
      <c r="C195" s="7" t="s">
        <v>132</v>
      </c>
      <c r="D195" s="7" t="s">
        <v>128</v>
      </c>
      <c r="E195" s="7" t="str" cm="1">
        <f t="array" ref="E195">_xlfn.IFS(D195=policy_name_clustering!$A$2,policy_name_clustering!$C$2,D195=policy_name_clustering!$A$3,policy_name_clustering!$C$3,D195=policy_name_clustering!$A$4,policy_name_clustering!$C$4,D195=policy_name_clustering!$A$5,policy_name_clustering!$C$5,D195=policy_name_clustering!$A$6,policy_name_clustering!$C$6,D195=policy_name_clustering!$A$7,policy_name_clustering!$C$7,D195=policy_name_clustering!$A$8,policy_name_clustering!$C$8,D195=policy_name_clustering!$A$9,policy_name_clustering!$C$9,D195=policy_name_clustering!$A$10,policy_name_clustering!$C$10,D195=policy_name_clustering!$A$11,policy_name_clustering!$C$11,D195=policy_name_clustering!$A$12,policy_name_clustering!$C$12,D195="-","")</f>
        <v>Tender-based</v>
      </c>
      <c r="F195" s="7">
        <f>policy_contributions_cum!F33</f>
        <v>9333.97051805511</v>
      </c>
      <c r="G195" s="7">
        <f>solar_cum_cap!C164</f>
        <v>16019.208000000001</v>
      </c>
      <c r="H195" s="7">
        <f>estimated_capacity!C157</f>
        <v>16188.089887214101</v>
      </c>
      <c r="I195" s="7" cm="1">
        <f t="array" ref="I195">_xlfn.IFS(D195= ""," ",D195&lt;&gt; " ",F195*(G195/H195))</f>
        <v>9236.5940785077255</v>
      </c>
      <c r="J195" s="7" cm="1">
        <f t="array" ref="J195">_xlfn.IFS(D195= ""," ",D195&lt;&gt; " ",(H195-F195)*(G195/H195)-$I$178-$I$187-$I$159)</f>
        <v>-2132.4431122118199</v>
      </c>
      <c r="K195" s="7" cm="1">
        <f t="array" ref="K195">IF(ISNUMBER(H195),_xlfn.IFS(D195= ""," ",D195&lt;&gt; " ",F195*(G195/H195)),"")</f>
        <v>9236.5940785077255</v>
      </c>
    </row>
    <row r="196" spans="1:11" s="7" customFormat="1" hidden="1" x14ac:dyDescent="0.35">
      <c r="A196" t="s">
        <v>9</v>
      </c>
      <c r="B196">
        <v>2022</v>
      </c>
      <c r="C196" s="7" t="s">
        <v>133</v>
      </c>
      <c r="D196" s="7" t="s">
        <v>128</v>
      </c>
      <c r="E196" s="7" t="str" cm="1">
        <f t="array" ref="E196">_xlfn.IFS(D196=policy_name_clustering!$A$2,policy_name_clustering!$C$2,D196=policy_name_clustering!$A$3,policy_name_clustering!$C$3,D196=policy_name_clustering!$A$4,policy_name_clustering!$C$4,D196=policy_name_clustering!$A$5,policy_name_clustering!$C$5,D196=policy_name_clustering!$A$6,policy_name_clustering!$C$6,D196=policy_name_clustering!$A$7,policy_name_clustering!$C$7,D196=policy_name_clustering!$A$8,policy_name_clustering!$C$8,D196=policy_name_clustering!$A$9,policy_name_clustering!$C$9,D196=policy_name_clustering!$A$10,policy_name_clustering!$C$10,D196=policy_name_clustering!$A$11,policy_name_clustering!$C$11,D196=policy_name_clustering!$A$12,policy_name_clustering!$C$12,D196="-","")</f>
        <v>Tender-based</v>
      </c>
      <c r="F196" s="7">
        <f>policy_contributions_cum!F34</f>
        <v>14638.820216198001</v>
      </c>
      <c r="G196" s="7">
        <f>solar_cum_cap!C165</f>
        <v>26201.328000000001</v>
      </c>
      <c r="H196" s="7">
        <f>estimated_capacity!C158</f>
        <v>21973.731315572801</v>
      </c>
      <c r="I196" s="7" cm="1">
        <f t="array" ref="I196">_xlfn.IFS(D196= ""," ",D196&lt;&gt; " ",F196*(G196/H196))</f>
        <v>17455.229815511939</v>
      </c>
      <c r="J196" s="7" cm="1">
        <f t="array" ref="J196">_xlfn.IFS(D196= ""," ",D196&lt;&gt; " ",(H196-F196)*(G196/H196)-$I$178-$I$187-$I$159)</f>
        <v>-168.95884921603283</v>
      </c>
      <c r="K196" s="7" cm="1">
        <f t="array" ref="K196">IF(ISNUMBER(H196),_xlfn.IFS(D196= ""," ",D196&lt;&gt; " ",F196*(G196/H196)),"")</f>
        <v>17455.229815511939</v>
      </c>
    </row>
    <row r="197" spans="1:11" s="7" customFormat="1" hidden="1" x14ac:dyDescent="0.35">
      <c r="A197" t="s">
        <v>9</v>
      </c>
      <c r="B197">
        <v>2023</v>
      </c>
      <c r="C197" s="7" t="s">
        <v>136</v>
      </c>
      <c r="D197" s="7" t="s">
        <v>128</v>
      </c>
      <c r="E197" s="7" t="str" cm="1">
        <f t="array" ref="E197">_xlfn.IFS(D197=policy_name_clustering!$A$2,policy_name_clustering!$C$2,D197=policy_name_clustering!$A$3,policy_name_clustering!$C$3,D197=policy_name_clustering!$A$4,policy_name_clustering!$C$4,D197=policy_name_clustering!$A$5,policy_name_clustering!$C$5,D197=policy_name_clustering!$A$6,policy_name_clustering!$C$6,D197=policy_name_clustering!$A$7,policy_name_clustering!$C$7,D197=policy_name_clustering!$A$8,policy_name_clustering!$C$8,D197=policy_name_clustering!$A$9,policy_name_clustering!$C$9,D197=policy_name_clustering!$A$10,policy_name_clustering!$C$10,D197=policy_name_clustering!$A$11,policy_name_clustering!$C$11,D197=policy_name_clustering!$A$12,policy_name_clustering!$C$12,D197="-","")</f>
        <v>Tender-based</v>
      </c>
      <c r="F197" s="7">
        <f>policy_contributions_cum!F35</f>
        <v>21559.265567368398</v>
      </c>
      <c r="G197" s="7">
        <f>solar_cum_cap!C166</f>
        <v>31883.618999999999</v>
      </c>
      <c r="H197" s="7">
        <f>estimated_capacity!C159</f>
        <v>29617.804550995999</v>
      </c>
      <c r="I197" s="7" cm="1">
        <f t="array" ref="I197">_xlfn.IFS(D197= ""," ",D197&lt;&gt; " ",F197*(G197/H197))</f>
        <v>23208.587526676656</v>
      </c>
      <c r="J197" s="7" cm="1">
        <f t="array" ref="J197">_xlfn.IFS(D197= ""," ",D197&lt;&gt; " ",(H197-F197)*(G197/H197)-$I$178-$I$187-$I$159)</f>
        <v>-240.02556038074908</v>
      </c>
      <c r="K197" s="7" cm="1">
        <f t="array" ref="K197">IF(ISNUMBER(H197),_xlfn.IFS(D197= ""," ",D197&lt;&gt; " ",F197*(G197/H197)),"")</f>
        <v>23208.587526676656</v>
      </c>
    </row>
    <row r="198" spans="1:11" s="7" customFormat="1" hidden="1" x14ac:dyDescent="0.35">
      <c r="A198" s="7" t="s">
        <v>34</v>
      </c>
      <c r="B198" s="7">
        <v>2001</v>
      </c>
      <c r="D198" s="6" t="s">
        <v>73</v>
      </c>
      <c r="E198" s="7" t="str" cm="1">
        <f t="array" ref="E198">_xlfn.IFS(D198=policy_name_clustering!$A$2,policy_name_clustering!$C$2,D198=policy_name_clustering!$A$3,policy_name_clustering!$C$3,D198=policy_name_clustering!$A$4,policy_name_clustering!$C$4,D198=policy_name_clustering!$A$5,policy_name_clustering!$C$5,D198=policy_name_clustering!$A$6,policy_name_clustering!$C$6,D198=policy_name_clustering!$A$7,policy_name_clustering!$C$7,D198=policy_name_clustering!$A$8,policy_name_clustering!$C$8,D198=policy_name_clustering!$A$9,policy_name_clustering!$C$9,D198=policy_name_clustering!$A$10,policy_name_clustering!$C$10,D198=policy_name_clustering!$A$11,policy_name_clustering!$C$11,D198=policy_name_clustering!$A$12,policy_name_clustering!$C$12,D198="-","")</f>
        <v/>
      </c>
      <c r="G198" s="7">
        <f>solar_cum_cap!C168</f>
        <v>0</v>
      </c>
      <c r="H198" s="7">
        <f>estimated_capacity!C160</f>
        <v>-5.1107038072414097</v>
      </c>
      <c r="I198" s="7" cm="1">
        <f t="array" ref="I198">_xlfn.IFS(D198= ""," ",D198&lt;&gt; " ",F198*(G198/H198))</f>
        <v>0</v>
      </c>
      <c r="J198" s="7" cm="1">
        <f t="array" ref="J198">_xlfn.IFS(D198= ""," ",D198&lt;&gt; " ",(H198-F198)*(G198/H198))</f>
        <v>0</v>
      </c>
      <c r="K198" s="7" cm="1">
        <f t="array" ref="K198">IF(ISNUMBER(H198),_xlfn.IFS(D198= ""," ",D198&lt;&gt; " ",F198*(G198/H198)),"")</f>
        <v>0</v>
      </c>
    </row>
    <row r="199" spans="1:11" s="7" customFormat="1" hidden="1" x14ac:dyDescent="0.35">
      <c r="A199" s="7" t="s">
        <v>34</v>
      </c>
      <c r="B199" s="7">
        <v>2002</v>
      </c>
      <c r="D199" s="6" t="s">
        <v>73</v>
      </c>
      <c r="E199" s="7" t="str" cm="1">
        <f t="array" ref="E199">_xlfn.IFS(D199=policy_name_clustering!$A$2,policy_name_clustering!$C$2,D199=policy_name_clustering!$A$3,policy_name_clustering!$C$3,D199=policy_name_clustering!$A$4,policy_name_clustering!$C$4,D199=policy_name_clustering!$A$5,policy_name_clustering!$C$5,D199=policy_name_clustering!$A$6,policy_name_clustering!$C$6,D199=policy_name_clustering!$A$7,policy_name_clustering!$C$7,D199=policy_name_clustering!$A$8,policy_name_clustering!$C$8,D199=policy_name_clustering!$A$9,policy_name_clustering!$C$9,D199=policy_name_clustering!$A$10,policy_name_clustering!$C$10,D199=policy_name_clustering!$A$11,policy_name_clustering!$C$11,D199=policy_name_clustering!$A$12,policy_name_clustering!$C$12,D199="-","")</f>
        <v/>
      </c>
      <c r="G199" s="7">
        <f>solar_cum_cap!C169</f>
        <v>0</v>
      </c>
      <c r="H199" s="7">
        <f>estimated_capacity!C161</f>
        <v>-29.995745847588999</v>
      </c>
      <c r="I199" s="7" cm="1">
        <f t="array" ref="I199">_xlfn.IFS(D199= ""," ",D199&lt;&gt; " ",F199*(G199/H199))</f>
        <v>0</v>
      </c>
      <c r="J199" s="7" cm="1">
        <f t="array" ref="J199">_xlfn.IFS(D199= ""," ",D199&lt;&gt; " ",(H199-F199)*(G199/H199))</f>
        <v>0</v>
      </c>
      <c r="K199" s="7" cm="1">
        <f t="array" ref="K199">IF(ISNUMBER(H199),_xlfn.IFS(D199= ""," ",D199&lt;&gt; " ",F199*(G199/H199)),"")</f>
        <v>0</v>
      </c>
    </row>
    <row r="200" spans="1:11" s="7" customFormat="1" hidden="1" x14ac:dyDescent="0.35">
      <c r="A200" s="7" t="s">
        <v>34</v>
      </c>
      <c r="B200" s="7">
        <v>2003</v>
      </c>
      <c r="D200" s="6" t="s">
        <v>73</v>
      </c>
      <c r="E200" s="7" t="str" cm="1">
        <f t="array" ref="E200">_xlfn.IFS(D200=policy_name_clustering!$A$2,policy_name_clustering!$C$2,D200=policy_name_clustering!$A$3,policy_name_clustering!$C$3,D200=policy_name_clustering!$A$4,policy_name_clustering!$C$4,D200=policy_name_clustering!$A$5,policy_name_clustering!$C$5,D200=policy_name_clustering!$A$6,policy_name_clustering!$C$6,D200=policy_name_clustering!$A$7,policy_name_clustering!$C$7,D200=policy_name_clustering!$A$8,policy_name_clustering!$C$8,D200=policy_name_clustering!$A$9,policy_name_clustering!$C$9,D200=policy_name_clustering!$A$10,policy_name_clustering!$C$10,D200=policy_name_clustering!$A$11,policy_name_clustering!$C$11,D200=policy_name_clustering!$A$12,policy_name_clustering!$C$12,D200="-","")</f>
        <v/>
      </c>
      <c r="G200" s="7">
        <f>solar_cum_cap!C170</f>
        <v>0</v>
      </c>
      <c r="H200" s="7">
        <f>estimated_capacity!C162</f>
        <v>-62.820071471269202</v>
      </c>
      <c r="I200" s="7" cm="1">
        <f t="array" ref="I200">_xlfn.IFS(D200= ""," ",D200&lt;&gt; " ",F200*(G200/H200))</f>
        <v>0</v>
      </c>
      <c r="J200" s="7" cm="1">
        <f t="array" ref="J200">_xlfn.IFS(D200= ""," ",D200&lt;&gt; " ",(H200-F200)*(G200/H200))</f>
        <v>0</v>
      </c>
      <c r="K200" s="7" cm="1">
        <f t="array" ref="K200">IF(ISNUMBER(H200),_xlfn.IFS(D200= ""," ",D200&lt;&gt; " ",F200*(G200/H200)),"")</f>
        <v>0</v>
      </c>
    </row>
    <row r="201" spans="1:11" s="7" customFormat="1" hidden="1" x14ac:dyDescent="0.35">
      <c r="A201" s="7" t="s">
        <v>34</v>
      </c>
      <c r="B201" s="7">
        <v>2004</v>
      </c>
      <c r="D201" s="6" t="s">
        <v>73</v>
      </c>
      <c r="E201" s="7" t="str" cm="1">
        <f t="array" ref="E201">_xlfn.IFS(D201=policy_name_clustering!$A$2,policy_name_clustering!$C$2,D201=policy_name_clustering!$A$3,policy_name_clustering!$C$3,D201=policy_name_clustering!$A$4,policy_name_clustering!$C$4,D201=policy_name_clustering!$A$5,policy_name_clustering!$C$5,D201=policy_name_clustering!$A$6,policy_name_clustering!$C$6,D201=policy_name_clustering!$A$7,policy_name_clustering!$C$7,D201=policy_name_clustering!$A$8,policy_name_clustering!$C$8,D201=policy_name_clustering!$A$9,policy_name_clustering!$C$9,D201=policy_name_clustering!$A$10,policy_name_clustering!$C$10,D201=policy_name_clustering!$A$11,policy_name_clustering!$C$11,D201=policy_name_clustering!$A$12,policy_name_clustering!$C$12,D201="-","")</f>
        <v/>
      </c>
      <c r="G201" s="7">
        <f>solar_cum_cap!C171</f>
        <v>0</v>
      </c>
      <c r="H201" s="7">
        <f>estimated_capacity!C163</f>
        <v>-88.824680280018598</v>
      </c>
      <c r="I201" s="7" cm="1">
        <f t="array" ref="I201">_xlfn.IFS(D201= ""," ",D201&lt;&gt; " ",F201*(G201/H201))</f>
        <v>0</v>
      </c>
      <c r="J201" s="7" cm="1">
        <f t="array" ref="J201">_xlfn.IFS(D201= ""," ",D201&lt;&gt; " ",(H201-F201)*(G201/H201))</f>
        <v>0</v>
      </c>
      <c r="K201" s="7" cm="1">
        <f t="array" ref="K201">IF(ISNUMBER(H201),_xlfn.IFS(D201= ""," ",D201&lt;&gt; " ",F201*(G201/H201)),"")</f>
        <v>0</v>
      </c>
    </row>
    <row r="202" spans="1:11" s="7" customFormat="1" hidden="1" x14ac:dyDescent="0.35">
      <c r="A202" s="7" t="s">
        <v>34</v>
      </c>
      <c r="B202" s="7">
        <v>2005</v>
      </c>
      <c r="D202" s="6" t="s">
        <v>73</v>
      </c>
      <c r="E202" s="7" t="str" cm="1">
        <f t="array" ref="E202">_xlfn.IFS(D202=policy_name_clustering!$A$2,policy_name_clustering!$C$2,D202=policy_name_clustering!$A$3,policy_name_clustering!$C$3,D202=policy_name_clustering!$A$4,policy_name_clustering!$C$4,D202=policy_name_clustering!$A$5,policy_name_clustering!$C$5,D202=policy_name_clustering!$A$6,policy_name_clustering!$C$6,D202=policy_name_clustering!$A$7,policy_name_clustering!$C$7,D202=policy_name_clustering!$A$8,policy_name_clustering!$C$8,D202=policy_name_clustering!$A$9,policy_name_clustering!$C$9,D202=policy_name_clustering!$A$10,policy_name_clustering!$C$10,D202=policy_name_clustering!$A$11,policy_name_clustering!$C$11,D202=policy_name_clustering!$A$12,policy_name_clustering!$C$12,D202="-","")</f>
        <v/>
      </c>
      <c r="G202" s="7">
        <f>solar_cum_cap!C172</f>
        <v>0</v>
      </c>
      <c r="H202" s="7">
        <f>estimated_capacity!C164</f>
        <v>-101.446092768954</v>
      </c>
      <c r="I202" s="7" cm="1">
        <f t="array" ref="I202">_xlfn.IFS(D202= ""," ",D202&lt;&gt; " ",F202*(G202/H202))</f>
        <v>0</v>
      </c>
      <c r="J202" s="7" cm="1">
        <f t="array" ref="J202">_xlfn.IFS(D202= ""," ",D202&lt;&gt; " ",(H202-F202)*(G202/H202))</f>
        <v>0</v>
      </c>
      <c r="K202" s="7" cm="1">
        <f t="array" ref="K202">IF(ISNUMBER(H202),_xlfn.IFS(D202= ""," ",D202&lt;&gt; " ",F202*(G202/H202)),"")</f>
        <v>0</v>
      </c>
    </row>
    <row r="203" spans="1:11" s="7" customFormat="1" hidden="1" x14ac:dyDescent="0.35">
      <c r="A203" s="7" t="s">
        <v>34</v>
      </c>
      <c r="B203" s="7">
        <v>2006</v>
      </c>
      <c r="D203" s="6" t="s">
        <v>73</v>
      </c>
      <c r="E203" s="7" t="str" cm="1">
        <f t="array" ref="E203">_xlfn.IFS(D203=policy_name_clustering!$A$2,policy_name_clustering!$C$2,D203=policy_name_clustering!$A$3,policy_name_clustering!$C$3,D203=policy_name_clustering!$A$4,policy_name_clustering!$C$4,D203=policy_name_clustering!$A$5,policy_name_clustering!$C$5,D203=policy_name_clustering!$A$6,policy_name_clustering!$C$6,D203=policy_name_clustering!$A$7,policy_name_clustering!$C$7,D203=policy_name_clustering!$A$8,policy_name_clustering!$C$8,D203=policy_name_clustering!$A$9,policy_name_clustering!$C$9,D203=policy_name_clustering!$A$10,policy_name_clustering!$C$10,D203=policy_name_clustering!$A$11,policy_name_clustering!$C$11,D203=policy_name_clustering!$A$12,policy_name_clustering!$C$12,D203="-","")</f>
        <v/>
      </c>
      <c r="G203" s="7">
        <f>solar_cum_cap!C173</f>
        <v>0</v>
      </c>
      <c r="H203" s="7">
        <f>estimated_capacity!C165</f>
        <v>-101.055300646682</v>
      </c>
      <c r="I203" s="7" cm="1">
        <f t="array" ref="I203">_xlfn.IFS(D203= ""," ",D203&lt;&gt; " ",F203*(G203/H203))</f>
        <v>0</v>
      </c>
      <c r="J203" s="7" cm="1">
        <f t="array" ref="J203">_xlfn.IFS(D203= ""," ",D203&lt;&gt; " ",(H203-F203)*(G203/H203))</f>
        <v>0</v>
      </c>
      <c r="K203" s="7" cm="1">
        <f t="array" ref="K203">IF(ISNUMBER(H203),_xlfn.IFS(D203= ""," ",D203&lt;&gt; " ",F203*(G203/H203)),"")</f>
        <v>0</v>
      </c>
    </row>
    <row r="204" spans="1:11" s="7" customFormat="1" hidden="1" x14ac:dyDescent="0.35">
      <c r="A204" s="7" t="s">
        <v>34</v>
      </c>
      <c r="B204" s="7">
        <v>2007</v>
      </c>
      <c r="D204" s="6" t="s">
        <v>73</v>
      </c>
      <c r="E204" s="7" t="str" cm="1">
        <f t="array" ref="E204">_xlfn.IFS(D204=policy_name_clustering!$A$2,policy_name_clustering!$C$2,D204=policy_name_clustering!$A$3,policy_name_clustering!$C$3,D204=policy_name_clustering!$A$4,policy_name_clustering!$C$4,D204=policy_name_clustering!$A$5,policy_name_clustering!$C$5,D204=policy_name_clustering!$A$6,policy_name_clustering!$C$6,D204=policy_name_clustering!$A$7,policy_name_clustering!$C$7,D204=policy_name_clustering!$A$8,policy_name_clustering!$C$8,D204=policy_name_clustering!$A$9,policy_name_clustering!$C$9,D204=policy_name_clustering!$A$10,policy_name_clustering!$C$10,D204=policy_name_clustering!$A$11,policy_name_clustering!$C$11,D204=policy_name_clustering!$A$12,policy_name_clustering!$C$12,D204="-","")</f>
        <v/>
      </c>
      <c r="G204" s="7">
        <f>solar_cum_cap!C174</f>
        <v>0</v>
      </c>
      <c r="H204" s="7">
        <f>estimated_capacity!C166</f>
        <v>-87.5338856786653</v>
      </c>
      <c r="I204" s="7" cm="1">
        <f t="array" ref="I204">_xlfn.IFS(D204= ""," ",D204&lt;&gt; " ",F204*(G204/H204))</f>
        <v>0</v>
      </c>
      <c r="J204" s="7" cm="1">
        <f t="array" ref="J204">_xlfn.IFS(D204= ""," ",D204&lt;&gt; " ",(H204-F204)*(G204/H204))</f>
        <v>0</v>
      </c>
      <c r="K204" s="7" cm="1">
        <f t="array" ref="K204">IF(ISNUMBER(H204),_xlfn.IFS(D204= ""," ",D204&lt;&gt; " ",F204*(G204/H204)),"")</f>
        <v>0</v>
      </c>
    </row>
    <row r="205" spans="1:11" s="7" customFormat="1" hidden="1" x14ac:dyDescent="0.35">
      <c r="A205" s="7" t="s">
        <v>34</v>
      </c>
      <c r="B205" s="7">
        <v>2008</v>
      </c>
      <c r="D205" s="6" t="s">
        <v>73</v>
      </c>
      <c r="E205" s="7" t="str" cm="1">
        <f t="array" ref="E205">_xlfn.IFS(D205=policy_name_clustering!$A$2,policy_name_clustering!$C$2,D205=policy_name_clustering!$A$3,policy_name_clustering!$C$3,D205=policy_name_clustering!$A$4,policy_name_clustering!$C$4,D205=policy_name_clustering!$A$5,policy_name_clustering!$C$5,D205=policy_name_clustering!$A$6,policy_name_clustering!$C$6,D205=policy_name_clustering!$A$7,policy_name_clustering!$C$7,D205=policy_name_clustering!$A$8,policy_name_clustering!$C$8,D205=policy_name_clustering!$A$9,policy_name_clustering!$C$9,D205=policy_name_clustering!$A$10,policy_name_clustering!$C$10,D205=policy_name_clustering!$A$11,policy_name_clustering!$C$11,D205=policy_name_clustering!$A$12,policy_name_clustering!$C$12,D205="-","")</f>
        <v/>
      </c>
      <c r="G205" s="7">
        <f>solar_cum_cap!C175</f>
        <v>0</v>
      </c>
      <c r="H205" s="7">
        <f>estimated_capacity!C167</f>
        <v>-34.472413618423097</v>
      </c>
      <c r="I205" s="7" cm="1">
        <f t="array" ref="I205">_xlfn.IFS(D205= ""," ",D205&lt;&gt; " ",F205*(G205/H205))</f>
        <v>0</v>
      </c>
      <c r="J205" s="7" cm="1">
        <f t="array" ref="J205">_xlfn.IFS(D205= ""," ",D205&lt;&gt; " ",(H205-F205)*(G205/H205))</f>
        <v>0</v>
      </c>
      <c r="K205" s="7" cm="1">
        <f t="array" ref="K205">IF(ISNUMBER(H205),_xlfn.IFS(D205= ""," ",D205&lt;&gt; " ",F205*(G205/H205)),"")</f>
        <v>0</v>
      </c>
    </row>
    <row r="206" spans="1:11" s="7" customFormat="1" hidden="1" x14ac:dyDescent="0.35">
      <c r="A206" s="7" t="s">
        <v>34</v>
      </c>
      <c r="B206" s="7">
        <v>2009</v>
      </c>
      <c r="D206" s="6" t="s">
        <v>73</v>
      </c>
      <c r="E206" s="7" t="str" cm="1">
        <f t="array" ref="E206">_xlfn.IFS(D206=policy_name_clustering!$A$2,policy_name_clustering!$C$2,D206=policy_name_clustering!$A$3,policy_name_clustering!$C$3,D206=policy_name_clustering!$A$4,policy_name_clustering!$C$4,D206=policy_name_clustering!$A$5,policy_name_clustering!$C$5,D206=policy_name_clustering!$A$6,policy_name_clustering!$C$6,D206=policy_name_clustering!$A$7,policy_name_clustering!$C$7,D206=policy_name_clustering!$A$8,policy_name_clustering!$C$8,D206=policy_name_clustering!$A$9,policy_name_clustering!$C$9,D206=policy_name_clustering!$A$10,policy_name_clustering!$C$10,D206=policy_name_clustering!$A$11,policy_name_clustering!$C$11,D206=policy_name_clustering!$A$12,policy_name_clustering!$C$12,D206="-","")</f>
        <v/>
      </c>
      <c r="G206" s="7">
        <f>solar_cum_cap!C176</f>
        <v>0</v>
      </c>
      <c r="H206" s="7">
        <f>estimated_capacity!C168</f>
        <v>23.2936795644436</v>
      </c>
      <c r="I206" s="7" cm="1">
        <f t="array" ref="I206">_xlfn.IFS(D206= ""," ",D206&lt;&gt; " ",F206*(G206/H206))</f>
        <v>0</v>
      </c>
      <c r="J206" s="7" cm="1">
        <f t="array" ref="J206">_xlfn.IFS(D206= ""," ",D206&lt;&gt; " ",(H206-F206)*(G206/H206))</f>
        <v>0</v>
      </c>
      <c r="K206" s="7" cm="1">
        <f t="array" ref="K206">IF(ISNUMBER(H206),_xlfn.IFS(D206= ""," ",D206&lt;&gt; " ",F206*(G206/H206)),"")</f>
        <v>0</v>
      </c>
    </row>
    <row r="207" spans="1:11" s="7" customFormat="1" hidden="1" x14ac:dyDescent="0.35">
      <c r="A207" s="7" t="s">
        <v>34</v>
      </c>
      <c r="B207" s="7">
        <v>2010</v>
      </c>
      <c r="D207" s="6" t="s">
        <v>73</v>
      </c>
      <c r="E207" s="7" t="str" cm="1">
        <f t="array" ref="E207">_xlfn.IFS(D207=policy_name_clustering!$A$2,policy_name_clustering!$C$2,D207=policy_name_clustering!$A$3,policy_name_clustering!$C$3,D207=policy_name_clustering!$A$4,policy_name_clustering!$C$4,D207=policy_name_clustering!$A$5,policy_name_clustering!$C$5,D207=policy_name_clustering!$A$6,policy_name_clustering!$C$6,D207=policy_name_clustering!$A$7,policy_name_clustering!$C$7,D207=policy_name_clustering!$A$8,policy_name_clustering!$C$8,D207=policy_name_clustering!$A$9,policy_name_clustering!$C$9,D207=policy_name_clustering!$A$10,policy_name_clustering!$C$10,D207=policy_name_clustering!$A$11,policy_name_clustering!$C$11,D207=policy_name_clustering!$A$12,policy_name_clustering!$C$12,D207="-","")</f>
        <v/>
      </c>
      <c r="G207" s="7">
        <f>solar_cum_cap!C177</f>
        <v>0</v>
      </c>
      <c r="H207" s="7">
        <f>estimated_capacity!C169</f>
        <v>106.14736597208901</v>
      </c>
      <c r="I207" s="7" cm="1">
        <f t="array" ref="I207">_xlfn.IFS(D207= ""," ",D207&lt;&gt; " ",F207*(G207/H207))</f>
        <v>0</v>
      </c>
      <c r="J207" s="7" cm="1">
        <f t="array" ref="J207">_xlfn.IFS(D207= ""," ",D207&lt;&gt; " ",(H207-F207)*(G207/H207))</f>
        <v>0</v>
      </c>
      <c r="K207" s="7" cm="1">
        <f t="array" ref="K207">IF(ISNUMBER(H207),_xlfn.IFS(D207= ""," ",D207&lt;&gt; " ",F207*(G207/H207)),"")</f>
        <v>0</v>
      </c>
    </row>
    <row r="208" spans="1:11" s="7" customFormat="1" hidden="1" x14ac:dyDescent="0.35">
      <c r="A208" s="7" t="s">
        <v>34</v>
      </c>
      <c r="B208" s="7">
        <v>2020</v>
      </c>
      <c r="D208" s="6" t="s">
        <v>73</v>
      </c>
      <c r="E208" s="7" t="str" cm="1">
        <f t="array" ref="E208">_xlfn.IFS(D208=policy_name_clustering!$A$2,policy_name_clustering!$C$2,D208=policy_name_clustering!$A$3,policy_name_clustering!$C$3,D208=policy_name_clustering!$A$4,policy_name_clustering!$C$4,D208=policy_name_clustering!$A$5,policy_name_clustering!$C$5,D208=policy_name_clustering!$A$6,policy_name_clustering!$C$6,D208=policy_name_clustering!$A$7,policy_name_clustering!$C$7,D208=policy_name_clustering!$A$8,policy_name_clustering!$C$8,D208=policy_name_clustering!$A$9,policy_name_clustering!$C$9,D208=policy_name_clustering!$A$10,policy_name_clustering!$C$10,D208=policy_name_clustering!$A$11,policy_name_clustering!$C$11,D208=policy_name_clustering!$A$12,policy_name_clustering!$C$12,D208="-","")</f>
        <v/>
      </c>
      <c r="G208" s="7">
        <f>solar_cum_cap!C178</f>
        <v>207.67</v>
      </c>
      <c r="H208" s="7">
        <f>estimated_capacity!C170</f>
        <v>240.07617432784301</v>
      </c>
      <c r="I208" s="7" cm="1">
        <f t="array" ref="I208">_xlfn.IFS(D208= ""," ",D208&lt;&gt; " ",F208*(G208/H208))</f>
        <v>0</v>
      </c>
      <c r="J208" s="7" cm="1">
        <f t="array" ref="J208">_xlfn.IFS(D208= ""," ",D208&lt;&gt; " ",(H208-F208)*(G208/H208))</f>
        <v>207.67</v>
      </c>
      <c r="K208" s="7" cm="1">
        <f t="array" ref="K208">IF(ISNUMBER(H208),_xlfn.IFS(D208= ""," ",D208&lt;&gt; " ",F208*(G208/H208)),"")</f>
        <v>0</v>
      </c>
    </row>
    <row r="209" spans="1:11" s="7" customFormat="1" hidden="1" x14ac:dyDescent="0.35">
      <c r="A209" s="7" t="s">
        <v>34</v>
      </c>
      <c r="B209" s="7">
        <v>2021</v>
      </c>
      <c r="D209" s="6" t="s">
        <v>73</v>
      </c>
      <c r="E209" s="7" t="str" cm="1">
        <f t="array" ref="E209">_xlfn.IFS(D209=policy_name_clustering!$A$2,policy_name_clustering!$C$2,D209=policy_name_clustering!$A$3,policy_name_clustering!$C$3,D209=policy_name_clustering!$A$4,policy_name_clustering!$C$4,D209=policy_name_clustering!$A$5,policy_name_clustering!$C$5,D209=policy_name_clustering!$A$6,policy_name_clustering!$C$6,D209=policy_name_clustering!$A$7,policy_name_clustering!$C$7,D209=policy_name_clustering!$A$8,policy_name_clustering!$C$8,D209=policy_name_clustering!$A$9,policy_name_clustering!$C$9,D209=policy_name_clustering!$A$10,policy_name_clustering!$C$10,D209=policy_name_clustering!$A$11,policy_name_clustering!$C$11,D209=policy_name_clustering!$A$12,policy_name_clustering!$C$12,D209="-","")</f>
        <v/>
      </c>
      <c r="G209" s="7">
        <f>solar_cum_cap!C179</f>
        <v>394.77</v>
      </c>
      <c r="H209" s="7">
        <f>estimated_capacity!C171</f>
        <v>397.10393105341302</v>
      </c>
      <c r="I209" s="7" cm="1">
        <f t="array" ref="I209">_xlfn.IFS(D209= ""," ",D209&lt;&gt; " ",F209*(G209/H209))</f>
        <v>0</v>
      </c>
      <c r="J209" s="7" cm="1">
        <f t="array" ref="J209">_xlfn.IFS(D209= ""," ",D209&lt;&gt; " ",(H209-F209)*(G209/H209))</f>
        <v>394.77</v>
      </c>
      <c r="K209" s="7" cm="1">
        <f t="array" ref="K209">IF(ISNUMBER(H209),_xlfn.IFS(D209= ""," ",D209&lt;&gt; " ",F209*(G209/H209)),"")</f>
        <v>0</v>
      </c>
    </row>
    <row r="210" spans="1:11" s="7" customFormat="1" hidden="1" x14ac:dyDescent="0.35">
      <c r="A210" s="7" t="s">
        <v>34</v>
      </c>
      <c r="B210" s="7">
        <v>2022</v>
      </c>
      <c r="D210" s="6" t="s">
        <v>73</v>
      </c>
      <c r="E210" s="7" t="str" cm="1">
        <f t="array" ref="E210">_xlfn.IFS(D210=policy_name_clustering!$A$2,policy_name_clustering!$C$2,D210=policy_name_clustering!$A$3,policy_name_clustering!$C$3,D210=policy_name_clustering!$A$4,policy_name_clustering!$C$4,D210=policy_name_clustering!$A$5,policy_name_clustering!$C$5,D210=policy_name_clustering!$A$6,policy_name_clustering!$C$6,D210=policy_name_clustering!$A$7,policy_name_clustering!$C$7,D210=policy_name_clustering!$A$8,policy_name_clustering!$C$8,D210=policy_name_clustering!$A$9,policy_name_clustering!$C$9,D210=policy_name_clustering!$A$10,policy_name_clustering!$C$10,D210=policy_name_clustering!$A$11,policy_name_clustering!$C$11,D210=policy_name_clustering!$A$12,policy_name_clustering!$C$12,D210="-","")</f>
        <v/>
      </c>
      <c r="G210" s="7">
        <f>solar_cum_cap!C180</f>
        <v>520</v>
      </c>
      <c r="H210" s="7">
        <f>estimated_capacity!C172</f>
        <v>726.031996141798</v>
      </c>
      <c r="I210" s="7" cm="1">
        <f t="array" ref="I210">_xlfn.IFS(D210= ""," ",D210&lt;&gt; " ",F210*(G210/H210))</f>
        <v>0</v>
      </c>
      <c r="J210" s="7" cm="1">
        <f t="array" ref="J210">_xlfn.IFS(D210= ""," ",D210&lt;&gt; " ",(H210-F210)*(G210/H210))</f>
        <v>520</v>
      </c>
      <c r="K210" s="7" cm="1">
        <f t="array" ref="K210">IF(ISNUMBER(H210),_xlfn.IFS(D210= ""," ",D210&lt;&gt; " ",F210*(G210/H210)),"")</f>
        <v>0</v>
      </c>
    </row>
    <row r="211" spans="1:11" s="7" customFormat="1" hidden="1" x14ac:dyDescent="0.35">
      <c r="A211" s="7" t="s">
        <v>34</v>
      </c>
      <c r="B211" s="7">
        <v>2023</v>
      </c>
      <c r="D211" s="6" t="s">
        <v>73</v>
      </c>
      <c r="E211" s="7" t="str" cm="1">
        <f t="array" ref="E211">_xlfn.IFS(D211=policy_name_clustering!$A$2,policy_name_clustering!$C$2,D211=policy_name_clustering!$A$3,policy_name_clustering!$C$3,D211=policy_name_clustering!$A$4,policy_name_clustering!$C$4,D211=policy_name_clustering!$A$5,policy_name_clustering!$C$5,D211=policy_name_clustering!$A$6,policy_name_clustering!$C$6,D211=policy_name_clustering!$A$7,policy_name_clustering!$C$7,D211=policy_name_clustering!$A$8,policy_name_clustering!$C$8,D211=policy_name_clustering!$A$9,policy_name_clustering!$C$9,D211=policy_name_clustering!$A$10,policy_name_clustering!$C$10,D211=policy_name_clustering!$A$11,policy_name_clustering!$C$11,D211=policy_name_clustering!$A$12,policy_name_clustering!$C$12,D211="-","")</f>
        <v/>
      </c>
      <c r="G211" s="7">
        <f>solar_cum_cap!C181</f>
        <v>813</v>
      </c>
      <c r="H211" s="7">
        <f>estimated_capacity!C173</f>
        <v>1147.1429775786801</v>
      </c>
      <c r="I211" s="7" cm="1">
        <f t="array" ref="I211">_xlfn.IFS(D211= ""," ",D211&lt;&gt; " ",F211*(G211/H211))</f>
        <v>0</v>
      </c>
      <c r="J211" s="7" cm="1">
        <f t="array" ref="J211">_xlfn.IFS(D211= ""," ",D211&lt;&gt; " ",(H211-F211)*(G211/H211))</f>
        <v>813</v>
      </c>
      <c r="K211" s="7" cm="1">
        <f t="array" ref="K211">IF(ISNUMBER(H211),_xlfn.IFS(D211= ""," ",D211&lt;&gt; " ",F211*(G211/H211)),"")</f>
        <v>0</v>
      </c>
    </row>
    <row r="212" spans="1:11" s="7" customFormat="1" hidden="1" x14ac:dyDescent="0.35">
      <c r="A212" s="7" t="s">
        <v>35</v>
      </c>
      <c r="B212" s="7">
        <v>2001</v>
      </c>
      <c r="D212" s="6" t="s">
        <v>73</v>
      </c>
      <c r="E212" s="7" t="str" cm="1">
        <f t="array" ref="E212">_xlfn.IFS(D212=policy_name_clustering!$A$2,policy_name_clustering!$C$2,D212=policy_name_clustering!$A$3,policy_name_clustering!$C$3,D212=policy_name_clustering!$A$4,policy_name_clustering!$C$4,D212=policy_name_clustering!$A$5,policy_name_clustering!$C$5,D212=policy_name_clustering!$A$6,policy_name_clustering!$C$6,D212=policy_name_clustering!$A$7,policy_name_clustering!$C$7,D212=policy_name_clustering!$A$8,policy_name_clustering!$C$8,D212=policy_name_clustering!$A$9,policy_name_clustering!$C$9,D212=policy_name_clustering!$A$10,policy_name_clustering!$C$10,D212=policy_name_clustering!$A$11,policy_name_clustering!$C$11,D212=policy_name_clustering!$A$12,policy_name_clustering!$C$12,D212="-","")</f>
        <v/>
      </c>
      <c r="G212" s="7">
        <f>solar_cum_cap!C183</f>
        <v>3</v>
      </c>
      <c r="H212" s="7">
        <f>estimated_capacity!C174</f>
        <v>-59.1173238087313</v>
      </c>
      <c r="I212" s="7" cm="1">
        <f t="array" ref="I212">_xlfn.IFS(D212= ""," ",D212&lt;&gt; " ",F212*(G212/H212))</f>
        <v>0</v>
      </c>
      <c r="J212" s="7" cm="1">
        <f t="array" ref="J212">_xlfn.IFS(D212= ""," ",D212&lt;&gt; " ",(H212-F212)*(G212/H212))</f>
        <v>3</v>
      </c>
      <c r="K212" s="7" cm="1">
        <f t="array" ref="K212">IF(ISNUMBER(H212),_xlfn.IFS(D212= ""," ",D212&lt;&gt; " ",F212*(G212/H212)),"")</f>
        <v>0</v>
      </c>
    </row>
    <row r="213" spans="1:11" s="7" customFormat="1" hidden="1" x14ac:dyDescent="0.35">
      <c r="A213" s="7" t="s">
        <v>35</v>
      </c>
      <c r="B213" s="7">
        <v>2002</v>
      </c>
      <c r="D213" s="6" t="s">
        <v>73</v>
      </c>
      <c r="E213" s="7" t="str" cm="1">
        <f t="array" ref="E213">_xlfn.IFS(D213=policy_name_clustering!$A$2,policy_name_clustering!$C$2,D213=policy_name_clustering!$A$3,policy_name_clustering!$C$3,D213=policy_name_clustering!$A$4,policy_name_clustering!$C$4,D213=policy_name_clustering!$A$5,policy_name_clustering!$C$5,D213=policy_name_clustering!$A$6,policy_name_clustering!$C$6,D213=policy_name_clustering!$A$7,policy_name_clustering!$C$7,D213=policy_name_clustering!$A$8,policy_name_clustering!$C$8,D213=policy_name_clustering!$A$9,policy_name_clustering!$C$9,D213=policy_name_clustering!$A$10,policy_name_clustering!$C$10,D213=policy_name_clustering!$A$11,policy_name_clustering!$C$11,D213=policy_name_clustering!$A$12,policy_name_clustering!$C$12,D213="-","")</f>
        <v/>
      </c>
      <c r="G213" s="7">
        <f>solar_cum_cap!C184</f>
        <v>3</v>
      </c>
      <c r="H213" s="7">
        <f>estimated_capacity!C175</f>
        <v>-122.445146129433</v>
      </c>
      <c r="I213" s="7" cm="1">
        <f t="array" ref="I213">_xlfn.IFS(D213= ""," ",D213&lt;&gt; " ",F213*(G213/H213))</f>
        <v>0</v>
      </c>
      <c r="J213" s="7" cm="1">
        <f t="array" ref="J213">_xlfn.IFS(D213= ""," ",D213&lt;&gt; " ",(H213-F213)*(G213/H213))</f>
        <v>3</v>
      </c>
      <c r="K213" s="7" cm="1">
        <f t="array" ref="K213">IF(ISNUMBER(H213),_xlfn.IFS(D213= ""," ",D213&lt;&gt; " ",F213*(G213/H213)),"")</f>
        <v>0</v>
      </c>
    </row>
    <row r="214" spans="1:11" s="7" customFormat="1" hidden="1" x14ac:dyDescent="0.35">
      <c r="A214" s="7" t="s">
        <v>35</v>
      </c>
      <c r="B214" s="7">
        <v>2003</v>
      </c>
      <c r="D214" s="6" t="s">
        <v>73</v>
      </c>
      <c r="E214" s="7" t="str" cm="1">
        <f t="array" ref="E214">_xlfn.IFS(D214=policy_name_clustering!$A$2,policy_name_clustering!$C$2,D214=policy_name_clustering!$A$3,policy_name_clustering!$C$3,D214=policy_name_clustering!$A$4,policy_name_clustering!$C$4,D214=policy_name_clustering!$A$5,policy_name_clustering!$C$5,D214=policy_name_clustering!$A$6,policy_name_clustering!$C$6,D214=policy_name_clustering!$A$7,policy_name_clustering!$C$7,D214=policy_name_clustering!$A$8,policy_name_clustering!$C$8,D214=policy_name_clustering!$A$9,policy_name_clustering!$C$9,D214=policy_name_clustering!$A$10,policy_name_clustering!$C$10,D214=policy_name_clustering!$A$11,policy_name_clustering!$C$11,D214=policy_name_clustering!$A$12,policy_name_clustering!$C$12,D214="-","")</f>
        <v/>
      </c>
      <c r="G214" s="7">
        <f>solar_cum_cap!C185</f>
        <v>3</v>
      </c>
      <c r="H214" s="7">
        <f>estimated_capacity!C176</f>
        <v>-175.172874611927</v>
      </c>
      <c r="I214" s="7" cm="1">
        <f t="array" ref="I214">_xlfn.IFS(D214= ""," ",D214&lt;&gt; " ",F214*(G214/H214))</f>
        <v>0</v>
      </c>
      <c r="J214" s="7" cm="1">
        <f t="array" ref="J214">_xlfn.IFS(D214= ""," ",D214&lt;&gt; " ",(H214-F214)*(G214/H214))</f>
        <v>3</v>
      </c>
      <c r="K214" s="7" cm="1">
        <f t="array" ref="K214">IF(ISNUMBER(H214),_xlfn.IFS(D214= ""," ",D214&lt;&gt; " ",F214*(G214/H214)),"")</f>
        <v>0</v>
      </c>
    </row>
    <row r="215" spans="1:11" s="7" customFormat="1" hidden="1" x14ac:dyDescent="0.35">
      <c r="A215" s="7" t="s">
        <v>35</v>
      </c>
      <c r="B215" s="7">
        <v>2004</v>
      </c>
      <c r="D215" s="6" t="s">
        <v>73</v>
      </c>
      <c r="E215" s="7" t="str" cm="1">
        <f t="array" ref="E215">_xlfn.IFS(D215=policy_name_clustering!$A$2,policy_name_clustering!$C$2,D215=policy_name_clustering!$A$3,policy_name_clustering!$C$3,D215=policy_name_clustering!$A$4,policy_name_clustering!$C$4,D215=policy_name_clustering!$A$5,policy_name_clustering!$C$5,D215=policy_name_clustering!$A$6,policy_name_clustering!$C$6,D215=policy_name_clustering!$A$7,policy_name_clustering!$C$7,D215=policy_name_clustering!$A$8,policy_name_clustering!$C$8,D215=policy_name_clustering!$A$9,policy_name_clustering!$C$9,D215=policy_name_clustering!$A$10,policy_name_clustering!$C$10,D215=policy_name_clustering!$A$11,policy_name_clustering!$C$11,D215=policy_name_clustering!$A$12,policy_name_clustering!$C$12,D215="-","")</f>
        <v/>
      </c>
      <c r="G215" s="7">
        <f>solar_cum_cap!C186</f>
        <v>4</v>
      </c>
      <c r="H215" s="7">
        <f>estimated_capacity!C177</f>
        <v>-209.57256887314099</v>
      </c>
      <c r="I215" s="7" cm="1">
        <f t="array" ref="I215">_xlfn.IFS(D215= ""," ",D215&lt;&gt; " ",F215*(G215/H215))</f>
        <v>0</v>
      </c>
      <c r="J215" s="7" cm="1">
        <f t="array" ref="J215">_xlfn.IFS(D215= ""," ",D215&lt;&gt; " ",(H215-F215)*(G215/H215))</f>
        <v>4</v>
      </c>
      <c r="K215" s="7" cm="1">
        <f t="array" ref="K215">IF(ISNUMBER(H215),_xlfn.IFS(D215= ""," ",D215&lt;&gt; " ",F215*(G215/H215)),"")</f>
        <v>0</v>
      </c>
    </row>
    <row r="216" spans="1:11" s="7" customFormat="1" hidden="1" x14ac:dyDescent="0.35">
      <c r="A216" s="7" t="s">
        <v>35</v>
      </c>
      <c r="B216" s="7">
        <v>2005</v>
      </c>
      <c r="D216" s="6" t="s">
        <v>73</v>
      </c>
      <c r="E216" s="7" t="str" cm="1">
        <f t="array" ref="E216">_xlfn.IFS(D216=policy_name_clustering!$A$2,policy_name_clustering!$C$2,D216=policy_name_clustering!$A$3,policy_name_clustering!$C$3,D216=policy_name_clustering!$A$4,policy_name_clustering!$C$4,D216=policy_name_clustering!$A$5,policy_name_clustering!$C$5,D216=policy_name_clustering!$A$6,policy_name_clustering!$C$6,D216=policy_name_clustering!$A$7,policy_name_clustering!$C$7,D216=policy_name_clustering!$A$8,policy_name_clustering!$C$8,D216=policy_name_clustering!$A$9,policy_name_clustering!$C$9,D216=policy_name_clustering!$A$10,policy_name_clustering!$C$10,D216=policy_name_clustering!$A$11,policy_name_clustering!$C$11,D216=policy_name_clustering!$A$12,policy_name_clustering!$C$12,D216="-","")</f>
        <v/>
      </c>
      <c r="G216" s="7">
        <f>solar_cum_cap!C187</f>
        <v>4</v>
      </c>
      <c r="H216" s="7">
        <f>estimated_capacity!C178</f>
        <v>-243.31466131852699</v>
      </c>
      <c r="I216" s="7" cm="1">
        <f t="array" ref="I216">_xlfn.IFS(D216= ""," ",D216&lt;&gt; " ",F216*(G216/H216))</f>
        <v>0</v>
      </c>
      <c r="J216" s="7" cm="1">
        <f t="array" ref="J216">_xlfn.IFS(D216= ""," ",D216&lt;&gt; " ",(H216-F216)*(G216/H216))</f>
        <v>3.9999999999999996</v>
      </c>
      <c r="K216" s="7" cm="1">
        <f t="array" ref="K216">IF(ISNUMBER(H216),_xlfn.IFS(D216= ""," ",D216&lt;&gt; " ",F216*(G216/H216)),"")</f>
        <v>0</v>
      </c>
    </row>
    <row r="217" spans="1:11" s="7" customFormat="1" hidden="1" x14ac:dyDescent="0.35">
      <c r="A217" s="7" t="s">
        <v>35</v>
      </c>
      <c r="B217" s="7">
        <v>2006</v>
      </c>
      <c r="D217" s="6" t="s">
        <v>73</v>
      </c>
      <c r="E217" s="7" t="str" cm="1">
        <f t="array" ref="E217">_xlfn.IFS(D217=policy_name_clustering!$A$2,policy_name_clustering!$C$2,D217=policy_name_clustering!$A$3,policy_name_clustering!$C$3,D217=policy_name_clustering!$A$4,policy_name_clustering!$C$4,D217=policy_name_clustering!$A$5,policy_name_clustering!$C$5,D217=policy_name_clustering!$A$6,policy_name_clustering!$C$6,D217=policy_name_clustering!$A$7,policy_name_clustering!$C$7,D217=policy_name_clustering!$A$8,policy_name_clustering!$C$8,D217=policy_name_clustering!$A$9,policy_name_clustering!$C$9,D217=policy_name_clustering!$A$10,policy_name_clustering!$C$10,D217=policy_name_clustering!$A$11,policy_name_clustering!$C$11,D217=policy_name_clustering!$A$12,policy_name_clustering!$C$12,D217="-","")</f>
        <v/>
      </c>
      <c r="G217" s="7">
        <f>solar_cum_cap!C188</f>
        <v>5</v>
      </c>
      <c r="H217" s="7">
        <f>estimated_capacity!C179</f>
        <v>-272.49684779780898</v>
      </c>
      <c r="I217" s="7" cm="1">
        <f t="array" ref="I217">_xlfn.IFS(D217= ""," ",D217&lt;&gt; " ",F217*(G217/H217))</f>
        <v>0</v>
      </c>
      <c r="J217" s="7" cm="1">
        <f t="array" ref="J217">_xlfn.IFS(D217= ""," ",D217&lt;&gt; " ",(H217-F217)*(G217/H217))</f>
        <v>5</v>
      </c>
      <c r="K217" s="7" cm="1">
        <f t="array" ref="K217">IF(ISNUMBER(H217),_xlfn.IFS(D217= ""," ",D217&lt;&gt; " ",F217*(G217/H217)),"")</f>
        <v>0</v>
      </c>
    </row>
    <row r="218" spans="1:11" s="7" customFormat="1" hidden="1" x14ac:dyDescent="0.35">
      <c r="A218" s="7" t="s">
        <v>35</v>
      </c>
      <c r="B218" s="7">
        <v>2007</v>
      </c>
      <c r="D218" s="6" t="s">
        <v>73</v>
      </c>
      <c r="E218" s="7" t="str" cm="1">
        <f t="array" ref="E218">_xlfn.IFS(D218=policy_name_clustering!$A$2,policy_name_clustering!$C$2,D218=policy_name_clustering!$A$3,policy_name_clustering!$C$3,D218=policy_name_clustering!$A$4,policy_name_clustering!$C$4,D218=policy_name_clustering!$A$5,policy_name_clustering!$C$5,D218=policy_name_clustering!$A$6,policy_name_clustering!$C$6,D218=policy_name_clustering!$A$7,policy_name_clustering!$C$7,D218=policy_name_clustering!$A$8,policy_name_clustering!$C$8,D218=policy_name_clustering!$A$9,policy_name_clustering!$C$9,D218=policy_name_clustering!$A$10,policy_name_clustering!$C$10,D218=policy_name_clustering!$A$11,policy_name_clustering!$C$11,D218=policy_name_clustering!$A$12,policy_name_clustering!$C$12,D218="-","")</f>
        <v/>
      </c>
      <c r="G218" s="7">
        <f>solar_cum_cap!C189</f>
        <v>5</v>
      </c>
      <c r="H218" s="7">
        <f>estimated_capacity!C180</f>
        <v>-297.51339426535299</v>
      </c>
      <c r="I218" s="7" cm="1">
        <f t="array" ref="I218">_xlfn.IFS(D218= ""," ",D218&lt;&gt; " ",F218*(G218/H218))</f>
        <v>0</v>
      </c>
      <c r="J218" s="7" cm="1">
        <f t="array" ref="J218">_xlfn.IFS(D218= ""," ",D218&lt;&gt; " ",(H218-F218)*(G218/H218))</f>
        <v>5</v>
      </c>
      <c r="K218" s="7" cm="1">
        <f t="array" ref="K218">IF(ISNUMBER(H218),_xlfn.IFS(D218= ""," ",D218&lt;&gt; " ",F218*(G218/H218)),"")</f>
        <v>0</v>
      </c>
    </row>
    <row r="219" spans="1:11" s="7" customFormat="1" hidden="1" x14ac:dyDescent="0.35">
      <c r="A219" s="7" t="s">
        <v>35</v>
      </c>
      <c r="B219" s="7">
        <v>2008</v>
      </c>
      <c r="D219" s="6" t="s">
        <v>73</v>
      </c>
      <c r="E219" s="7" t="str" cm="1">
        <f t="array" ref="E219">_xlfn.IFS(D219=policy_name_clustering!$A$2,policy_name_clustering!$C$2,D219=policy_name_clustering!$A$3,policy_name_clustering!$C$3,D219=policy_name_clustering!$A$4,policy_name_clustering!$C$4,D219=policy_name_clustering!$A$5,policy_name_clustering!$C$5,D219=policy_name_clustering!$A$6,policy_name_clustering!$C$6,D219=policy_name_clustering!$A$7,policy_name_clustering!$C$7,D219=policy_name_clustering!$A$8,policy_name_clustering!$C$8,D219=policy_name_clustering!$A$9,policy_name_clustering!$C$9,D219=policy_name_clustering!$A$10,policy_name_clustering!$C$10,D219=policy_name_clustering!$A$11,policy_name_clustering!$C$11,D219=policy_name_clustering!$A$12,policy_name_clustering!$C$12,D219="-","")</f>
        <v/>
      </c>
      <c r="G219" s="7">
        <f>solar_cum_cap!C190</f>
        <v>6</v>
      </c>
      <c r="H219" s="7">
        <f>estimated_capacity!C181</f>
        <v>-311.38170094888</v>
      </c>
      <c r="I219" s="7" cm="1">
        <f t="array" ref="I219">_xlfn.IFS(D219= ""," ",D219&lt;&gt; " ",F219*(G219/H219))</f>
        <v>0</v>
      </c>
      <c r="J219" s="7" cm="1">
        <f t="array" ref="J219">_xlfn.IFS(D219= ""," ",D219&lt;&gt; " ",(H219-F219)*(G219/H219))</f>
        <v>6</v>
      </c>
      <c r="K219" s="7" cm="1">
        <f t="array" ref="K219">IF(ISNUMBER(H219),_xlfn.IFS(D219= ""," ",D219&lt;&gt; " ",F219*(G219/H219)),"")</f>
        <v>0</v>
      </c>
    </row>
    <row r="220" spans="1:11" s="7" customFormat="1" hidden="1" x14ac:dyDescent="0.35">
      <c r="A220" s="7" t="s">
        <v>35</v>
      </c>
      <c r="B220" s="7">
        <v>2009</v>
      </c>
      <c r="D220" s="6" t="s">
        <v>73</v>
      </c>
      <c r="E220" s="7" t="str" cm="1">
        <f t="array" ref="E220">_xlfn.IFS(D220=policy_name_clustering!$A$2,policy_name_clustering!$C$2,D220=policy_name_clustering!$A$3,policy_name_clustering!$C$3,D220=policy_name_clustering!$A$4,policy_name_clustering!$C$4,D220=policy_name_clustering!$A$5,policy_name_clustering!$C$5,D220=policy_name_clustering!$A$6,policy_name_clustering!$C$6,D220=policy_name_clustering!$A$7,policy_name_clustering!$C$7,D220=policy_name_clustering!$A$8,policy_name_clustering!$C$8,D220=policy_name_clustering!$A$9,policy_name_clustering!$C$9,D220=policy_name_clustering!$A$10,policy_name_clustering!$C$10,D220=policy_name_clustering!$A$11,policy_name_clustering!$C$11,D220=policy_name_clustering!$A$12,policy_name_clustering!$C$12,D220="-","")</f>
        <v/>
      </c>
      <c r="G220" s="7">
        <f>solar_cum_cap!C191</f>
        <v>6</v>
      </c>
      <c r="H220" s="7">
        <f>estimated_capacity!C182</f>
        <v>-325.68586787597002</v>
      </c>
      <c r="I220" s="7" cm="1">
        <f t="array" ref="I220">_xlfn.IFS(D220= ""," ",D220&lt;&gt; " ",F220*(G220/H220))</f>
        <v>0</v>
      </c>
      <c r="J220" s="7" cm="1">
        <f t="array" ref="J220">_xlfn.IFS(D220= ""," ",D220&lt;&gt; " ",(H220-F220)*(G220/H220))</f>
        <v>6</v>
      </c>
      <c r="K220" s="7" cm="1">
        <f t="array" ref="K220">IF(ISNUMBER(H220),_xlfn.IFS(D220= ""," ",D220&lt;&gt; " ",F220*(G220/H220)),"")</f>
        <v>0</v>
      </c>
    </row>
    <row r="221" spans="1:11" s="7" customFormat="1" hidden="1" x14ac:dyDescent="0.35">
      <c r="A221" s="7" t="s">
        <v>35</v>
      </c>
      <c r="B221" s="7">
        <v>2010</v>
      </c>
      <c r="D221" s="6" t="s">
        <v>73</v>
      </c>
      <c r="E221" s="7" t="str" cm="1">
        <f t="array" ref="E221">_xlfn.IFS(D221=policy_name_clustering!$A$2,policy_name_clustering!$C$2,D221=policy_name_clustering!$A$3,policy_name_clustering!$C$3,D221=policy_name_clustering!$A$4,policy_name_clustering!$C$4,D221=policy_name_clustering!$A$5,policy_name_clustering!$C$5,D221=policy_name_clustering!$A$6,policy_name_clustering!$C$6,D221=policy_name_clustering!$A$7,policy_name_clustering!$C$7,D221=policy_name_clustering!$A$8,policy_name_clustering!$C$8,D221=policy_name_clustering!$A$9,policy_name_clustering!$C$9,D221=policy_name_clustering!$A$10,policy_name_clustering!$C$10,D221=policy_name_clustering!$A$11,policy_name_clustering!$C$11,D221=policy_name_clustering!$A$12,policy_name_clustering!$C$12,D221="-","")</f>
        <v/>
      </c>
      <c r="G221" s="7">
        <f>solar_cum_cap!C192</f>
        <v>7</v>
      </c>
      <c r="H221" s="7">
        <f>estimated_capacity!C183</f>
        <v>-310.44395814367101</v>
      </c>
      <c r="I221" s="7" cm="1">
        <f t="array" ref="I221">_xlfn.IFS(D221= ""," ",D221&lt;&gt; " ",F221*(G221/H221))</f>
        <v>0</v>
      </c>
      <c r="J221" s="7" cm="1">
        <f t="array" ref="J221">_xlfn.IFS(D221= ""," ",D221&lt;&gt; " ",(H221-F221)*(G221/H221))</f>
        <v>7.0000000000000009</v>
      </c>
      <c r="K221" s="7" cm="1">
        <f t="array" ref="K221">IF(ISNUMBER(H221),_xlfn.IFS(D221= ""," ",D221&lt;&gt; " ",F221*(G221/H221)),"")</f>
        <v>0</v>
      </c>
    </row>
    <row r="222" spans="1:11" s="7" customFormat="1" hidden="1" x14ac:dyDescent="0.35">
      <c r="A222" s="7" t="s">
        <v>35</v>
      </c>
      <c r="B222" s="7">
        <v>2011</v>
      </c>
      <c r="D222" s="6" t="s">
        <v>73</v>
      </c>
      <c r="E222" s="7" t="str" cm="1">
        <f t="array" ref="E222">_xlfn.IFS(D222=policy_name_clustering!$A$2,policy_name_clustering!$C$2,D222=policy_name_clustering!$A$3,policy_name_clustering!$C$3,D222=policy_name_clustering!$A$4,policy_name_clustering!$C$4,D222=policy_name_clustering!$A$5,policy_name_clustering!$C$5,D222=policy_name_clustering!$A$6,policy_name_clustering!$C$6,D222=policy_name_clustering!$A$7,policy_name_clustering!$C$7,D222=policy_name_clustering!$A$8,policy_name_clustering!$C$8,D222=policy_name_clustering!$A$9,policy_name_clustering!$C$9,D222=policy_name_clustering!$A$10,policy_name_clustering!$C$10,D222=policy_name_clustering!$A$11,policy_name_clustering!$C$11,D222=policy_name_clustering!$A$12,policy_name_clustering!$C$12,D222="-","")</f>
        <v/>
      </c>
      <c r="G222" s="7">
        <f>solar_cum_cap!C193</f>
        <v>7</v>
      </c>
      <c r="H222" s="7">
        <f>estimated_capacity!C184</f>
        <v>-259.52371011894297</v>
      </c>
      <c r="I222" s="7" cm="1">
        <f t="array" ref="I222">_xlfn.IFS(D222= ""," ",D222&lt;&gt; " ",F222*(G222/H222))</f>
        <v>0</v>
      </c>
      <c r="J222" s="7" cm="1">
        <f t="array" ref="J222">_xlfn.IFS(D222= ""," ",D222&lt;&gt; " ",(H222-F222)*(G222/H222))</f>
        <v>7</v>
      </c>
      <c r="K222" s="7" cm="1">
        <f t="array" ref="K222">IF(ISNUMBER(H222),_xlfn.IFS(D222= ""," ",D222&lt;&gt; " ",F222*(G222/H222)),"")</f>
        <v>0</v>
      </c>
    </row>
    <row r="223" spans="1:11" s="7" customFormat="1" hidden="1" x14ac:dyDescent="0.35">
      <c r="A223" s="7" t="s">
        <v>35</v>
      </c>
      <c r="B223" s="7">
        <v>2012</v>
      </c>
      <c r="D223" s="6" t="s">
        <v>73</v>
      </c>
      <c r="E223" s="7" t="str" cm="1">
        <f t="array" ref="E223">_xlfn.IFS(D223=policy_name_clustering!$A$2,policy_name_clustering!$C$2,D223=policy_name_clustering!$A$3,policy_name_clustering!$C$3,D223=policy_name_clustering!$A$4,policy_name_clustering!$C$4,D223=policy_name_clustering!$A$5,policy_name_clustering!$C$5,D223=policy_name_clustering!$A$6,policy_name_clustering!$C$6,D223=policy_name_clustering!$A$7,policy_name_clustering!$C$7,D223=policy_name_clustering!$A$8,policy_name_clustering!$C$8,D223=policy_name_clustering!$A$9,policy_name_clustering!$C$9,D223=policy_name_clustering!$A$10,policy_name_clustering!$C$10,D223=policy_name_clustering!$A$11,policy_name_clustering!$C$11,D223=policy_name_clustering!$A$12,policy_name_clustering!$C$12,D223="-","")</f>
        <v/>
      </c>
      <c r="G223" s="7">
        <f>solar_cum_cap!C194</f>
        <v>8</v>
      </c>
      <c r="H223" s="7">
        <f>estimated_capacity!C185</f>
        <v>-188.89630313239601</v>
      </c>
      <c r="I223" s="7" cm="1">
        <f t="array" ref="I223">_xlfn.IFS(D223= ""," ",D223&lt;&gt; " ",F223*(G223/H223))</f>
        <v>0</v>
      </c>
      <c r="J223" s="7" cm="1">
        <f t="array" ref="J223">_xlfn.IFS(D223= ""," ",D223&lt;&gt; " ",(H223-F223)*(G223/H223))</f>
        <v>8</v>
      </c>
      <c r="K223" s="7" cm="1">
        <f t="array" ref="K223">IF(ISNUMBER(H223),_xlfn.IFS(D223= ""," ",D223&lt;&gt; " ",F223*(G223/H223)),"")</f>
        <v>0</v>
      </c>
    </row>
    <row r="224" spans="1:11" s="7" customFormat="1" hidden="1" x14ac:dyDescent="0.35">
      <c r="A224" s="7" t="s">
        <v>35</v>
      </c>
      <c r="B224" s="7">
        <v>2013</v>
      </c>
      <c r="D224" s="6" t="s">
        <v>73</v>
      </c>
      <c r="E224" s="7" t="str" cm="1">
        <f t="array" ref="E224">_xlfn.IFS(D224=policy_name_clustering!$A$2,policy_name_clustering!$C$2,D224=policy_name_clustering!$A$3,policy_name_clustering!$C$3,D224=policy_name_clustering!$A$4,policy_name_clustering!$C$4,D224=policy_name_clustering!$A$5,policy_name_clustering!$C$5,D224=policy_name_clustering!$A$6,policy_name_clustering!$C$6,D224=policy_name_clustering!$A$7,policy_name_clustering!$C$7,D224=policy_name_clustering!$A$8,policy_name_clustering!$C$8,D224=policy_name_clustering!$A$9,policy_name_clustering!$C$9,D224=policy_name_clustering!$A$10,policy_name_clustering!$C$10,D224=policy_name_clustering!$A$11,policy_name_clustering!$C$11,D224=policy_name_clustering!$A$12,policy_name_clustering!$C$12,D224="-","")</f>
        <v/>
      </c>
      <c r="G224" s="7">
        <f>solar_cum_cap!C195</f>
        <v>9</v>
      </c>
      <c r="H224" s="7">
        <f>estimated_capacity!C186</f>
        <v>-62.895314091641403</v>
      </c>
      <c r="I224" s="7" cm="1">
        <f t="array" ref="I224">_xlfn.IFS(D224= ""," ",D224&lt;&gt; " ",F224*(G224/H224))</f>
        <v>0</v>
      </c>
      <c r="J224" s="7" cm="1">
        <f t="array" ref="J224">_xlfn.IFS(D224= ""," ",D224&lt;&gt; " ",(H224-F224)*(G224/H224))</f>
        <v>9</v>
      </c>
      <c r="K224" s="7" cm="1">
        <f t="array" ref="K224">IF(ISNUMBER(H224),_xlfn.IFS(D224= ""," ",D224&lt;&gt; " ",F224*(G224/H224)),"")</f>
        <v>0</v>
      </c>
    </row>
    <row r="225" spans="1:11" s="7" customFormat="1" hidden="1" x14ac:dyDescent="0.35">
      <c r="A225" s="7" t="s">
        <v>35</v>
      </c>
      <c r="B225" s="7">
        <v>2014</v>
      </c>
      <c r="D225" s="6" t="s">
        <v>73</v>
      </c>
      <c r="E225" s="7" t="str" cm="1">
        <f t="array" ref="E225">_xlfn.IFS(D225=policy_name_clustering!$A$2,policy_name_clustering!$C$2,D225=policy_name_clustering!$A$3,policy_name_clustering!$C$3,D225=policy_name_clustering!$A$4,policy_name_clustering!$C$4,D225=policy_name_clustering!$A$5,policy_name_clustering!$C$5,D225=policy_name_clustering!$A$6,policy_name_clustering!$C$6,D225=policy_name_clustering!$A$7,policy_name_clustering!$C$7,D225=policy_name_clustering!$A$8,policy_name_clustering!$C$8,D225=policy_name_clustering!$A$9,policy_name_clustering!$C$9,D225=policy_name_clustering!$A$10,policy_name_clustering!$C$10,D225=policy_name_clustering!$A$11,policy_name_clustering!$C$11,D225=policy_name_clustering!$A$12,policy_name_clustering!$C$12,D225="-","")</f>
        <v/>
      </c>
      <c r="G225" s="7">
        <f>solar_cum_cap!C196</f>
        <v>11</v>
      </c>
      <c r="H225" s="7">
        <f>estimated_capacity!C187</f>
        <v>72.897113303881497</v>
      </c>
      <c r="I225" s="7" cm="1">
        <f t="array" ref="I225">_xlfn.IFS(D225= ""," ",D225&lt;&gt; " ",F225*(G225/H225))</f>
        <v>0</v>
      </c>
      <c r="J225" s="7" cm="1">
        <f t="array" ref="J225">_xlfn.IFS(D225= ""," ",D225&lt;&gt; " ",(H225-F225)*(G225/H225))</f>
        <v>11</v>
      </c>
      <c r="K225" s="7" cm="1">
        <f t="array" ref="K225">IF(ISNUMBER(H225),_xlfn.IFS(D225= ""," ",D225&lt;&gt; " ",F225*(G225/H225)),"")</f>
        <v>0</v>
      </c>
    </row>
    <row r="226" spans="1:11" s="7" customFormat="1" hidden="1" x14ac:dyDescent="0.35">
      <c r="A226" s="7" t="s">
        <v>35</v>
      </c>
      <c r="B226" s="7">
        <v>2015</v>
      </c>
      <c r="D226" s="6" t="s">
        <v>73</v>
      </c>
      <c r="E226" s="7" t="str" cm="1">
        <f t="array" ref="E226">_xlfn.IFS(D226=policy_name_clustering!$A$2,policy_name_clustering!$C$2,D226=policy_name_clustering!$A$3,policy_name_clustering!$C$3,D226=policy_name_clustering!$A$4,policy_name_clustering!$C$4,D226=policy_name_clustering!$A$5,policy_name_clustering!$C$5,D226=policy_name_clustering!$A$6,policy_name_clustering!$C$6,D226=policy_name_clustering!$A$7,policy_name_clustering!$C$7,D226=policy_name_clustering!$A$8,policy_name_clustering!$C$8,D226=policy_name_clustering!$A$9,policy_name_clustering!$C$9,D226=policy_name_clustering!$A$10,policy_name_clustering!$C$10,D226=policy_name_clustering!$A$11,policy_name_clustering!$C$11,D226=policy_name_clustering!$A$12,policy_name_clustering!$C$12,D226="-","")</f>
        <v/>
      </c>
      <c r="G226" s="7">
        <f>solar_cum_cap!C197</f>
        <v>17</v>
      </c>
      <c r="H226" s="7">
        <f>estimated_capacity!C188</f>
        <v>175.231069534639</v>
      </c>
      <c r="I226" s="7" cm="1">
        <f t="array" ref="I226">_xlfn.IFS(D226= ""," ",D226&lt;&gt; " ",F226*(G226/H226))</f>
        <v>0</v>
      </c>
      <c r="J226" s="7" cm="1">
        <f t="array" ref="J226">_xlfn.IFS(D226= ""," ",D226&lt;&gt; " ",(H226-F226)*(G226/H226))</f>
        <v>17</v>
      </c>
      <c r="K226" s="7" cm="1">
        <f t="array" ref="K226">IF(ISNUMBER(H226),_xlfn.IFS(D226= ""," ",D226&lt;&gt; " ",F226*(G226/H226)),"")</f>
        <v>0</v>
      </c>
    </row>
    <row r="227" spans="1:11" s="7" customFormat="1" hidden="1" x14ac:dyDescent="0.35">
      <c r="A227" s="7" t="s">
        <v>35</v>
      </c>
      <c r="B227" s="7">
        <v>2016</v>
      </c>
      <c r="D227" s="6" t="s">
        <v>73</v>
      </c>
      <c r="E227" s="7" t="str" cm="1">
        <f t="array" ref="E227">_xlfn.IFS(D227=policy_name_clustering!$A$2,policy_name_clustering!$C$2,D227=policy_name_clustering!$A$3,policy_name_clustering!$C$3,D227=policy_name_clustering!$A$4,policy_name_clustering!$C$4,D227=policy_name_clustering!$A$5,policy_name_clustering!$C$5,D227=policy_name_clustering!$A$6,policy_name_clustering!$C$6,D227=policy_name_clustering!$A$7,policy_name_clustering!$C$7,D227=policy_name_clustering!$A$8,policy_name_clustering!$C$8,D227=policy_name_clustering!$A$9,policy_name_clustering!$C$9,D227=policy_name_clustering!$A$10,policy_name_clustering!$C$10,D227=policy_name_clustering!$A$11,policy_name_clustering!$C$11,D227=policy_name_clustering!$A$12,policy_name_clustering!$C$12,D227="-","")</f>
        <v/>
      </c>
      <c r="G227" s="7">
        <f>solar_cum_cap!C198</f>
        <v>39</v>
      </c>
      <c r="H227" s="7">
        <f>estimated_capacity!C189</f>
        <v>272.12544254415701</v>
      </c>
      <c r="I227" s="7" cm="1">
        <f t="array" ref="I227">_xlfn.IFS(D227= ""," ",D227&lt;&gt; " ",F227*(G227/H227))</f>
        <v>0</v>
      </c>
      <c r="J227" s="7" cm="1">
        <f t="array" ref="J227">_xlfn.IFS(D227= ""," ",D227&lt;&gt; " ",(H227-F227)*(G227/H227))</f>
        <v>39</v>
      </c>
      <c r="K227" s="7" cm="1">
        <f t="array" ref="K227">IF(ISNUMBER(H227),_xlfn.IFS(D227= ""," ",D227&lt;&gt; " ",F227*(G227/H227)),"")</f>
        <v>0</v>
      </c>
    </row>
    <row r="228" spans="1:11" s="7" customFormat="1" hidden="1" x14ac:dyDescent="0.35">
      <c r="A228" s="7" t="s">
        <v>35</v>
      </c>
      <c r="B228" s="7">
        <v>2017</v>
      </c>
      <c r="D228" s="6" t="s">
        <v>73</v>
      </c>
      <c r="E228" s="7" t="str" cm="1">
        <f t="array" ref="E228">_xlfn.IFS(D228=policy_name_clustering!$A$2,policy_name_clustering!$C$2,D228=policy_name_clustering!$A$3,policy_name_clustering!$C$3,D228=policy_name_clustering!$A$4,policy_name_clustering!$C$4,D228=policy_name_clustering!$A$5,policy_name_clustering!$C$5,D228=policy_name_clustering!$A$6,policy_name_clustering!$C$6,D228=policy_name_clustering!$A$7,policy_name_clustering!$C$7,D228=policy_name_clustering!$A$8,policy_name_clustering!$C$8,D228=policy_name_clustering!$A$9,policy_name_clustering!$C$9,D228=policy_name_clustering!$A$10,policy_name_clustering!$C$10,D228=policy_name_clustering!$A$11,policy_name_clustering!$C$11,D228=policy_name_clustering!$A$12,policy_name_clustering!$C$12,D228="-","")</f>
        <v/>
      </c>
      <c r="G228" s="7">
        <f>solar_cum_cap!C199</f>
        <v>82</v>
      </c>
      <c r="H228" s="7">
        <f>estimated_capacity!C190</f>
        <v>407.92417092025602</v>
      </c>
      <c r="I228" s="7" cm="1">
        <f t="array" ref="I228">_xlfn.IFS(D228= ""," ",D228&lt;&gt; " ",F228*(G228/H228))</f>
        <v>0</v>
      </c>
      <c r="J228" s="7" cm="1">
        <f t="array" ref="J228">_xlfn.IFS(D228= ""," ",D228&lt;&gt; " ",(H228-F228)*(G228/H228))</f>
        <v>82</v>
      </c>
      <c r="K228" s="7" cm="1">
        <f t="array" ref="K228">IF(ISNUMBER(H228),_xlfn.IFS(D228= ""," ",D228&lt;&gt; " ",F228*(G228/H228)),"")</f>
        <v>0</v>
      </c>
    </row>
    <row r="229" spans="1:11" s="7" customFormat="1" hidden="1" x14ac:dyDescent="0.35">
      <c r="A229" s="7" t="s">
        <v>35</v>
      </c>
      <c r="B229" s="7">
        <v>2018</v>
      </c>
      <c r="D229" s="6" t="s">
        <v>73</v>
      </c>
      <c r="E229" s="7" t="str" cm="1">
        <f t="array" ref="E229">_xlfn.IFS(D229=policy_name_clustering!$A$2,policy_name_clustering!$C$2,D229=policy_name_clustering!$A$3,policy_name_clustering!$C$3,D229=policy_name_clustering!$A$4,policy_name_clustering!$C$4,D229=policy_name_clustering!$A$5,policy_name_clustering!$C$5,D229=policy_name_clustering!$A$6,policy_name_clustering!$C$6,D229=policy_name_clustering!$A$7,policy_name_clustering!$C$7,D229=policy_name_clustering!$A$8,policy_name_clustering!$C$8,D229=policy_name_clustering!$A$9,policy_name_clustering!$C$9,D229=policy_name_clustering!$A$10,policy_name_clustering!$C$10,D229=policy_name_clustering!$A$11,policy_name_clustering!$C$11,D229=policy_name_clustering!$A$12,policy_name_clustering!$C$12,D229="-","")</f>
        <v/>
      </c>
      <c r="G229" s="7">
        <f>solar_cum_cap!C200</f>
        <v>140</v>
      </c>
      <c r="H229" s="7">
        <f>estimated_capacity!C191</f>
        <v>577.88218929166806</v>
      </c>
      <c r="I229" s="7" cm="1">
        <f t="array" ref="I229">_xlfn.IFS(D229= ""," ",D229&lt;&gt; " ",F229*(G229/H229))</f>
        <v>0</v>
      </c>
      <c r="J229" s="7" cm="1">
        <f t="array" ref="J229">_xlfn.IFS(D229= ""," ",D229&lt;&gt; " ",(H229-F229)*(G229/H229))</f>
        <v>140</v>
      </c>
      <c r="K229" s="7" cm="1">
        <f t="array" ref="K229">IF(ISNUMBER(H229),_xlfn.IFS(D229= ""," ",D229&lt;&gt; " ",F229*(G229/H229)),"")</f>
        <v>0</v>
      </c>
    </row>
    <row r="230" spans="1:11" s="7" customFormat="1" hidden="1" x14ac:dyDescent="0.35">
      <c r="A230" s="7" t="s">
        <v>35</v>
      </c>
      <c r="B230" s="7">
        <v>2019</v>
      </c>
      <c r="D230" s="6" t="s">
        <v>73</v>
      </c>
      <c r="E230" s="7" t="str" cm="1">
        <f t="array" ref="E230">_xlfn.IFS(D230=policy_name_clustering!$A$2,policy_name_clustering!$C$2,D230=policy_name_clustering!$A$3,policy_name_clustering!$C$3,D230=policy_name_clustering!$A$4,policy_name_clustering!$C$4,D230=policy_name_clustering!$A$5,policy_name_clustering!$C$5,D230=policy_name_clustering!$A$6,policy_name_clustering!$C$6,D230=policy_name_clustering!$A$7,policy_name_clustering!$C$7,D230=policy_name_clustering!$A$8,policy_name_clustering!$C$8,D230=policy_name_clustering!$A$9,policy_name_clustering!$C$9,D230=policy_name_clustering!$A$10,policy_name_clustering!$C$10,D230=policy_name_clustering!$A$11,policy_name_clustering!$C$11,D230=policy_name_clustering!$A$12,policy_name_clustering!$C$12,D230="-","")</f>
        <v/>
      </c>
      <c r="G230" s="7">
        <f>solar_cum_cap!C201</f>
        <v>222</v>
      </c>
      <c r="H230" s="7">
        <f>estimated_capacity!C192</f>
        <v>698.85577396230997</v>
      </c>
      <c r="I230" s="7" cm="1">
        <f t="array" ref="I230">_xlfn.IFS(D230= ""," ",D230&lt;&gt; " ",F230*(G230/H230))</f>
        <v>0</v>
      </c>
      <c r="J230" s="7" cm="1">
        <f t="array" ref="J230">_xlfn.IFS(D230= ""," ",D230&lt;&gt; " ",(H230-F230)*(G230/H230))</f>
        <v>222</v>
      </c>
      <c r="K230" s="7" cm="1">
        <f t="array" ref="K230">IF(ISNUMBER(H230),_xlfn.IFS(D230= ""," ",D230&lt;&gt; " ",F230*(G230/H230)),"")</f>
        <v>0</v>
      </c>
    </row>
    <row r="231" spans="1:11" s="7" customFormat="1" hidden="1" x14ac:dyDescent="0.35">
      <c r="A231" s="7" t="s">
        <v>35</v>
      </c>
      <c r="B231" s="7">
        <v>2020</v>
      </c>
      <c r="D231" s="6" t="s">
        <v>73</v>
      </c>
      <c r="E231" s="7" t="str" cm="1">
        <f t="array" ref="E231">_xlfn.IFS(D231=policy_name_clustering!$A$2,policy_name_clustering!$C$2,D231=policy_name_clustering!$A$3,policy_name_clustering!$C$3,D231=policy_name_clustering!$A$4,policy_name_clustering!$C$4,D231=policy_name_clustering!$A$5,policy_name_clustering!$C$5,D231=policy_name_clustering!$A$6,policy_name_clustering!$C$6,D231=policy_name_clustering!$A$7,policy_name_clustering!$C$7,D231=policy_name_clustering!$A$8,policy_name_clustering!$C$8,D231=policy_name_clustering!$A$9,policy_name_clustering!$C$9,D231=policy_name_clustering!$A$10,policy_name_clustering!$C$10,D231=policy_name_clustering!$A$11,policy_name_clustering!$C$11,D231=policy_name_clustering!$A$12,policy_name_clustering!$C$12,D231="-","")</f>
        <v/>
      </c>
      <c r="G231" s="7">
        <f>solar_cum_cap!C202</f>
        <v>318</v>
      </c>
      <c r="H231" s="7">
        <f>estimated_capacity!C193</f>
        <v>788.89336313426304</v>
      </c>
      <c r="I231" s="7" cm="1">
        <f t="array" ref="I231">_xlfn.IFS(D231= ""," ",D231&lt;&gt; " ",F231*(G231/H231))</f>
        <v>0</v>
      </c>
      <c r="J231" s="7" cm="1">
        <f t="array" ref="J231">_xlfn.IFS(D231= ""," ",D231&lt;&gt; " ",(H231-F231)*(G231/H231))</f>
        <v>318</v>
      </c>
      <c r="K231" s="7" cm="1">
        <f t="array" ref="K231">IF(ISNUMBER(H231),_xlfn.IFS(D231= ""," ",D231&lt;&gt; " ",F231*(G231/H231)),"")</f>
        <v>0</v>
      </c>
    </row>
    <row r="232" spans="1:11" s="7" customFormat="1" hidden="1" x14ac:dyDescent="0.35">
      <c r="A232" s="7" t="s">
        <v>35</v>
      </c>
      <c r="B232" s="7">
        <v>2021</v>
      </c>
      <c r="D232" s="6" t="s">
        <v>73</v>
      </c>
      <c r="E232" s="7" t="str" cm="1">
        <f t="array" ref="E232">_xlfn.IFS(D232=policy_name_clustering!$A$2,policy_name_clustering!$C$2,D232=policy_name_clustering!$A$3,policy_name_clustering!$C$3,D232=policy_name_clustering!$A$4,policy_name_clustering!$C$4,D232=policy_name_clustering!$A$5,policy_name_clustering!$C$5,D232=policy_name_clustering!$A$6,policy_name_clustering!$C$6,D232=policy_name_clustering!$A$7,policy_name_clustering!$C$7,D232=policy_name_clustering!$A$8,policy_name_clustering!$C$8,D232=policy_name_clustering!$A$9,policy_name_clustering!$C$9,D232=policy_name_clustering!$A$10,policy_name_clustering!$C$10,D232=policy_name_clustering!$A$11,policy_name_clustering!$C$11,D232=policy_name_clustering!$A$12,policy_name_clustering!$C$12,D232="-","")</f>
        <v/>
      </c>
      <c r="G232" s="7">
        <f>solar_cum_cap!C203</f>
        <v>425</v>
      </c>
      <c r="H232" s="7">
        <f>estimated_capacity!C194</f>
        <v>898.82072575257996</v>
      </c>
      <c r="I232" s="7" cm="1">
        <f t="array" ref="I232">_xlfn.IFS(D232= ""," ",D232&lt;&gt; " ",F232*(G232/H232))</f>
        <v>0</v>
      </c>
      <c r="J232" s="7" cm="1">
        <f t="array" ref="J232">_xlfn.IFS(D232= ""," ",D232&lt;&gt; " ",(H232-F232)*(G232/H232))</f>
        <v>425</v>
      </c>
      <c r="K232" s="7" cm="1">
        <f t="array" ref="K232">IF(ISNUMBER(H232),_xlfn.IFS(D232= ""," ",D232&lt;&gt; " ",F232*(G232/H232)),"")</f>
        <v>0</v>
      </c>
    </row>
    <row r="233" spans="1:11" s="7" customFormat="1" hidden="1" x14ac:dyDescent="0.35">
      <c r="A233" s="7" t="s">
        <v>35</v>
      </c>
      <c r="B233" s="7">
        <v>2022</v>
      </c>
      <c r="D233" s="6" t="s">
        <v>73</v>
      </c>
      <c r="E233" s="7" t="str" cm="1">
        <f t="array" ref="E233">_xlfn.IFS(D233=policy_name_clustering!$A$2,policy_name_clustering!$C$2,D233=policy_name_clustering!$A$3,policy_name_clustering!$C$3,D233=policy_name_clustering!$A$4,policy_name_clustering!$C$4,D233=policy_name_clustering!$A$5,policy_name_clustering!$C$5,D233=policy_name_clustering!$A$6,policy_name_clustering!$C$6,D233=policy_name_clustering!$A$7,policy_name_clustering!$C$7,D233=policy_name_clustering!$A$8,policy_name_clustering!$C$8,D233=policy_name_clustering!$A$9,policy_name_clustering!$C$9,D233=policy_name_clustering!$A$10,policy_name_clustering!$C$10,D233=policy_name_clustering!$A$11,policy_name_clustering!$C$11,D233=policy_name_clustering!$A$12,policy_name_clustering!$C$12,D233="-","")</f>
        <v/>
      </c>
      <c r="G233" s="7">
        <f>solar_cum_cap!C204</f>
        <v>664</v>
      </c>
      <c r="H233" s="7">
        <f>estimated_capacity!C195</f>
        <v>1158.1680686872901</v>
      </c>
      <c r="I233" s="7" cm="1">
        <f t="array" ref="I233">_xlfn.IFS(D233= ""," ",D233&lt;&gt; " ",F233*(G233/H233))</f>
        <v>0</v>
      </c>
      <c r="J233" s="7" cm="1">
        <f t="array" ref="J233">_xlfn.IFS(D233= ""," ",D233&lt;&gt; " ",(H233-F233)*(G233/H233))</f>
        <v>664</v>
      </c>
      <c r="K233" s="7" cm="1">
        <f t="array" ref="K233">IF(ISNUMBER(H233),_xlfn.IFS(D233= ""," ",D233&lt;&gt; " ",F233*(G233/H233)),"")</f>
        <v>0</v>
      </c>
    </row>
    <row r="234" spans="1:11" s="7" customFormat="1" hidden="1" x14ac:dyDescent="0.35">
      <c r="A234" s="7" t="s">
        <v>35</v>
      </c>
      <c r="B234" s="7">
        <v>2023</v>
      </c>
      <c r="D234" s="6" t="s">
        <v>73</v>
      </c>
      <c r="E234" s="7" t="str" cm="1">
        <f t="array" ref="E234">_xlfn.IFS(D234=policy_name_clustering!$A$2,policy_name_clustering!$C$2,D234=policy_name_clustering!$A$3,policy_name_clustering!$C$3,D234=policy_name_clustering!$A$4,policy_name_clustering!$C$4,D234=policy_name_clustering!$A$5,policy_name_clustering!$C$5,D234=policy_name_clustering!$A$6,policy_name_clustering!$C$6,D234=policy_name_clustering!$A$7,policy_name_clustering!$C$7,D234=policy_name_clustering!$A$8,policy_name_clustering!$C$8,D234=policy_name_clustering!$A$9,policy_name_clustering!$C$9,D234=policy_name_clustering!$A$10,policy_name_clustering!$C$10,D234=policy_name_clustering!$A$11,policy_name_clustering!$C$11,D234=policy_name_clustering!$A$12,policy_name_clustering!$C$12,D234="-","")</f>
        <v/>
      </c>
      <c r="G234" s="7">
        <f>solar_cum_cap!C205</f>
        <v>1009</v>
      </c>
      <c r="H234" s="7">
        <f>estimated_capacity!C196</f>
        <v>1499.76686833345</v>
      </c>
      <c r="I234" s="7" cm="1">
        <f t="array" ref="I234">_xlfn.IFS(D234= ""," ",D234&lt;&gt; " ",F234*(G234/H234))</f>
        <v>0</v>
      </c>
      <c r="J234" s="7" cm="1">
        <f t="array" ref="J234">_xlfn.IFS(D234= ""," ",D234&lt;&gt; " ",(H234-F234)*(G234/H234))</f>
        <v>1008.9999999999999</v>
      </c>
      <c r="K234" s="7" cm="1">
        <f t="array" ref="K234">IF(ISNUMBER(H234),_xlfn.IFS(D234= ""," ",D234&lt;&gt; " ",F234*(G234/H234)),"")</f>
        <v>0</v>
      </c>
    </row>
    <row r="235" spans="1:11" s="7" customFormat="1" hidden="1" x14ac:dyDescent="0.35">
      <c r="A235" s="7" t="s">
        <v>13</v>
      </c>
      <c r="B235" s="7">
        <v>2001</v>
      </c>
      <c r="D235" s="6" t="s">
        <v>73</v>
      </c>
      <c r="E235" s="7" t="str" cm="1">
        <f t="array" ref="E235">_xlfn.IFS(D235=policy_name_clustering!$A$2,policy_name_clustering!$C$2,D235=policy_name_clustering!$A$3,policy_name_clustering!$C$3,D235=policy_name_clustering!$A$4,policy_name_clustering!$C$4,D235=policy_name_clustering!$A$5,policy_name_clustering!$C$5,D235=policy_name_clustering!$A$6,policy_name_clustering!$C$6,D235=policy_name_clustering!$A$7,policy_name_clustering!$C$7,D235=policy_name_clustering!$A$8,policy_name_clustering!$C$8,D235=policy_name_clustering!$A$9,policy_name_clustering!$C$9,D235=policy_name_clustering!$A$10,policy_name_clustering!$C$10,D235=policy_name_clustering!$A$11,policy_name_clustering!$C$11,D235=policy_name_clustering!$A$12,policy_name_clustering!$C$12,D235="-","")</f>
        <v/>
      </c>
      <c r="G235" s="7">
        <f>solar_cum_cap!C207</f>
        <v>7</v>
      </c>
      <c r="H235" s="7">
        <f>estimated_capacity!C197</f>
        <v>13.676863904641699</v>
      </c>
      <c r="I235" s="7" cm="1">
        <f t="array" ref="I235">_xlfn.IFS(D235= ""," ",D235&lt;&gt; " ",F235*(G235/H235))</f>
        <v>0</v>
      </c>
      <c r="J235" s="7" cm="1">
        <f t="array" ref="J235">_xlfn.IFS(D235= ""," ",D235&lt;&gt; " ",(H235-F235)*(G235/H235))</f>
        <v>7</v>
      </c>
      <c r="K235" s="7" cm="1">
        <f t="array" ref="K235">IF(ISNUMBER(H235),_xlfn.IFS(D235= ""," ",D235&lt;&gt; " ",F235*(G235/H235)),"")</f>
        <v>0</v>
      </c>
    </row>
    <row r="236" spans="1:11" s="7" customFormat="1" hidden="1" x14ac:dyDescent="0.35">
      <c r="A236" s="7" t="s">
        <v>13</v>
      </c>
      <c r="B236" s="7">
        <v>2002</v>
      </c>
      <c r="D236" s="6" t="s">
        <v>73</v>
      </c>
      <c r="E236" s="7" t="str" cm="1">
        <f t="array" ref="E236">_xlfn.IFS(D236=policy_name_clustering!$A$2,policy_name_clustering!$C$2,D236=policy_name_clustering!$A$3,policy_name_clustering!$C$3,D236=policy_name_clustering!$A$4,policy_name_clustering!$C$4,D236=policy_name_clustering!$A$5,policy_name_clustering!$C$5,D236=policy_name_clustering!$A$6,policy_name_clustering!$C$6,D236=policy_name_clustering!$A$7,policy_name_clustering!$C$7,D236=policy_name_clustering!$A$8,policy_name_clustering!$C$8,D236=policy_name_clustering!$A$9,policy_name_clustering!$C$9,D236=policy_name_clustering!$A$10,policy_name_clustering!$C$10,D236=policy_name_clustering!$A$11,policy_name_clustering!$C$11,D236=policy_name_clustering!$A$12,policy_name_clustering!$C$12,D236="-","")</f>
        <v/>
      </c>
      <c r="G236" s="7">
        <f>solar_cum_cap!C208</f>
        <v>8</v>
      </c>
      <c r="H236" s="7">
        <f>estimated_capacity!C198</f>
        <v>21.5187276874614</v>
      </c>
      <c r="I236" s="7" cm="1">
        <f t="array" ref="I236">_xlfn.IFS(D236= ""," ",D236&lt;&gt; " ",F236*(G236/H236))</f>
        <v>0</v>
      </c>
      <c r="J236" s="7" cm="1">
        <f t="array" ref="J236">_xlfn.IFS(D236= ""," ",D236&lt;&gt; " ",(H236-F236)*(G236/H236))</f>
        <v>8</v>
      </c>
      <c r="K236" s="7" cm="1">
        <f t="array" ref="K236">IF(ISNUMBER(H236),_xlfn.IFS(D236= ""," ",D236&lt;&gt; " ",F236*(G236/H236)),"")</f>
        <v>0</v>
      </c>
    </row>
    <row r="237" spans="1:11" s="7" customFormat="1" hidden="1" x14ac:dyDescent="0.35">
      <c r="A237" s="7" t="s">
        <v>13</v>
      </c>
      <c r="B237" s="7">
        <v>2003</v>
      </c>
      <c r="D237" s="6" t="s">
        <v>73</v>
      </c>
      <c r="E237" s="7" t="str" cm="1">
        <f t="array" ref="E237">_xlfn.IFS(D237=policy_name_clustering!$A$2,policy_name_clustering!$C$2,D237=policy_name_clustering!$A$3,policy_name_clustering!$C$3,D237=policy_name_clustering!$A$4,policy_name_clustering!$C$4,D237=policy_name_clustering!$A$5,policy_name_clustering!$C$5,D237=policy_name_clustering!$A$6,policy_name_clustering!$C$6,D237=policy_name_clustering!$A$7,policy_name_clustering!$C$7,D237=policy_name_clustering!$A$8,policy_name_clustering!$C$8,D237=policy_name_clustering!$A$9,policy_name_clustering!$C$9,D237=policy_name_clustering!$A$10,policy_name_clustering!$C$10,D237=policy_name_clustering!$A$11,policy_name_clustering!$C$11,D237=policy_name_clustering!$A$12,policy_name_clustering!$C$12,D237="-","")</f>
        <v/>
      </c>
      <c r="G237" s="7">
        <f>solar_cum_cap!C209</f>
        <v>9</v>
      </c>
      <c r="H237" s="7">
        <f>estimated_capacity!C199</f>
        <v>44.006690142415898</v>
      </c>
      <c r="I237" s="7" cm="1">
        <f t="array" ref="I237">_xlfn.IFS(D237= ""," ",D237&lt;&gt; " ",F237*(G237/H237))</f>
        <v>0</v>
      </c>
      <c r="J237" s="7" cm="1">
        <f t="array" ref="J237">_xlfn.IFS(D237= ""," ",D237&lt;&gt; " ",(H237-F237)*(G237/H237))</f>
        <v>9</v>
      </c>
      <c r="K237" s="7" cm="1">
        <f t="array" ref="K237">IF(ISNUMBER(H237),_xlfn.IFS(D237= ""," ",D237&lt;&gt; " ",F237*(G237/H237)),"")</f>
        <v>0</v>
      </c>
    </row>
    <row r="238" spans="1:11" s="7" customFormat="1" hidden="1" x14ac:dyDescent="0.35">
      <c r="A238" s="7" t="s">
        <v>13</v>
      </c>
      <c r="B238" s="7">
        <v>2004</v>
      </c>
      <c r="D238" s="6" t="s">
        <v>73</v>
      </c>
      <c r="E238" s="7" t="str" cm="1">
        <f t="array" ref="E238">_xlfn.IFS(D238=policy_name_clustering!$A$2,policy_name_clustering!$C$2,D238=policy_name_clustering!$A$3,policy_name_clustering!$C$3,D238=policy_name_clustering!$A$4,policy_name_clustering!$C$4,D238=policy_name_clustering!$A$5,policy_name_clustering!$C$5,D238=policy_name_clustering!$A$6,policy_name_clustering!$C$6,D238=policy_name_clustering!$A$7,policy_name_clustering!$C$7,D238=policy_name_clustering!$A$8,policy_name_clustering!$C$8,D238=policy_name_clustering!$A$9,policy_name_clustering!$C$9,D238=policy_name_clustering!$A$10,policy_name_clustering!$C$10,D238=policy_name_clustering!$A$11,policy_name_clustering!$C$11,D238=policy_name_clustering!$A$12,policy_name_clustering!$C$12,D238="-","")</f>
        <v/>
      </c>
      <c r="G238" s="7">
        <f>solar_cum_cap!C210</f>
        <v>11</v>
      </c>
      <c r="H238" s="7">
        <f>estimated_capacity!C200</f>
        <v>89.324122995689194</v>
      </c>
      <c r="I238" s="7" cm="1">
        <f t="array" ref="I238">_xlfn.IFS(D238= ""," ",D238&lt;&gt; " ",F238*(G238/H238))</f>
        <v>0</v>
      </c>
      <c r="J238" s="7" cm="1">
        <f t="array" ref="J238">_xlfn.IFS(D238= ""," ",D238&lt;&gt; " ",(H238-F238)*(G238/H238))</f>
        <v>11</v>
      </c>
      <c r="K238" s="7" cm="1">
        <f t="array" ref="K238">IF(ISNUMBER(H238),_xlfn.IFS(D238= ""," ",D238&lt;&gt; " ",F238*(G238/H238)),"")</f>
        <v>0</v>
      </c>
    </row>
    <row r="239" spans="1:11" s="7" customFormat="1" hidden="1" x14ac:dyDescent="0.35">
      <c r="A239" s="7" t="s">
        <v>13</v>
      </c>
      <c r="B239" s="7">
        <v>2005</v>
      </c>
      <c r="D239" s="6" t="s">
        <v>73</v>
      </c>
      <c r="E239" s="7" t="str" cm="1">
        <f t="array" ref="E239">_xlfn.IFS(D239=policy_name_clustering!$A$2,policy_name_clustering!$C$2,D239=policy_name_clustering!$A$3,policy_name_clustering!$C$3,D239=policy_name_clustering!$A$4,policy_name_clustering!$C$4,D239=policy_name_clustering!$A$5,policy_name_clustering!$C$5,D239=policy_name_clustering!$A$6,policy_name_clustering!$C$6,D239=policy_name_clustering!$A$7,policy_name_clustering!$C$7,D239=policy_name_clustering!$A$8,policy_name_clustering!$C$8,D239=policy_name_clustering!$A$9,policy_name_clustering!$C$9,D239=policy_name_clustering!$A$10,policy_name_clustering!$C$10,D239=policy_name_clustering!$A$11,policy_name_clustering!$C$11,D239=policy_name_clustering!$A$12,policy_name_clustering!$C$12,D239="-","")</f>
        <v/>
      </c>
      <c r="G239" s="7">
        <f>solar_cum_cap!C211</f>
        <v>13</v>
      </c>
      <c r="H239" s="7">
        <f>estimated_capacity!C201</f>
        <v>134.79282858983501</v>
      </c>
      <c r="I239" s="7" cm="1">
        <f t="array" ref="I239">_xlfn.IFS(D239= ""," ",D239&lt;&gt; " ",F239*(G239/H239))</f>
        <v>0</v>
      </c>
      <c r="J239" s="7" cm="1">
        <f t="array" ref="J239">_xlfn.IFS(D239= ""," ",D239&lt;&gt; " ",(H239-F239)*(G239/H239))</f>
        <v>13.000000000000002</v>
      </c>
      <c r="K239" s="7" cm="1">
        <f t="array" ref="K239">IF(ISNUMBER(H239),_xlfn.IFS(D239= ""," ",D239&lt;&gt; " ",F239*(G239/H239)),"")</f>
        <v>0</v>
      </c>
    </row>
    <row r="240" spans="1:11" s="7" customFormat="1" hidden="1" x14ac:dyDescent="0.35">
      <c r="A240" s="7" t="s">
        <v>13</v>
      </c>
      <c r="B240" s="7">
        <v>2006</v>
      </c>
      <c r="D240" s="6" t="s">
        <v>73</v>
      </c>
      <c r="E240" s="7" t="str" cm="1">
        <f t="array" ref="E240">_xlfn.IFS(D240=policy_name_clustering!$A$2,policy_name_clustering!$C$2,D240=policy_name_clustering!$A$3,policy_name_clustering!$C$3,D240=policy_name_clustering!$A$4,policy_name_clustering!$C$4,D240=policy_name_clustering!$A$5,policy_name_clustering!$C$5,D240=policy_name_clustering!$A$6,policy_name_clustering!$C$6,D240=policy_name_clustering!$A$7,policy_name_clustering!$C$7,D240=policy_name_clustering!$A$8,policy_name_clustering!$C$8,D240=policy_name_clustering!$A$9,policy_name_clustering!$C$9,D240=policy_name_clustering!$A$10,policy_name_clustering!$C$10,D240=policy_name_clustering!$A$11,policy_name_clustering!$C$11,D240=policy_name_clustering!$A$12,policy_name_clustering!$C$12,D240="-","")</f>
        <v/>
      </c>
      <c r="G240" s="7">
        <f>solar_cum_cap!C212</f>
        <v>15</v>
      </c>
      <c r="H240" s="7">
        <f>estimated_capacity!C202</f>
        <v>185.23839138330499</v>
      </c>
      <c r="I240" s="7" cm="1">
        <f t="array" ref="I240">_xlfn.IFS(D240= ""," ",D240&lt;&gt; " ",F240*(G240/H240))</f>
        <v>0</v>
      </c>
      <c r="J240" s="7" cm="1">
        <f t="array" ref="J240">_xlfn.IFS(D240= ""," ",D240&lt;&gt; " ",(H240-F240)*(G240/H240))</f>
        <v>15</v>
      </c>
      <c r="K240" s="7" cm="1">
        <f t="array" ref="K240">IF(ISNUMBER(H240),_xlfn.IFS(D240= ""," ",D240&lt;&gt; " ",F240*(G240/H240)),"")</f>
        <v>0</v>
      </c>
    </row>
    <row r="241" spans="1:11" s="7" customFormat="1" hidden="1" x14ac:dyDescent="0.35">
      <c r="A241" s="7" t="s">
        <v>13</v>
      </c>
      <c r="B241" s="7">
        <v>2007</v>
      </c>
      <c r="D241" s="6" t="s">
        <v>73</v>
      </c>
      <c r="E241" s="7" t="str" cm="1">
        <f t="array" ref="E241">_xlfn.IFS(D241=policy_name_clustering!$A$2,policy_name_clustering!$C$2,D241=policy_name_clustering!$A$3,policy_name_clustering!$C$3,D241=policy_name_clustering!$A$4,policy_name_clustering!$C$4,D241=policy_name_clustering!$A$5,policy_name_clustering!$C$5,D241=policy_name_clustering!$A$6,policy_name_clustering!$C$6,D241=policy_name_clustering!$A$7,policy_name_clustering!$C$7,D241=policy_name_clustering!$A$8,policy_name_clustering!$C$8,D241=policy_name_clustering!$A$9,policy_name_clustering!$C$9,D241=policy_name_clustering!$A$10,policy_name_clustering!$C$10,D241=policy_name_clustering!$A$11,policy_name_clustering!$C$11,D241=policy_name_clustering!$A$12,policy_name_clustering!$C$12,D241="-","")</f>
        <v/>
      </c>
      <c r="G241" s="7">
        <f>solar_cum_cap!C213</f>
        <v>26</v>
      </c>
      <c r="H241" s="7">
        <f>estimated_capacity!C203</f>
        <v>239.60370240267801</v>
      </c>
      <c r="I241" s="7" cm="1">
        <f t="array" ref="I241">_xlfn.IFS(D241= ""," ",D241&lt;&gt; " ",F241*(G241/H241))</f>
        <v>0</v>
      </c>
      <c r="J241" s="7" cm="1">
        <f t="array" ref="J241">_xlfn.IFS(D241= ""," ",D241&lt;&gt; " ",(H241-F241)*(G241/H241))</f>
        <v>26</v>
      </c>
      <c r="K241" s="7" cm="1">
        <f t="array" ref="K241">IF(ISNUMBER(H241),_xlfn.IFS(D241= ""," ",D241&lt;&gt; " ",F241*(G241/H241)),"")</f>
        <v>0</v>
      </c>
    </row>
    <row r="242" spans="1:11" s="7" customFormat="1" hidden="1" x14ac:dyDescent="0.35">
      <c r="A242" s="7" t="s">
        <v>13</v>
      </c>
      <c r="B242" s="7">
        <v>2008</v>
      </c>
      <c r="D242" s="6" t="s">
        <v>73</v>
      </c>
      <c r="E242" s="7" t="str" cm="1">
        <f t="array" ref="E242">_xlfn.IFS(D242=policy_name_clustering!$A$2,policy_name_clustering!$C$2,D242=policy_name_clustering!$A$3,policy_name_clustering!$C$3,D242=policy_name_clustering!$A$4,policy_name_clustering!$C$4,D242=policy_name_clustering!$A$5,policy_name_clustering!$C$5,D242=policy_name_clustering!$A$6,policy_name_clustering!$C$6,D242=policy_name_clustering!$A$7,policy_name_clustering!$C$7,D242=policy_name_clustering!$A$8,policy_name_clustering!$C$8,D242=policy_name_clustering!$A$9,policy_name_clustering!$C$9,D242=policy_name_clustering!$A$10,policy_name_clustering!$C$10,D242=policy_name_clustering!$A$11,policy_name_clustering!$C$11,D242=policy_name_clustering!$A$12,policy_name_clustering!$C$12,D242="-","")</f>
        <v/>
      </c>
      <c r="G242" s="7">
        <f>solar_cum_cap!C214</f>
        <v>80</v>
      </c>
      <c r="H242" s="7">
        <f>estimated_capacity!C204</f>
        <v>305.59638819704401</v>
      </c>
      <c r="I242" s="7" cm="1">
        <f t="array" ref="I242">_xlfn.IFS(D242= ""," ",D242&lt;&gt; " ",F242*(G242/H242))</f>
        <v>0</v>
      </c>
      <c r="J242" s="7" cm="1">
        <f t="array" ref="J242">_xlfn.IFS(D242= ""," ",D242&lt;&gt; " ",(H242-F242)*(G242/H242))</f>
        <v>80.000000000000014</v>
      </c>
      <c r="K242" s="7" cm="1">
        <f t="array" ref="K242">IF(ISNUMBER(H242),_xlfn.IFS(D242= ""," ",D242&lt;&gt; " ",F242*(G242/H242)),"")</f>
        <v>0</v>
      </c>
    </row>
    <row r="243" spans="1:11" s="7" customFormat="1" hidden="1" x14ac:dyDescent="0.35">
      <c r="A243" s="7" t="s">
        <v>13</v>
      </c>
      <c r="B243" s="7">
        <v>2009</v>
      </c>
      <c r="D243" s="6" t="s">
        <v>73</v>
      </c>
      <c r="E243" s="7" t="str" cm="1">
        <f t="array" ref="E243">_xlfn.IFS(D243=policy_name_clustering!$A$2,policy_name_clustering!$C$2,D243=policy_name_clustering!$A$3,policy_name_clustering!$C$3,D243=policy_name_clustering!$A$4,policy_name_clustering!$C$4,D243=policy_name_clustering!$A$5,policy_name_clustering!$C$5,D243=policy_name_clustering!$A$6,policy_name_clustering!$C$6,D243=policy_name_clustering!$A$7,policy_name_clustering!$C$7,D243=policy_name_clustering!$A$8,policy_name_clustering!$C$8,D243=policy_name_clustering!$A$9,policy_name_clustering!$C$9,D243=policy_name_clustering!$A$10,policy_name_clustering!$C$10,D243=policy_name_clustering!$A$11,policy_name_clustering!$C$11,D243=policy_name_clustering!$A$12,policy_name_clustering!$C$12,D243="-","")</f>
        <v/>
      </c>
      <c r="G243" s="7">
        <f>solar_cum_cap!C215</f>
        <v>277</v>
      </c>
      <c r="H243" s="7">
        <f>estimated_capacity!C205</f>
        <v>375.973126567875</v>
      </c>
      <c r="I243" s="7" cm="1">
        <f t="array" ref="I243">_xlfn.IFS(D243= ""," ",D243&lt;&gt; " ",F243*(G243/H243))</f>
        <v>0</v>
      </c>
      <c r="J243" s="7" cm="1">
        <f t="array" ref="J243">_xlfn.IFS(D243= ""," ",D243&lt;&gt; " ",(H243-F243)*(G243/H243))</f>
        <v>277</v>
      </c>
      <c r="K243" s="7" cm="1">
        <f t="array" ref="K243">IF(ISNUMBER(H243),_xlfn.IFS(D243= ""," ",D243&lt;&gt; " ",F243*(G243/H243)),"")</f>
        <v>0</v>
      </c>
    </row>
    <row r="244" spans="1:11" s="7" customFormat="1" ht="29" x14ac:dyDescent="0.35">
      <c r="A244" s="7" t="s">
        <v>13</v>
      </c>
      <c r="B244" s="7">
        <v>2010</v>
      </c>
      <c r="C244" s="7" t="s">
        <v>120</v>
      </c>
      <c r="D244" s="6" t="s">
        <v>147</v>
      </c>
      <c r="E244" s="7" t="str" cm="1">
        <f t="array" ref="E244">_xlfn.IFS(D244=policy_name_clustering!$A$2,policy_name_clustering!$C$2,D244=policy_name_clustering!$A$3,policy_name_clustering!$C$3,D244=policy_name_clustering!$A$4,policy_name_clustering!$C$4,D244=policy_name_clustering!$A$5,policy_name_clustering!$C$5,D244=policy_name_clustering!$A$6,policy_name_clustering!$C$6,D244=policy_name_clustering!$A$7,policy_name_clustering!$C$7,D244=policy_name_clustering!$A$8,policy_name_clustering!$C$8,D244=policy_name_clustering!$A$9,policy_name_clustering!$C$9,D244=policy_name_clustering!$A$10,policy_name_clustering!$C$10,D244=policy_name_clustering!$A$11,policy_name_clustering!$C$11,D244=policy_name_clustering!$A$12,policy_name_clustering!$C$12,D244="-","")</f>
        <v xml:space="preserve">Policy mix </v>
      </c>
      <c r="F244" s="7">
        <f>policy_contributions_cum!F60</f>
        <v>782.69045717732001</v>
      </c>
      <c r="G244" s="7">
        <f>solar_cum_cap!C216</f>
        <v>1044</v>
      </c>
      <c r="H244" s="7">
        <f>estimated_capacity!C206</f>
        <v>1269.3524201815001</v>
      </c>
      <c r="I244" s="7" cm="1">
        <f t="array" ref="I244">_xlfn.IFS(D244= ""," ",D244&lt;&gt; " ",F244*(G244/H244))</f>
        <v>643.73677814100188</v>
      </c>
      <c r="J244" s="7" cm="1">
        <f t="array" ref="J244">_xlfn.IFS(D244= ""," ",D244&lt;&gt; " ",(H244-F244)*(G244/H244))</f>
        <v>400.26322185899812</v>
      </c>
      <c r="K244" s="7" cm="1">
        <f t="array" ref="K244">IF(ISNUMBER(H244),_xlfn.IFS(D244= ""," ",D244&lt;&gt; " ",F244*(G244/H244)),"")</f>
        <v>643.73677814100188</v>
      </c>
    </row>
    <row r="245" spans="1:11" s="7" customFormat="1" ht="29" x14ac:dyDescent="0.35">
      <c r="A245" s="7" t="s">
        <v>13</v>
      </c>
      <c r="B245" s="7">
        <v>2011</v>
      </c>
      <c r="C245" s="7" t="s">
        <v>121</v>
      </c>
      <c r="D245" s="6" t="s">
        <v>147</v>
      </c>
      <c r="E245" s="7" t="str" cm="1">
        <f t="array" ref="E245">_xlfn.IFS(D245=policy_name_clustering!$A$2,policy_name_clustering!$C$2,D245=policy_name_clustering!$A$3,policy_name_clustering!$C$3,D245=policy_name_clustering!$A$4,policy_name_clustering!$C$4,D245=policy_name_clustering!$A$5,policy_name_clustering!$C$5,D245=policy_name_clustering!$A$6,policy_name_clustering!$C$6,D245=policy_name_clustering!$A$7,policy_name_clustering!$C$7,D245=policy_name_clustering!$A$8,policy_name_clustering!$C$8,D245=policy_name_clustering!$A$9,policy_name_clustering!$C$9,D245=policy_name_clustering!$A$10,policy_name_clustering!$C$10,D245=policy_name_clustering!$A$11,policy_name_clustering!$C$11,D245=policy_name_clustering!$A$12,policy_name_clustering!$C$12,D245="-","")</f>
        <v xml:space="preserve">Policy mix </v>
      </c>
      <c r="F245" s="7">
        <f>policy_contributions_cum!F61</f>
        <v>1661.67861283036</v>
      </c>
      <c r="G245" s="7">
        <f>solar_cum_cap!C217</f>
        <v>3003.5749999999998</v>
      </c>
      <c r="H245" s="7">
        <f>estimated_capacity!C207</f>
        <v>2311.5964946107902</v>
      </c>
      <c r="I245" s="7" cm="1">
        <f t="array" ref="I245">_xlfn.IFS(D245= ""," ",D245&lt;&gt; " ",F245*(G245/H245))</f>
        <v>2159.1036113646178</v>
      </c>
      <c r="J245" s="7" cm="1">
        <f t="array" ref="J245">_xlfn.IFS(D245= ""," ",D245&lt;&gt; " ",(H245-F245)*(G245/H245))</f>
        <v>844.47138863538214</v>
      </c>
      <c r="K245" s="7" cm="1">
        <f t="array" ref="K245">IF(ISNUMBER(H245),_xlfn.IFS(D245= ""," ",D245&lt;&gt; " ",F245*(G245/H245)),"")</f>
        <v>2159.1036113646178</v>
      </c>
    </row>
    <row r="246" spans="1:11" s="7" customFormat="1" ht="29" x14ac:dyDescent="0.35">
      <c r="A246" s="7" t="s">
        <v>13</v>
      </c>
      <c r="B246" s="7">
        <v>2012</v>
      </c>
      <c r="C246" s="7" t="s">
        <v>118</v>
      </c>
      <c r="D246" s="6" t="s">
        <v>147</v>
      </c>
      <c r="E246" s="7" t="str" cm="1">
        <f t="array" ref="E246">_xlfn.IFS(D246=policy_name_clustering!$A$2,policy_name_clustering!$C$2,D246=policy_name_clustering!$A$3,policy_name_clustering!$C$3,D246=policy_name_clustering!$A$4,policy_name_clustering!$C$4,D246=policy_name_clustering!$A$5,policy_name_clustering!$C$5,D246=policy_name_clustering!$A$6,policy_name_clustering!$C$6,D246=policy_name_clustering!$A$7,policy_name_clustering!$C$7,D246=policy_name_clustering!$A$8,policy_name_clustering!$C$8,D246=policy_name_clustering!$A$9,policy_name_clustering!$C$9,D246=policy_name_clustering!$A$10,policy_name_clustering!$C$10,D246=policy_name_clustering!$A$11,policy_name_clustering!$C$11,D246=policy_name_clustering!$A$12,policy_name_clustering!$C$12,D246="-","")</f>
        <v xml:space="preserve">Policy mix </v>
      </c>
      <c r="F246" s="7">
        <f>policy_contributions_cum!F62</f>
        <v>2621.0451782550299</v>
      </c>
      <c r="G246" s="7">
        <f>solar_cum_cap!C218</f>
        <v>4358.7539999999999</v>
      </c>
      <c r="H246" s="7">
        <f>estimated_capacity!C208</f>
        <v>3478.09602417936</v>
      </c>
      <c r="I246" s="7" cm="1">
        <f t="array" ref="I246">_xlfn.IFS(D246= ""," ",D246&lt;&gt; " ",F246*(G246/H246))</f>
        <v>3284.6968788319691</v>
      </c>
      <c r="J246" s="7" cm="1">
        <f t="array" ref="J246">_xlfn.IFS(D246= ""," ",D246&lt;&gt; " ",(H246-F246)*(G246/H246))</f>
        <v>1074.057121168031</v>
      </c>
      <c r="K246" s="7" cm="1">
        <f t="array" ref="K246">IF(ISNUMBER(H246),_xlfn.IFS(D246= ""," ",D246&lt;&gt; " ",F246*(G246/H246)),"")</f>
        <v>3284.6968788319691</v>
      </c>
    </row>
    <row r="247" spans="1:11" s="7" customFormat="1" ht="29" x14ac:dyDescent="0.35">
      <c r="A247" s="7" t="s">
        <v>13</v>
      </c>
      <c r="B247" s="7">
        <v>2013</v>
      </c>
      <c r="C247" s="12" t="s">
        <v>87</v>
      </c>
      <c r="D247" s="6" t="s">
        <v>147</v>
      </c>
      <c r="E247" s="7" t="str" cm="1">
        <f t="array" ref="E247">_xlfn.IFS(D247=policy_name_clustering!$A$2,policy_name_clustering!$C$2,D247=policy_name_clustering!$A$3,policy_name_clustering!$C$3,D247=policy_name_clustering!$A$4,policy_name_clustering!$C$4,D247=policy_name_clustering!$A$5,policy_name_clustering!$C$5,D247=policy_name_clustering!$A$6,policy_name_clustering!$C$6,D247=policy_name_clustering!$A$7,policy_name_clustering!$C$7,D247=policy_name_clustering!$A$8,policy_name_clustering!$C$8,D247=policy_name_clustering!$A$9,policy_name_clustering!$C$9,D247=policy_name_clustering!$A$10,policy_name_clustering!$C$10,D247=policy_name_clustering!$A$11,policy_name_clustering!$C$11,D247=policy_name_clustering!$A$12,policy_name_clustering!$C$12,D247="-","")</f>
        <v xml:space="preserve">Policy mix </v>
      </c>
      <c r="F247" s="7">
        <f>policy_contributions_cum!F63</f>
        <v>3691.0623565463002</v>
      </c>
      <c r="G247" s="7">
        <f>solar_cum_cap!C219</f>
        <v>5277.2889999999998</v>
      </c>
      <c r="H247" s="7">
        <f>estimated_capacity!C209</f>
        <v>4815.64823197637</v>
      </c>
      <c r="I247" s="7" cm="1">
        <f t="array" ref="I247">_xlfn.IFS(D247= ""," ",D247&lt;&gt; " ",F247*(G247/H247))</f>
        <v>4044.8973500960333</v>
      </c>
      <c r="J247" s="7" cm="1">
        <f t="array" ref="J247">_xlfn.IFS(D247= ""," ",D247&lt;&gt; " ",(H247-F247)*(G247/H247))</f>
        <v>1232.3916499039665</v>
      </c>
      <c r="K247" s="7" cm="1">
        <f t="array" ref="K247">IF(ISNUMBER(H247),_xlfn.IFS(D247= ""," ",D247&lt;&gt; " ",F247*(G247/H247)),"")</f>
        <v>4044.8973500960333</v>
      </c>
    </row>
    <row r="248" spans="1:11" s="7" customFormat="1" ht="29" x14ac:dyDescent="0.35">
      <c r="A248" s="7" t="s">
        <v>13</v>
      </c>
      <c r="B248" s="7">
        <v>2014</v>
      </c>
      <c r="C248" s="7" t="s">
        <v>119</v>
      </c>
      <c r="D248" s="6" t="s">
        <v>147</v>
      </c>
      <c r="E248" s="7" t="str" cm="1">
        <f t="array" ref="E248">_xlfn.IFS(D248=policy_name_clustering!$A$2,policy_name_clustering!$C$2,D248=policy_name_clustering!$A$3,policy_name_clustering!$C$3,D248=policy_name_clustering!$A$4,policy_name_clustering!$C$4,D248=policy_name_clustering!$A$5,policy_name_clustering!$C$5,D248=policy_name_clustering!$A$6,policy_name_clustering!$C$6,D248=policy_name_clustering!$A$7,policy_name_clustering!$C$7,D248=policy_name_clustering!$A$8,policy_name_clustering!$C$8,D248=policy_name_clustering!$A$9,policy_name_clustering!$C$9,D248=policy_name_clustering!$A$10,policy_name_clustering!$C$10,D248=policy_name_clustering!$A$11,policy_name_clustering!$C$11,D248=policy_name_clustering!$A$12,policy_name_clustering!$C$12,D248="-","")</f>
        <v xml:space="preserve">Policy mix </v>
      </c>
      <c r="F248" s="7">
        <f>policy_contributions_cum!F64</f>
        <v>4791.6593470365597</v>
      </c>
      <c r="G248" s="7">
        <f>solar_cum_cap!C220</f>
        <v>6034.4179999999997</v>
      </c>
      <c r="H248" s="7">
        <f>estimated_capacity!C210</f>
        <v>6200.4731899267399</v>
      </c>
      <c r="I248" s="7" cm="1">
        <f t="array" ref="I248">_xlfn.IFS(D248= ""," ",D248&lt;&gt; " ",F248*(G248/H248))</f>
        <v>4663.3336727591422</v>
      </c>
      <c r="J248" s="7" cm="1">
        <f t="array" ref="J248">_xlfn.IFS(D248= ""," ",D248&lt;&gt; " ",(H248-F248)*(G248/H248))</f>
        <v>1371.0843272408572</v>
      </c>
      <c r="K248" s="7" cm="1">
        <f t="array" ref="K248">IF(ISNUMBER(H248),_xlfn.IFS(D248= ""," ",D248&lt;&gt; " ",F248*(G248/H248)),"")</f>
        <v>4663.3336727591422</v>
      </c>
    </row>
    <row r="249" spans="1:11" s="7" customFormat="1" ht="29" x14ac:dyDescent="0.35">
      <c r="A249" s="7" t="s">
        <v>13</v>
      </c>
      <c r="B249" s="7">
        <v>2015</v>
      </c>
      <c r="D249" s="6" t="s">
        <v>147</v>
      </c>
      <c r="E249" s="7" t="str" cm="1">
        <f t="array" ref="E249">_xlfn.IFS(D249=policy_name_clustering!$A$2,policy_name_clustering!$C$2,D249=policy_name_clustering!$A$3,policy_name_clustering!$C$3,D249=policy_name_clustering!$A$4,policy_name_clustering!$C$4,D249=policy_name_clustering!$A$5,policy_name_clustering!$C$5,D249=policy_name_clustering!$A$6,policy_name_clustering!$C$6,D249=policy_name_clustering!$A$7,policy_name_clustering!$C$7,D249=policy_name_clustering!$A$8,policy_name_clustering!$C$8,D249=policy_name_clustering!$A$9,policy_name_clustering!$C$9,D249=policy_name_clustering!$A$10,policy_name_clustering!$C$10,D249=policy_name_clustering!$A$11,policy_name_clustering!$C$11,D249=policy_name_clustering!$A$12,policy_name_clustering!$C$12,D249="-","")</f>
        <v xml:space="preserve">Policy mix </v>
      </c>
      <c r="F249" s="7">
        <f>policy_contributions_cum!F65</f>
        <v>5793.1265359252302</v>
      </c>
      <c r="G249" s="7">
        <f>solar_cum_cap!C221</f>
        <v>7137.5169999999998</v>
      </c>
      <c r="H249" s="7">
        <f>estimated_capacity!C211</f>
        <v>7432.0552726962396</v>
      </c>
      <c r="I249" s="7" cm="1">
        <f t="array" ref="I249">_xlfn.IFS(D249= ""," ",D249&lt;&gt; " ",F249*(G249/H249))</f>
        <v>5563.5403150489228</v>
      </c>
      <c r="J249" s="7" cm="1">
        <f t="array" ref="J249">_xlfn.IFS(D249= ""," ",D249&lt;&gt; " ",(H249-F249)*(G249/H249))</f>
        <v>1573.9766849510777</v>
      </c>
      <c r="K249" s="7" cm="1">
        <f t="array" ref="K249">IF(ISNUMBER(H249),_xlfn.IFS(D249= ""," ",D249&lt;&gt; " ",F249*(G249/H249)),"")</f>
        <v>5563.5403150489228</v>
      </c>
    </row>
    <row r="250" spans="1:11" s="7" customFormat="1" ht="29" x14ac:dyDescent="0.35">
      <c r="A250" s="7" t="s">
        <v>13</v>
      </c>
      <c r="B250" s="7">
        <v>2016</v>
      </c>
      <c r="D250" s="6" t="s">
        <v>147</v>
      </c>
      <c r="E250" s="7" t="str" cm="1">
        <f t="array" ref="E250">_xlfn.IFS(D250=policy_name_clustering!$A$2,policy_name_clustering!$C$2,D250=policy_name_clustering!$A$3,policy_name_clustering!$C$3,D250=policy_name_clustering!$A$4,policy_name_clustering!$C$4,D250=policy_name_clustering!$A$5,policy_name_clustering!$C$5,D250=policy_name_clustering!$A$6,policy_name_clustering!$C$6,D250=policy_name_clustering!$A$7,policy_name_clustering!$C$7,D250=policy_name_clustering!$A$8,policy_name_clustering!$C$8,D250=policy_name_clustering!$A$9,policy_name_clustering!$C$9,D250=policy_name_clustering!$A$10,policy_name_clustering!$C$10,D250=policy_name_clustering!$A$11,policy_name_clustering!$C$11,D250=policy_name_clustering!$A$12,policy_name_clustering!$C$12,D250="-","")</f>
        <v xml:space="preserve">Policy mix </v>
      </c>
      <c r="F250" s="7">
        <f>policy_contributions_cum!F66</f>
        <v>6781.7840947800496</v>
      </c>
      <c r="G250" s="7">
        <f>solar_cum_cap!C222</f>
        <v>7702.0810000000001</v>
      </c>
      <c r="H250" s="7">
        <f>estimated_capacity!C212</f>
        <v>8643.8351919924207</v>
      </c>
      <c r="I250" s="7" cm="1">
        <f t="array" ref="I250">_xlfn.IFS(D250= ""," ",D250&lt;&gt; " ",F250*(G250/H250))</f>
        <v>6042.9021681135982</v>
      </c>
      <c r="J250" s="7" cm="1">
        <f t="array" ref="J250">_xlfn.IFS(D250= ""," ",D250&lt;&gt; " ",(H250-F250)*(G250/H250))</f>
        <v>1659.1788318864019</v>
      </c>
      <c r="K250" s="7" cm="1">
        <f t="array" ref="K250">IF(ISNUMBER(H250),_xlfn.IFS(D250= ""," ",D250&lt;&gt; " ",F250*(G250/H250)),"")</f>
        <v>6042.9021681135982</v>
      </c>
    </row>
    <row r="251" spans="1:11" s="7" customFormat="1" ht="29" x14ac:dyDescent="0.35">
      <c r="A251" s="7" t="s">
        <v>13</v>
      </c>
      <c r="B251" s="7">
        <v>2017</v>
      </c>
      <c r="C251" s="7" t="s">
        <v>117</v>
      </c>
      <c r="D251" s="6" t="s">
        <v>147</v>
      </c>
      <c r="E251" s="7" t="str" cm="1">
        <f t="array" ref="E251">_xlfn.IFS(D251=policy_name_clustering!$A$2,policy_name_clustering!$C$2,D251=policy_name_clustering!$A$3,policy_name_clustering!$C$3,D251=policy_name_clustering!$A$4,policy_name_clustering!$C$4,D251=policy_name_clustering!$A$5,policy_name_clustering!$C$5,D251=policy_name_clustering!$A$6,policy_name_clustering!$C$6,D251=policy_name_clustering!$A$7,policy_name_clustering!$C$7,D251=policy_name_clustering!$A$8,policy_name_clustering!$C$8,D251=policy_name_clustering!$A$9,policy_name_clustering!$C$9,D251=policy_name_clustering!$A$10,policy_name_clustering!$C$10,D251=policy_name_clustering!$A$11,policy_name_clustering!$C$11,D251=policy_name_clustering!$A$12,policy_name_clustering!$C$12,D251="-","")</f>
        <v xml:space="preserve">Policy mix </v>
      </c>
      <c r="F251" s="7">
        <f>policy_contributions_cum!F67</f>
        <v>7876.7575604034</v>
      </c>
      <c r="G251" s="7">
        <f>solar_cum_cap!C223</f>
        <v>8610.4369999999999</v>
      </c>
      <c r="H251" s="7">
        <f>estimated_capacity!C213</f>
        <v>10019.966849791501</v>
      </c>
      <c r="I251" s="7" cm="1">
        <f t="array" ref="I251">_xlfn.IFS(D251= ""," ",D251&lt;&gt; " ",F251*(G251/H251))</f>
        <v>6768.7174772976859</v>
      </c>
      <c r="J251" s="7" cm="1">
        <f t="array" ref="J251">_xlfn.IFS(D251= ""," ",D251&lt;&gt; " ",(H251-F251)*(G251/H251))</f>
        <v>1841.719522702314</v>
      </c>
      <c r="K251" s="7" cm="1">
        <f t="array" ref="K251">IF(ISNUMBER(H251),_xlfn.IFS(D251= ""," ",D251&lt;&gt; " ",F251*(G251/H251)),"")</f>
        <v>6768.7174772976859</v>
      </c>
    </row>
    <row r="252" spans="1:11" s="7" customFormat="1" ht="29" x14ac:dyDescent="0.35">
      <c r="A252" s="7" t="s">
        <v>13</v>
      </c>
      <c r="B252" s="7">
        <v>2018</v>
      </c>
      <c r="D252" s="6" t="s">
        <v>147</v>
      </c>
      <c r="E252" s="7" t="str" cm="1">
        <f t="array" ref="E252">_xlfn.IFS(D252=policy_name_clustering!$A$2,policy_name_clustering!$C$2,D252=policy_name_clustering!$A$3,policy_name_clustering!$C$3,D252=policy_name_clustering!$A$4,policy_name_clustering!$C$4,D252=policy_name_clustering!$A$5,policy_name_clustering!$C$5,D252=policy_name_clustering!$A$6,policy_name_clustering!$C$6,D252=policy_name_clustering!$A$7,policy_name_clustering!$C$7,D252=policy_name_clustering!$A$8,policy_name_clustering!$C$8,D252=policy_name_clustering!$A$9,policy_name_clustering!$C$9,D252=policy_name_clustering!$A$10,policy_name_clustering!$C$10,D252=policy_name_clustering!$A$11,policy_name_clustering!$C$11,D252=policy_name_clustering!$A$12,policy_name_clustering!$C$12,D252="-","")</f>
        <v xml:space="preserve">Policy mix </v>
      </c>
      <c r="F252" s="7">
        <f>policy_contributions_cum!F68</f>
        <v>9036.7829777099705</v>
      </c>
      <c r="G252" s="7">
        <f>solar_cum_cap!C224</f>
        <v>9629.1270000000004</v>
      </c>
      <c r="H252" s="7">
        <f>estimated_capacity!C214</f>
        <v>11496.6610826287</v>
      </c>
      <c r="I252" s="7" cm="1">
        <f t="array" ref="I252">_xlfn.IFS(D252= ""," ",D252&lt;&gt; " ",F252*(G252/H252))</f>
        <v>7568.835015523593</v>
      </c>
      <c r="J252" s="7" cm="1">
        <f t="array" ref="J252">_xlfn.IFS(D252= ""," ",D252&lt;&gt; " ",(H252-F252)*(G252/H252))</f>
        <v>2060.2919844764078</v>
      </c>
      <c r="K252" s="7" cm="1">
        <f t="array" ref="K252">IF(ISNUMBER(H252),_xlfn.IFS(D252= ""," ",D252&lt;&gt; " ",F252*(G252/H252)),"")</f>
        <v>7568.835015523593</v>
      </c>
    </row>
    <row r="253" spans="1:11" s="7" customFormat="1" ht="29" x14ac:dyDescent="0.35">
      <c r="A253" s="7" t="s">
        <v>13</v>
      </c>
      <c r="B253" s="7">
        <v>2019</v>
      </c>
      <c r="D253" s="6" t="s">
        <v>147</v>
      </c>
      <c r="E253" s="7" t="str" cm="1">
        <f t="array" ref="E253">_xlfn.IFS(D253=policy_name_clustering!$A$2,policy_name_clustering!$C$2,D253=policy_name_clustering!$A$3,policy_name_clustering!$C$3,D253=policy_name_clustering!$A$4,policy_name_clustering!$C$4,D253=policy_name_clustering!$A$5,policy_name_clustering!$C$5,D253=policy_name_clustering!$A$6,policy_name_clustering!$C$6,D253=policy_name_clustering!$A$7,policy_name_clustering!$C$7,D253=policy_name_clustering!$A$8,policy_name_clustering!$C$8,D253=policy_name_clustering!$A$9,policy_name_clustering!$C$9,D253=policy_name_clustering!$A$10,policy_name_clustering!$C$10,D253=policy_name_clustering!$A$11,policy_name_clustering!$C$11,D253=policy_name_clustering!$A$12,policy_name_clustering!$C$12,D253="-","")</f>
        <v xml:space="preserve">Policy mix </v>
      </c>
      <c r="F253" s="7">
        <f>policy_contributions_cum!F69</f>
        <v>10064.967310670099</v>
      </c>
      <c r="G253" s="7">
        <f>solar_cum_cap!C225</f>
        <v>10728.641</v>
      </c>
      <c r="H253" s="7">
        <f>estimated_capacity!C215</f>
        <v>12769.544690348201</v>
      </c>
      <c r="I253" s="7" cm="1">
        <f t="array" ref="I253">_xlfn.IFS(D253= ""," ",D253&lt;&gt; " ",F253*(G253/H253))</f>
        <v>8456.3250743414301</v>
      </c>
      <c r="J253" s="7" cm="1">
        <f t="array" ref="J253">_xlfn.IFS(D253= ""," ",D253&lt;&gt; " ",(H253-F253)*(G253/H253))</f>
        <v>2272.3159256585695</v>
      </c>
      <c r="K253" s="7" cm="1">
        <f t="array" ref="K253">IF(ISNUMBER(H253),_xlfn.IFS(D253= ""," ",D253&lt;&gt; " ",F253*(G253/H253)),"")</f>
        <v>8456.3250743414301</v>
      </c>
    </row>
    <row r="254" spans="1:11" s="7" customFormat="1" ht="29" x14ac:dyDescent="0.35">
      <c r="A254" s="7" t="s">
        <v>13</v>
      </c>
      <c r="B254" s="7">
        <v>2020</v>
      </c>
      <c r="D254" s="6" t="s">
        <v>147</v>
      </c>
      <c r="E254" s="7" t="str" cm="1">
        <f t="array" ref="E254">_xlfn.IFS(D254=policy_name_clustering!$A$2,policy_name_clustering!$C$2,D254=policy_name_clustering!$A$3,policy_name_clustering!$C$3,D254=policy_name_clustering!$A$4,policy_name_clustering!$C$4,D254=policy_name_clustering!$A$5,policy_name_clustering!$C$5,D254=policy_name_clustering!$A$6,policy_name_clustering!$C$6,D254=policy_name_clustering!$A$7,policy_name_clustering!$C$7,D254=policy_name_clustering!$A$8,policy_name_clustering!$C$8,D254=policy_name_clustering!$A$9,policy_name_clustering!$C$9,D254=policy_name_clustering!$A$10,policy_name_clustering!$C$10,D254=policy_name_clustering!$A$11,policy_name_clustering!$C$11,D254=policy_name_clustering!$A$12,policy_name_clustering!$C$12,D254="-","")</f>
        <v xml:space="preserve">Policy mix </v>
      </c>
      <c r="F254" s="7">
        <f>policy_contributions_cum!F70</f>
        <v>11037.7243021262</v>
      </c>
      <c r="G254" s="7">
        <f>solar_cum_cap!C226</f>
        <v>11916.592000000001</v>
      </c>
      <c r="H254" s="7">
        <f>estimated_capacity!C216</f>
        <v>13956.744224877901</v>
      </c>
      <c r="I254" s="7" cm="1">
        <f t="array" ref="I254">_xlfn.IFS(D254= ""," ",D254&lt;&gt; " ",F254*(G254/H254))</f>
        <v>9424.2650719690573</v>
      </c>
      <c r="J254" s="7" cm="1">
        <f t="array" ref="J254">_xlfn.IFS(D254= ""," ",D254&lt;&gt; " ",(H254-F254)*(G254/H254))</f>
        <v>2492.3269280309423</v>
      </c>
      <c r="K254" s="7" cm="1">
        <f t="array" ref="K254">IF(ISNUMBER(H254),_xlfn.IFS(D254= ""," ",D254&lt;&gt; " ",F254*(G254/H254)),"")</f>
        <v>9424.2650719690573</v>
      </c>
    </row>
    <row r="255" spans="1:11" s="7" customFormat="1" ht="29" x14ac:dyDescent="0.35">
      <c r="A255" s="7" t="s">
        <v>13</v>
      </c>
      <c r="B255" s="7">
        <v>2021</v>
      </c>
      <c r="D255" s="6" t="s">
        <v>147</v>
      </c>
      <c r="E255" s="7" t="str" cm="1">
        <f t="array" ref="E255">_xlfn.IFS(D255=policy_name_clustering!$A$2,policy_name_clustering!$C$2,D255=policy_name_clustering!$A$3,policy_name_clustering!$C$3,D255=policy_name_clustering!$A$4,policy_name_clustering!$C$4,D255=policy_name_clustering!$A$5,policy_name_clustering!$C$5,D255=policy_name_clustering!$A$6,policy_name_clustering!$C$6,D255=policy_name_clustering!$A$7,policy_name_clustering!$C$7,D255=policy_name_clustering!$A$8,policy_name_clustering!$C$8,D255=policy_name_clustering!$A$9,policy_name_clustering!$C$9,D255=policy_name_clustering!$A$10,policy_name_clustering!$C$10,D255=policy_name_clustering!$A$11,policy_name_clustering!$C$11,D255=policy_name_clustering!$A$12,policy_name_clustering!$C$12,D255="-","")</f>
        <v xml:space="preserve">Policy mix </v>
      </c>
      <c r="F255" s="7">
        <f>policy_contributions_cum!F71</f>
        <v>12060.6711898393</v>
      </c>
      <c r="G255" s="7">
        <f>solar_cum_cap!C227</f>
        <v>14603.172</v>
      </c>
      <c r="H255" s="7">
        <f>estimated_capacity!C217</f>
        <v>15221.5313655885</v>
      </c>
      <c r="I255" s="7" cm="1">
        <f t="array" ref="I255">_xlfn.IFS(D255= ""," ",D255&lt;&gt; " ",F255*(G255/H255))</f>
        <v>11570.718582154863</v>
      </c>
      <c r="J255" s="7" cm="1">
        <f t="array" ref="J255">_xlfn.IFS(D255= ""," ",D255&lt;&gt; " ",(H255-F255)*(G255/H255))</f>
        <v>3032.4534178451363</v>
      </c>
      <c r="K255" s="7" cm="1">
        <f t="array" ref="K255">IF(ISNUMBER(H255),_xlfn.IFS(D255= ""," ",D255&lt;&gt; " ",F255*(G255/H255)),"")</f>
        <v>11570.718582154863</v>
      </c>
    </row>
    <row r="256" spans="1:11" s="7" customFormat="1" ht="29" x14ac:dyDescent="0.35">
      <c r="A256" s="7" t="s">
        <v>13</v>
      </c>
      <c r="B256" s="7">
        <v>2022</v>
      </c>
      <c r="C256" s="7" t="s">
        <v>88</v>
      </c>
      <c r="D256" s="6" t="s">
        <v>147</v>
      </c>
      <c r="E256" s="7" t="str" cm="1">
        <f t="array" ref="E256">_xlfn.IFS(D256=policy_name_clustering!$A$2,policy_name_clustering!$C$2,D256=policy_name_clustering!$A$3,policy_name_clustering!$C$3,D256=policy_name_clustering!$A$4,policy_name_clustering!$C$4,D256=policy_name_clustering!$A$5,policy_name_clustering!$C$5,D256=policy_name_clustering!$A$6,policy_name_clustering!$C$6,D256=policy_name_clustering!$A$7,policy_name_clustering!$C$7,D256=policy_name_clustering!$A$8,policy_name_clustering!$C$8,D256=policy_name_clustering!$A$9,policy_name_clustering!$C$9,D256=policy_name_clustering!$A$10,policy_name_clustering!$C$10,D256=policy_name_clustering!$A$11,policy_name_clustering!$C$11,D256=policy_name_clustering!$A$12,policy_name_clustering!$C$12,D256="-","")</f>
        <v xml:space="preserve">Policy mix </v>
      </c>
      <c r="F256" s="7">
        <f>policy_contributions_cum!F72</f>
        <v>13412.0262998417</v>
      </c>
      <c r="G256" s="7">
        <f>solar_cum_cap!C228</f>
        <v>17341.293000000001</v>
      </c>
      <c r="H256" s="7">
        <f>estimated_capacity!C218</f>
        <v>16993.998531917699</v>
      </c>
      <c r="I256" s="7" cm="1">
        <f t="array" ref="I256">_xlfn.IFS(D256= ""," ",D256&lt;&gt; " ",F256*(G256/H256))</f>
        <v>13686.118505449518</v>
      </c>
      <c r="J256" s="7" cm="1">
        <f t="array" ref="J256">_xlfn.IFS(D256= ""," ",D256&lt;&gt; " ",(H256-F256)*(G256/H256))</f>
        <v>3655.1744945504815</v>
      </c>
      <c r="K256" s="7" cm="1">
        <f t="array" ref="K256">IF(ISNUMBER(H256),_xlfn.IFS(D256= ""," ",D256&lt;&gt; " ",F256*(G256/H256)),"")</f>
        <v>13686.118505449518</v>
      </c>
    </row>
    <row r="257" spans="1:11" s="7" customFormat="1" ht="29" x14ac:dyDescent="0.35">
      <c r="A257" s="7" t="s">
        <v>13</v>
      </c>
      <c r="B257" s="7">
        <v>2023</v>
      </c>
      <c r="C257" s="7" t="s">
        <v>89</v>
      </c>
      <c r="D257" s="6" t="s">
        <v>147</v>
      </c>
      <c r="E257" s="7" t="str" cm="1">
        <f t="array" ref="E257">_xlfn.IFS(D257=policy_name_clustering!$A$2,policy_name_clustering!$C$2,D257=policy_name_clustering!$A$3,policy_name_clustering!$C$3,D257=policy_name_clustering!$A$4,policy_name_clustering!$C$4,D257=policy_name_clustering!$A$5,policy_name_clustering!$C$5,D257=policy_name_clustering!$A$6,policy_name_clustering!$C$6,D257=policy_name_clustering!$A$7,policy_name_clustering!$C$7,D257=policy_name_clustering!$A$8,policy_name_clustering!$C$8,D257=policy_name_clustering!$A$9,policy_name_clustering!$C$9,D257=policy_name_clustering!$A$10,policy_name_clustering!$C$10,D257=policy_name_clustering!$A$11,policy_name_clustering!$C$11,D257=policy_name_clustering!$A$12,policy_name_clustering!$C$12,D257="-","")</f>
        <v xml:space="preserve">Policy mix </v>
      </c>
      <c r="F257" s="7">
        <f>policy_contributions_cum!F73</f>
        <v>13412.7025132988</v>
      </c>
      <c r="G257" s="7">
        <f>solar_cum_cap!C229</f>
        <v>17025.725999999999</v>
      </c>
      <c r="H257" s="7">
        <f>estimated_capacity!C219</f>
        <v>16678.476877441699</v>
      </c>
      <c r="I257" s="7" cm="1">
        <f t="array" ref="I257">_xlfn.IFS(D257= ""," ",D257&lt;&gt; " ",F257*(G257/H257))</f>
        <v>13691.957580359393</v>
      </c>
      <c r="J257" s="7" cm="1">
        <f t="array" ref="J257">_xlfn.IFS(D257= ""," ",D257&lt;&gt; " ",(H257-F257)*(G257/H257))</f>
        <v>3333.7684196406067</v>
      </c>
      <c r="K257" s="7" cm="1">
        <f t="array" ref="K257">IF(ISNUMBER(H257),_xlfn.IFS(D257= ""," ",D257&lt;&gt; " ",F257*(G257/H257)),"")</f>
        <v>13691.957580359393</v>
      </c>
    </row>
    <row r="258" spans="1:11" s="7" customFormat="1" hidden="1" x14ac:dyDescent="0.35">
      <c r="A258" s="7" t="s">
        <v>15</v>
      </c>
      <c r="B258" s="7">
        <v>2001</v>
      </c>
      <c r="D258" s="11" t="s">
        <v>73</v>
      </c>
      <c r="E258" s="7" t="str" cm="1">
        <f t="array" ref="E258">_xlfn.IFS(D258=policy_name_clustering!$A$2,policy_name_clustering!$C$2,D258=policy_name_clustering!$A$3,policy_name_clustering!$C$3,D258=policy_name_clustering!$A$4,policy_name_clustering!$C$4,D258=policy_name_clustering!$A$5,policy_name_clustering!$C$5,D258=policy_name_clustering!$A$6,policy_name_clustering!$C$6,D258=policy_name_clustering!$A$7,policy_name_clustering!$C$7,D258=policy_name_clustering!$A$8,policy_name_clustering!$C$8,D258=policy_name_clustering!$A$9,policy_name_clustering!$C$9,D258=policy_name_clustering!$A$10,policy_name_clustering!$C$10,D258=policy_name_clustering!$A$11,policy_name_clustering!$C$11,D258=policy_name_clustering!$A$12,policy_name_clustering!$C$12,D258="-","")</f>
        <v/>
      </c>
      <c r="G258" s="7">
        <f>solar_cum_cap!C231</f>
        <v>3</v>
      </c>
      <c r="H258" s="7">
        <f>estimated_capacity!C220</f>
        <v>-19.8713632382801</v>
      </c>
      <c r="I258" s="7" cm="1">
        <f t="array" ref="I258">_xlfn.IFS(D258= ""," ",D258&lt;&gt; " ",F258*(G258/H258))</f>
        <v>0</v>
      </c>
      <c r="J258" s="7" cm="1">
        <f t="array" ref="J258">_xlfn.IFS(D258= ""," ",D258&lt;&gt; " ",(H258-F258)*(G258/H258))</f>
        <v>3</v>
      </c>
      <c r="K258" s="7" cm="1">
        <f t="array" ref="K258">IF(ISNUMBER(H258),_xlfn.IFS(D258= ""," ",D258&lt;&gt; " ",F258*(G258/H258)),"")</f>
        <v>0</v>
      </c>
    </row>
    <row r="259" spans="1:11" s="7" customFormat="1" hidden="1" x14ac:dyDescent="0.35">
      <c r="A259" s="7" t="s">
        <v>15</v>
      </c>
      <c r="B259" s="7">
        <v>2002</v>
      </c>
      <c r="D259" s="11" t="s">
        <v>73</v>
      </c>
      <c r="E259" s="7" t="str" cm="1">
        <f t="array" ref="E259">_xlfn.IFS(D259=policy_name_clustering!$A$2,policy_name_clustering!$C$2,D259=policy_name_clustering!$A$3,policy_name_clustering!$C$3,D259=policy_name_clustering!$A$4,policy_name_clustering!$C$4,D259=policy_name_clustering!$A$5,policy_name_clustering!$C$5,D259=policy_name_clustering!$A$6,policy_name_clustering!$C$6,D259=policy_name_clustering!$A$7,policy_name_clustering!$C$7,D259=policy_name_clustering!$A$8,policy_name_clustering!$C$8,D259=policy_name_clustering!$A$9,policy_name_clustering!$C$9,D259=policy_name_clustering!$A$10,policy_name_clustering!$C$10,D259=policy_name_clustering!$A$11,policy_name_clustering!$C$11,D259=policy_name_clustering!$A$12,policy_name_clustering!$C$12,D259="-","")</f>
        <v/>
      </c>
      <c r="G259" s="7">
        <f>solar_cum_cap!C232</f>
        <v>4</v>
      </c>
      <c r="H259" s="7">
        <f>estimated_capacity!C221</f>
        <v>-46.154986263933999</v>
      </c>
      <c r="I259" s="7" cm="1">
        <f t="array" ref="I259">_xlfn.IFS(D259= ""," ",D259&lt;&gt; " ",F259*(G259/H259))</f>
        <v>0</v>
      </c>
      <c r="J259" s="7" cm="1">
        <f t="array" ref="J259">_xlfn.IFS(D259= ""," ",D259&lt;&gt; " ",(H259-F259)*(G259/H259))</f>
        <v>4</v>
      </c>
      <c r="K259" s="7" cm="1">
        <f t="array" ref="K259">IF(ISNUMBER(H259),_xlfn.IFS(D259= ""," ",D259&lt;&gt; " ",F259*(G259/H259)),"")</f>
        <v>0</v>
      </c>
    </row>
    <row r="260" spans="1:11" s="7" customFormat="1" hidden="1" x14ac:dyDescent="0.35">
      <c r="A260" s="7" t="s">
        <v>15</v>
      </c>
      <c r="B260" s="7">
        <v>2003</v>
      </c>
      <c r="D260" s="11" t="s">
        <v>73</v>
      </c>
      <c r="E260" s="7" t="str" cm="1">
        <f t="array" ref="E260">_xlfn.IFS(D260=policy_name_clustering!$A$2,policy_name_clustering!$C$2,D260=policy_name_clustering!$A$3,policy_name_clustering!$C$3,D260=policy_name_clustering!$A$4,policy_name_clustering!$C$4,D260=policy_name_clustering!$A$5,policy_name_clustering!$C$5,D260=policy_name_clustering!$A$6,policy_name_clustering!$C$6,D260=policy_name_clustering!$A$7,policy_name_clustering!$C$7,D260=policy_name_clustering!$A$8,policy_name_clustering!$C$8,D260=policy_name_clustering!$A$9,policy_name_clustering!$C$9,D260=policy_name_clustering!$A$10,policy_name_clustering!$C$10,D260=policy_name_clustering!$A$11,policy_name_clustering!$C$11,D260=policy_name_clustering!$A$12,policy_name_clustering!$C$12,D260="-","")</f>
        <v/>
      </c>
      <c r="G260" s="7">
        <f>solar_cum_cap!C233</f>
        <v>6</v>
      </c>
      <c r="H260" s="7">
        <f>estimated_capacity!C222</f>
        <v>-49.4396163785757</v>
      </c>
      <c r="I260" s="7" cm="1">
        <f t="array" ref="I260">_xlfn.IFS(D260= ""," ",D260&lt;&gt; " ",F260*(G260/H260))</f>
        <v>0</v>
      </c>
      <c r="J260" s="7" cm="1">
        <f t="array" ref="J260">_xlfn.IFS(D260= ""," ",D260&lt;&gt; " ",(H260-F260)*(G260/H260))</f>
        <v>6</v>
      </c>
      <c r="K260" s="7" cm="1">
        <f t="array" ref="K260">IF(ISNUMBER(H260),_xlfn.IFS(D260= ""," ",D260&lt;&gt; " ",F260*(G260/H260)),"")</f>
        <v>0</v>
      </c>
    </row>
    <row r="261" spans="1:11" s="7" customFormat="1" hidden="1" x14ac:dyDescent="0.35">
      <c r="A261" s="7" t="s">
        <v>15</v>
      </c>
      <c r="B261" s="7">
        <v>2004</v>
      </c>
      <c r="D261" s="11" t="s">
        <v>73</v>
      </c>
      <c r="E261" s="7" t="str" cm="1">
        <f t="array" ref="E261">_xlfn.IFS(D261=policy_name_clustering!$A$2,policy_name_clustering!$C$2,D261=policy_name_clustering!$A$3,policy_name_clustering!$C$3,D261=policy_name_clustering!$A$4,policy_name_clustering!$C$4,D261=policy_name_clustering!$A$5,policy_name_clustering!$C$5,D261=policy_name_clustering!$A$6,policy_name_clustering!$C$6,D261=policy_name_clustering!$A$7,policy_name_clustering!$C$7,D261=policy_name_clustering!$A$8,policy_name_clustering!$C$8,D261=policy_name_clustering!$A$9,policy_name_clustering!$C$9,D261=policy_name_clustering!$A$10,policy_name_clustering!$C$10,D261=policy_name_clustering!$A$11,policy_name_clustering!$C$11,D261=policy_name_clustering!$A$12,policy_name_clustering!$C$12,D261="-","")</f>
        <v/>
      </c>
      <c r="G261" s="7">
        <f>solar_cum_cap!C234</f>
        <v>8</v>
      </c>
      <c r="H261" s="7">
        <f>estimated_capacity!C223</f>
        <v>-26.263573065519601</v>
      </c>
      <c r="I261" s="7" cm="1">
        <f t="array" ref="I261">_xlfn.IFS(D261= ""," ",D261&lt;&gt; " ",F261*(G261/H261))</f>
        <v>0</v>
      </c>
      <c r="J261" s="7" cm="1">
        <f t="array" ref="J261">_xlfn.IFS(D261= ""," ",D261&lt;&gt; " ",(H261-F261)*(G261/H261))</f>
        <v>8</v>
      </c>
      <c r="K261" s="7" cm="1">
        <f t="array" ref="K261">IF(ISNUMBER(H261),_xlfn.IFS(D261= ""," ",D261&lt;&gt; " ",F261*(G261/H261)),"")</f>
        <v>0</v>
      </c>
    </row>
    <row r="262" spans="1:11" s="7" customFormat="1" hidden="1" x14ac:dyDescent="0.35">
      <c r="A262" s="7" t="s">
        <v>15</v>
      </c>
      <c r="B262" s="7">
        <v>2005</v>
      </c>
      <c r="D262" s="11" t="s">
        <v>73</v>
      </c>
      <c r="E262" s="7" t="str" cm="1">
        <f t="array" ref="E262">_xlfn.IFS(D262=policy_name_clustering!$A$2,policy_name_clustering!$C$2,D262=policy_name_clustering!$A$3,policy_name_clustering!$C$3,D262=policy_name_clustering!$A$4,policy_name_clustering!$C$4,D262=policy_name_clustering!$A$5,policy_name_clustering!$C$5,D262=policy_name_clustering!$A$6,policy_name_clustering!$C$6,D262=policy_name_clustering!$A$7,policy_name_clustering!$C$7,D262=policy_name_clustering!$A$8,policy_name_clustering!$C$8,D262=policy_name_clustering!$A$9,policy_name_clustering!$C$9,D262=policy_name_clustering!$A$10,policy_name_clustering!$C$10,D262=policy_name_clustering!$A$11,policy_name_clustering!$C$11,D262=policy_name_clustering!$A$12,policy_name_clustering!$C$12,D262="-","")</f>
        <v/>
      </c>
      <c r="G262" s="7">
        <f>solar_cum_cap!C235</f>
        <v>11</v>
      </c>
      <c r="H262" s="7">
        <f>estimated_capacity!C224</f>
        <v>5.5599839677210001</v>
      </c>
      <c r="I262" s="7" cm="1">
        <f t="array" ref="I262">_xlfn.IFS(D262= ""," ",D262&lt;&gt; " ",F262*(G262/H262))</f>
        <v>0</v>
      </c>
      <c r="J262" s="7" cm="1">
        <f t="array" ref="J262">_xlfn.IFS(D262= ""," ",D262&lt;&gt; " ",(H262-F262)*(G262/H262))</f>
        <v>11</v>
      </c>
      <c r="K262" s="7" cm="1">
        <f t="array" ref="K262">IF(ISNUMBER(H262),_xlfn.IFS(D262= ""," ",D262&lt;&gt; " ",F262*(G262/H262)),"")</f>
        <v>0</v>
      </c>
    </row>
    <row r="263" spans="1:11" s="7" customFormat="1" hidden="1" x14ac:dyDescent="0.35">
      <c r="A263" s="7" t="s">
        <v>15</v>
      </c>
      <c r="B263" s="7">
        <v>2006</v>
      </c>
      <c r="D263" s="11" t="s">
        <v>73</v>
      </c>
      <c r="E263" s="7" t="str" cm="1">
        <f t="array" ref="E263">_xlfn.IFS(D263=policy_name_clustering!$A$2,policy_name_clustering!$C$2,D263=policy_name_clustering!$A$3,policy_name_clustering!$C$3,D263=policy_name_clustering!$A$4,policy_name_clustering!$C$4,D263=policy_name_clustering!$A$5,policy_name_clustering!$C$5,D263=policy_name_clustering!$A$6,policy_name_clustering!$C$6,D263=policy_name_clustering!$A$7,policy_name_clustering!$C$7,D263=policy_name_clustering!$A$8,policy_name_clustering!$C$8,D263=policy_name_clustering!$A$9,policy_name_clustering!$C$9,D263=policy_name_clustering!$A$10,policy_name_clustering!$C$10,D263=policy_name_clustering!$A$11,policy_name_clustering!$C$11,D263=policy_name_clustering!$A$12,policy_name_clustering!$C$12,D263="-","")</f>
        <v/>
      </c>
      <c r="G263" s="7">
        <f>solar_cum_cap!C236</f>
        <v>14</v>
      </c>
      <c r="H263" s="7">
        <f>estimated_capacity!C225</f>
        <v>30.946471457832299</v>
      </c>
      <c r="I263" s="7" cm="1">
        <f t="array" ref="I263">_xlfn.IFS(D263= ""," ",D263&lt;&gt; " ",F263*(G263/H263))</f>
        <v>0</v>
      </c>
      <c r="J263" s="7" cm="1">
        <f t="array" ref="J263">_xlfn.IFS(D263= ""," ",D263&lt;&gt; " ",(H263-F263)*(G263/H263))</f>
        <v>14</v>
      </c>
      <c r="K263" s="7" cm="1">
        <f t="array" ref="K263">IF(ISNUMBER(H263),_xlfn.IFS(D263= ""," ",D263&lt;&gt; " ",F263*(G263/H263)),"")</f>
        <v>0</v>
      </c>
    </row>
    <row r="264" spans="1:11" s="7" customFormat="1" hidden="1" x14ac:dyDescent="0.35">
      <c r="A264" s="7" t="s">
        <v>15</v>
      </c>
      <c r="B264" s="7">
        <v>2007</v>
      </c>
      <c r="D264" s="11" t="s">
        <v>73</v>
      </c>
      <c r="E264" s="7" t="str" cm="1">
        <f t="array" ref="E264">_xlfn.IFS(D264=policy_name_clustering!$A$2,policy_name_clustering!$C$2,D264=policy_name_clustering!$A$3,policy_name_clustering!$C$3,D264=policy_name_clustering!$A$4,policy_name_clustering!$C$4,D264=policy_name_clustering!$A$5,policy_name_clustering!$C$5,D264=policy_name_clustering!$A$6,policy_name_clustering!$C$6,D264=policy_name_clustering!$A$7,policy_name_clustering!$C$7,D264=policy_name_clustering!$A$8,policy_name_clustering!$C$8,D264=policy_name_clustering!$A$9,policy_name_clustering!$C$9,D264=policy_name_clustering!$A$10,policy_name_clustering!$C$10,D264=policy_name_clustering!$A$11,policy_name_clustering!$C$11,D264=policy_name_clustering!$A$12,policy_name_clustering!$C$12,D264="-","")</f>
        <v/>
      </c>
      <c r="G264" s="7">
        <f>solar_cum_cap!C237</f>
        <v>18</v>
      </c>
      <c r="H264" s="7">
        <f>estimated_capacity!C226</f>
        <v>62.570665270266304</v>
      </c>
      <c r="I264" s="7" cm="1">
        <f t="array" ref="I264">_xlfn.IFS(D264= ""," ",D264&lt;&gt; " ",F264*(G264/H264))</f>
        <v>0</v>
      </c>
      <c r="J264" s="7" cm="1">
        <f t="array" ref="J264">_xlfn.IFS(D264= ""," ",D264&lt;&gt; " ",(H264-F264)*(G264/H264))</f>
        <v>18</v>
      </c>
      <c r="K264" s="7" cm="1">
        <f t="array" ref="K264">IF(ISNUMBER(H264),_xlfn.IFS(D264= ""," ",D264&lt;&gt; " ",F264*(G264/H264)),"")</f>
        <v>0</v>
      </c>
    </row>
    <row r="265" spans="1:11" s="7" customFormat="1" hidden="1" x14ac:dyDescent="0.35">
      <c r="A265" s="7" t="s">
        <v>15</v>
      </c>
      <c r="B265" s="7">
        <v>2008</v>
      </c>
      <c r="D265" s="11" t="s">
        <v>73</v>
      </c>
      <c r="E265" s="7" t="str" cm="1">
        <f t="array" ref="E265">_xlfn.IFS(D265=policy_name_clustering!$A$2,policy_name_clustering!$C$2,D265=policy_name_clustering!$A$3,policy_name_clustering!$C$3,D265=policy_name_clustering!$A$4,policy_name_clustering!$C$4,D265=policy_name_clustering!$A$5,policy_name_clustering!$C$5,D265=policy_name_clustering!$A$6,policy_name_clustering!$C$6,D265=policy_name_clustering!$A$7,policy_name_clustering!$C$7,D265=policy_name_clustering!$A$8,policy_name_clustering!$C$8,D265=policy_name_clustering!$A$9,policy_name_clustering!$C$9,D265=policy_name_clustering!$A$10,policy_name_clustering!$C$10,D265=policy_name_clustering!$A$11,policy_name_clustering!$C$11,D265=policy_name_clustering!$A$12,policy_name_clustering!$C$12,D265="-","")</f>
        <v/>
      </c>
      <c r="G265" s="7">
        <f>solar_cum_cap!C238</f>
        <v>23</v>
      </c>
      <c r="H265" s="7">
        <f>estimated_capacity!C227</f>
        <v>95.468502503175401</v>
      </c>
      <c r="I265" s="7" cm="1">
        <f t="array" ref="I265">_xlfn.IFS(D265= ""," ",D265&lt;&gt; " ",F265*(G265/H265))</f>
        <v>0</v>
      </c>
      <c r="J265" s="7" cm="1">
        <f t="array" ref="J265">_xlfn.IFS(D265= ""," ",D265&lt;&gt; " ",(H265-F265)*(G265/H265))</f>
        <v>23</v>
      </c>
      <c r="K265" s="7" cm="1">
        <f t="array" ref="K265">IF(ISNUMBER(H265),_xlfn.IFS(D265= ""," ",D265&lt;&gt; " ",F265*(G265/H265)),"")</f>
        <v>0</v>
      </c>
    </row>
    <row r="266" spans="1:11" s="7" customFormat="1" hidden="1" x14ac:dyDescent="0.35">
      <c r="A266" s="7" t="s">
        <v>15</v>
      </c>
      <c r="B266" s="7">
        <v>2009</v>
      </c>
      <c r="D266" s="11" t="s">
        <v>73</v>
      </c>
      <c r="E266" s="7" t="str" cm="1">
        <f t="array" ref="E266">_xlfn.IFS(D266=policy_name_clustering!$A$2,policy_name_clustering!$C$2,D266=policy_name_clustering!$A$3,policy_name_clustering!$C$3,D266=policy_name_clustering!$A$4,policy_name_clustering!$C$4,D266=policy_name_clustering!$A$5,policy_name_clustering!$C$5,D266=policy_name_clustering!$A$6,policy_name_clustering!$C$6,D266=policy_name_clustering!$A$7,policy_name_clustering!$C$7,D266=policy_name_clustering!$A$8,policy_name_clustering!$C$8,D266=policy_name_clustering!$A$9,policy_name_clustering!$C$9,D266=policy_name_clustering!$A$10,policy_name_clustering!$C$10,D266=policy_name_clustering!$A$11,policy_name_clustering!$C$11,D266=policy_name_clustering!$A$12,policy_name_clustering!$C$12,D266="-","")</f>
        <v/>
      </c>
      <c r="G266" s="7">
        <f>solar_cum_cap!C239</f>
        <v>27</v>
      </c>
      <c r="H266" s="7">
        <f>estimated_capacity!C228</f>
        <v>118.512073925987</v>
      </c>
      <c r="I266" s="7" cm="1">
        <f t="array" ref="I266">_xlfn.IFS(D266= ""," ",D266&lt;&gt; " ",F266*(G266/H266))</f>
        <v>0</v>
      </c>
      <c r="J266" s="7" cm="1">
        <f t="array" ref="J266">_xlfn.IFS(D266= ""," ",D266&lt;&gt; " ",(H266-F266)*(G266/H266))</f>
        <v>27</v>
      </c>
      <c r="K266" s="7" cm="1">
        <f t="array" ref="K266">IF(ISNUMBER(H266),_xlfn.IFS(D266= ""," ",D266&lt;&gt; " ",F266*(G266/H266)),"")</f>
        <v>0</v>
      </c>
    </row>
    <row r="267" spans="1:11" s="7" customFormat="1" hidden="1" x14ac:dyDescent="0.35">
      <c r="A267" s="7" t="s">
        <v>15</v>
      </c>
      <c r="B267" s="7">
        <v>2010</v>
      </c>
      <c r="C267" s="7" t="s">
        <v>90</v>
      </c>
      <c r="D267" s="7" t="s">
        <v>48</v>
      </c>
      <c r="E267" s="7" t="str" cm="1">
        <f t="array" ref="E267">_xlfn.IFS(D267=policy_name_clustering!$A$2,policy_name_clustering!$C$2,D267=policy_name_clustering!$A$3,policy_name_clustering!$C$3,D267=policy_name_clustering!$A$4,policy_name_clustering!$C$4,D267=policy_name_clustering!$A$5,policy_name_clustering!$C$5,D267=policy_name_clustering!$A$6,policy_name_clustering!$C$6,D267=policy_name_clustering!$A$7,policy_name_clustering!$C$7,D267=policy_name_clustering!$A$8,policy_name_clustering!$C$8,D267=policy_name_clustering!$A$9,policy_name_clustering!$C$9,D267=policy_name_clustering!$A$10,policy_name_clustering!$C$10,D267=policy_name_clustering!$A$11,policy_name_clustering!$C$11,D267=policy_name_clustering!$A$12,policy_name_clustering!$C$12,D267="-","")</f>
        <v>FiT/FiP-based</v>
      </c>
      <c r="F267" s="7">
        <f>policy_contributions_cum!F74</f>
        <v>161.99416498676001</v>
      </c>
      <c r="G267" s="7">
        <f>solar_cum_cap!C240</f>
        <v>95</v>
      </c>
      <c r="H267" s="7">
        <f>estimated_capacity!C229</f>
        <v>354.77642118041598</v>
      </c>
      <c r="I267" s="7" cm="1">
        <f t="array" ref="I267">_xlfn.IFS(D267= ""," ",D267&lt;&gt; " ",F267*(G267/H267))</f>
        <v>43.377870554469965</v>
      </c>
      <c r="J267" s="7" cm="1">
        <f t="array" ref="J267">_xlfn.IFS(D267= ""," ",D267&lt;&gt; " ",(H267-F267)*(G267/H267))</f>
        <v>51.622129445530035</v>
      </c>
      <c r="K267" s="7" cm="1">
        <f t="array" ref="K267">IF(ISNUMBER(H267),_xlfn.IFS(D267= ""," ",D267&lt;&gt; " ",F267*(G267/H267)),"")</f>
        <v>43.377870554469965</v>
      </c>
    </row>
    <row r="268" spans="1:11" s="7" customFormat="1" hidden="1" x14ac:dyDescent="0.35">
      <c r="A268" s="7" t="s">
        <v>15</v>
      </c>
      <c r="B268" s="7">
        <v>2011</v>
      </c>
      <c r="C268" s="7" t="s">
        <v>91</v>
      </c>
      <c r="D268" s="7" t="s">
        <v>48</v>
      </c>
      <c r="E268" s="7" t="str" cm="1">
        <f t="array" ref="E268">_xlfn.IFS(D268=policy_name_clustering!$A$2,policy_name_clustering!$C$2,D268=policy_name_clustering!$A$3,policy_name_clustering!$C$3,D268=policy_name_clustering!$A$4,policy_name_clustering!$C$4,D268=policy_name_clustering!$A$5,policy_name_clustering!$C$5,D268=policy_name_clustering!$A$6,policy_name_clustering!$C$6,D268=policy_name_clustering!$A$7,policy_name_clustering!$C$7,D268=policy_name_clustering!$A$8,policy_name_clustering!$C$8,D268=policy_name_clustering!$A$9,policy_name_clustering!$C$9,D268=policy_name_clustering!$A$10,policy_name_clustering!$C$10,D268=policy_name_clustering!$A$11,policy_name_clustering!$C$11,D268=policy_name_clustering!$A$12,policy_name_clustering!$C$12,D268="-","")</f>
        <v>FiT/FiP-based</v>
      </c>
      <c r="F268" s="7">
        <f>policy_contributions_cum!F75</f>
        <v>581.99686283875405</v>
      </c>
      <c r="G268" s="7">
        <f>solar_cum_cap!C241</f>
        <v>1000</v>
      </c>
      <c r="H268" s="7">
        <f>estimated_capacity!C230</f>
        <v>877.89860370763995</v>
      </c>
      <c r="I268" s="7" cm="1">
        <f t="array" ref="I268">_xlfn.IFS(D268= ""," ",D268&lt;&gt; " ",F268*(G268/H268))</f>
        <v>662.9431467151212</v>
      </c>
      <c r="J268" s="7" cm="1">
        <f t="array" ref="J268">_xlfn.IFS(D268= ""," ",D268&lt;&gt; " ",(H268-F268)*(G268/H268))</f>
        <v>337.05685328487874</v>
      </c>
      <c r="K268" s="7" cm="1">
        <f t="array" ref="K268">IF(ISNUMBER(H268),_xlfn.IFS(D268= ""," ",D268&lt;&gt; " ",F268*(G268/H268)),"")</f>
        <v>662.9431467151212</v>
      </c>
    </row>
    <row r="269" spans="1:11" s="7" customFormat="1" hidden="1" x14ac:dyDescent="0.35">
      <c r="A269" s="7" t="s">
        <v>15</v>
      </c>
      <c r="B269" s="7">
        <v>2012</v>
      </c>
      <c r="C269" s="7" t="s">
        <v>92</v>
      </c>
      <c r="D269" s="7" t="s">
        <v>48</v>
      </c>
      <c r="E269" s="7" t="str" cm="1">
        <f t="array" ref="E269">_xlfn.IFS(D269=policy_name_clustering!$A$2,policy_name_clustering!$C$2,D269=policy_name_clustering!$A$3,policy_name_clustering!$C$3,D269=policy_name_clustering!$A$4,policy_name_clustering!$C$4,D269=policy_name_clustering!$A$5,policy_name_clustering!$C$5,D269=policy_name_clustering!$A$6,policy_name_clustering!$C$6,D269=policy_name_clustering!$A$7,policy_name_clustering!$C$7,D269=policy_name_clustering!$A$8,policy_name_clustering!$C$8,D269=policy_name_clustering!$A$9,policy_name_clustering!$C$9,D269=policy_name_clustering!$A$10,policy_name_clustering!$C$10,D269=policy_name_clustering!$A$11,policy_name_clustering!$C$11,D269=policy_name_clustering!$A$12,policy_name_clustering!$C$12,D269="-","")</f>
        <v>FiT/FiP-based</v>
      </c>
      <c r="F269" s="7">
        <f>policy_contributions_cum!F76</f>
        <v>1377.5440168498701</v>
      </c>
      <c r="G269" s="7">
        <f>solar_cum_cap!C242</f>
        <v>1753</v>
      </c>
      <c r="H269" s="7">
        <f>estimated_capacity!C231</f>
        <v>1791.5979004803901</v>
      </c>
      <c r="I269" s="7" cm="1">
        <f t="array" ref="I269">_xlfn.IFS(D269= ""," ",D269&lt;&gt; " ",F269*(G269/H269))</f>
        <v>1347.8664274446407</v>
      </c>
      <c r="J269" s="7" cm="1">
        <f t="array" ref="J269">_xlfn.IFS(D269= ""," ",D269&lt;&gt; " ",(H269-F269)*(G269/H269))</f>
        <v>405.13357255535931</v>
      </c>
      <c r="K269" s="7" cm="1">
        <f t="array" ref="K269">IF(ISNUMBER(H269),_xlfn.IFS(D269= ""," ",D269&lt;&gt; " ",F269*(G269/H269)),"")</f>
        <v>1347.8664274446407</v>
      </c>
    </row>
    <row r="270" spans="1:11" s="7" customFormat="1" hidden="1" x14ac:dyDescent="0.35">
      <c r="A270" s="7" t="s">
        <v>15</v>
      </c>
      <c r="B270" s="7">
        <v>2013</v>
      </c>
      <c r="C270" s="7" t="s">
        <v>93</v>
      </c>
      <c r="D270" s="7" t="s">
        <v>48</v>
      </c>
      <c r="E270" s="7" t="str" cm="1">
        <f t="array" ref="E270">_xlfn.IFS(D270=policy_name_clustering!$A$2,policy_name_clustering!$C$2,D270=policy_name_clustering!$A$3,policy_name_clustering!$C$3,D270=policy_name_clustering!$A$4,policy_name_clustering!$C$4,D270=policy_name_clustering!$A$5,policy_name_clustering!$C$5,D270=policy_name_clustering!$A$6,policy_name_clustering!$C$6,D270=policy_name_clustering!$A$7,policy_name_clustering!$C$7,D270=policy_name_clustering!$A$8,policy_name_clustering!$C$8,D270=policy_name_clustering!$A$9,policy_name_clustering!$C$9,D270=policy_name_clustering!$A$10,policy_name_clustering!$C$10,D270=policy_name_clustering!$A$11,policy_name_clustering!$C$11,D270=policy_name_clustering!$A$12,policy_name_clustering!$C$12,D270="-","")</f>
        <v>FiT/FiP-based</v>
      </c>
      <c r="F270" s="7">
        <f>policy_contributions_cum!F77</f>
        <v>2920.40103498489</v>
      </c>
      <c r="G270" s="7">
        <f>solar_cum_cap!C243</f>
        <v>2937</v>
      </c>
      <c r="H270" s="7">
        <f>estimated_capacity!C232</f>
        <v>3531.6573606807501</v>
      </c>
      <c r="I270" s="7" cm="1">
        <f t="array" ref="I270">_xlfn.IFS(D270= ""," ",D270&lt;&gt; " ",F270*(G270/H270))</f>
        <v>2428.6664768909823</v>
      </c>
      <c r="J270" s="7" cm="1">
        <f t="array" ref="J270">_xlfn.IFS(D270= ""," ",D270&lt;&gt; " ",(H270-F270)*(G270/H270))</f>
        <v>508.3335231090179</v>
      </c>
      <c r="K270" s="7" cm="1">
        <f t="array" ref="K270">IF(ISNUMBER(H270),_xlfn.IFS(D270= ""," ",D270&lt;&gt; " ",F270*(G270/H270)),"")</f>
        <v>2428.6664768909823</v>
      </c>
    </row>
    <row r="271" spans="1:11" s="7" customFormat="1" hidden="1" x14ac:dyDescent="0.35">
      <c r="A271" s="7" t="s">
        <v>15</v>
      </c>
      <c r="B271" s="7">
        <v>2014</v>
      </c>
      <c r="C271" s="7" t="s">
        <v>94</v>
      </c>
      <c r="D271" s="7" t="s">
        <v>48</v>
      </c>
      <c r="E271" s="7" t="str" cm="1">
        <f t="array" ref="E271">_xlfn.IFS(D271=policy_name_clustering!$A$2,policy_name_clustering!$C$2,D271=policy_name_clustering!$A$3,policy_name_clustering!$C$3,D271=policy_name_clustering!$A$4,policy_name_clustering!$C$4,D271=policy_name_clustering!$A$5,policy_name_clustering!$C$5,D271=policy_name_clustering!$A$6,policy_name_clustering!$C$6,D271=policy_name_clustering!$A$7,policy_name_clustering!$C$7,D271=policy_name_clustering!$A$8,policy_name_clustering!$C$8,D271=policy_name_clustering!$A$9,policy_name_clustering!$C$9,D271=policy_name_clustering!$A$10,policy_name_clustering!$C$10,D271=policy_name_clustering!$A$11,policy_name_clustering!$C$11,D271=policy_name_clustering!$A$12,policy_name_clustering!$C$12,D271="-","")</f>
        <v>FiT/FiP-based</v>
      </c>
      <c r="F271" s="7">
        <f>policy_contributions_cum!F78</f>
        <v>5539.0732801321401</v>
      </c>
      <c r="G271" s="7">
        <f>solar_cum_cap!C244</f>
        <v>5528</v>
      </c>
      <c r="H271" s="7">
        <f>estimated_capacity!C233</f>
        <v>6395.4462609149396</v>
      </c>
      <c r="I271" s="7" cm="1">
        <f t="array" ref="I271">_xlfn.IFS(D271= ""," ",D271&lt;&gt; " ",F271*(G271/H271))</f>
        <v>4787.7811560549244</v>
      </c>
      <c r="J271" s="7" cm="1">
        <f t="array" ref="J271">_xlfn.IFS(D271= ""," ",D271&lt;&gt; " ",(H271-F271)*(G271/H271))</f>
        <v>740.21884394507606</v>
      </c>
      <c r="K271" s="7" cm="1">
        <f t="array" ref="K271">IF(ISNUMBER(H271),_xlfn.IFS(D271= ""," ",D271&lt;&gt; " ",F271*(G271/H271)),"")</f>
        <v>4787.7811560549244</v>
      </c>
    </row>
    <row r="272" spans="1:11" s="7" customFormat="1" hidden="1" x14ac:dyDescent="0.35">
      <c r="A272" s="7" t="s">
        <v>15</v>
      </c>
      <c r="B272" s="7">
        <v>2015</v>
      </c>
      <c r="C272" s="7" t="s">
        <v>95</v>
      </c>
      <c r="D272" s="7" t="s">
        <v>48</v>
      </c>
      <c r="E272" s="7" t="str" cm="1">
        <f t="array" ref="E272">_xlfn.IFS(D272=policy_name_clustering!$A$2,policy_name_clustering!$C$2,D272=policy_name_clustering!$A$3,policy_name_clustering!$C$3,D272=policy_name_clustering!$A$4,policy_name_clustering!$C$4,D272=policy_name_clustering!$A$5,policy_name_clustering!$C$5,D272=policy_name_clustering!$A$6,policy_name_clustering!$C$6,D272=policy_name_clustering!$A$7,policy_name_clustering!$C$7,D272=policy_name_clustering!$A$8,policy_name_clustering!$C$8,D272=policy_name_clustering!$A$9,policy_name_clustering!$C$9,D272=policy_name_clustering!$A$10,policy_name_clustering!$C$10,D272=policy_name_clustering!$A$11,policy_name_clustering!$C$11,D272=policy_name_clustering!$A$12,policy_name_clustering!$C$12,D272="-","")</f>
        <v>FiT/FiP-based</v>
      </c>
      <c r="F272" s="7">
        <f>policy_contributions_cum!F79</f>
        <v>9431.2075278642806</v>
      </c>
      <c r="G272" s="7">
        <f>solar_cum_cap!C245</f>
        <v>9601.2189999999991</v>
      </c>
      <c r="H272" s="7">
        <f>estimated_capacity!C234</f>
        <v>10526.315172266201</v>
      </c>
      <c r="I272" s="7" cm="1">
        <f t="array" ref="I272">_xlfn.IFS(D272= ""," ",D272&lt;&gt; " ",F272*(G272/H272))</f>
        <v>8602.3539507965252</v>
      </c>
      <c r="J272" s="7" cm="1">
        <f t="array" ref="J272">_xlfn.IFS(D272= ""," ",D272&lt;&gt; " ",(H272-F272)*(G272/H272))</f>
        <v>998.86504920347431</v>
      </c>
      <c r="K272" s="7" cm="1">
        <f t="array" ref="K272">IF(ISNUMBER(H272),_xlfn.IFS(D272= ""," ",D272&lt;&gt; " ",F272*(G272/H272)),"")</f>
        <v>8602.3539507965252</v>
      </c>
    </row>
    <row r="273" spans="1:11" s="7" customFormat="1" hidden="1" x14ac:dyDescent="0.35">
      <c r="A273" s="7" t="s">
        <v>15</v>
      </c>
      <c r="B273" s="7">
        <v>2016</v>
      </c>
      <c r="C273" s="9" t="s">
        <v>96</v>
      </c>
      <c r="D273" s="7" t="s">
        <v>48</v>
      </c>
      <c r="E273" s="7" t="str" cm="1">
        <f t="array" ref="E273">_xlfn.IFS(D273=policy_name_clustering!$A$2,policy_name_clustering!$C$2,D273=policy_name_clustering!$A$3,policy_name_clustering!$C$3,D273=policy_name_clustering!$A$4,policy_name_clustering!$C$4,D273=policy_name_clustering!$A$5,policy_name_clustering!$C$5,D273=policy_name_clustering!$A$6,policy_name_clustering!$C$6,D273=policy_name_clustering!$A$7,policy_name_clustering!$C$7,D273=policy_name_clustering!$A$8,policy_name_clustering!$C$8,D273=policy_name_clustering!$A$9,policy_name_clustering!$C$9,D273=policy_name_clustering!$A$10,policy_name_clustering!$C$10,D273=policy_name_clustering!$A$11,policy_name_clustering!$C$11,D273=policy_name_clustering!$A$12,policy_name_clustering!$C$12,D273="-","")</f>
        <v>FiT/FiP-based</v>
      </c>
      <c r="F273" s="7">
        <f>policy_contributions_cum!F80</f>
        <v>11455.0136373565</v>
      </c>
      <c r="G273" s="7">
        <f>solar_cum_cap!C246</f>
        <v>11914</v>
      </c>
      <c r="H273" s="7">
        <f>estimated_capacity!C235</f>
        <v>12429.495612168799</v>
      </c>
      <c r="I273" s="7" cm="1">
        <f t="array" ref="I273">_xlfn.IFS(D273= ""," ",D273&lt;&gt; " ",F273*(G273/H273))</f>
        <v>10979.933275961153</v>
      </c>
      <c r="J273" s="7" cm="1">
        <f t="array" ref="J273">_xlfn.IFS(D273= ""," ",D273&lt;&gt; " ",(H273-F273)*(G273/H273))</f>
        <v>934.06672403884681</v>
      </c>
      <c r="K273" s="7" cm="1">
        <f t="array" ref="K273">IF(ISNUMBER(H273),_xlfn.IFS(D273= ""," ",D273&lt;&gt; " ",F273*(G273/H273)),"")</f>
        <v>10979.933275961153</v>
      </c>
    </row>
    <row r="274" spans="1:11" s="7" customFormat="1" hidden="1" x14ac:dyDescent="0.35">
      <c r="A274" s="7" t="s">
        <v>15</v>
      </c>
      <c r="B274" s="7">
        <v>2017</v>
      </c>
      <c r="C274" s="7" t="s">
        <v>97</v>
      </c>
      <c r="D274" s="7" t="s">
        <v>48</v>
      </c>
      <c r="E274" s="7" t="str" cm="1">
        <f t="array" ref="E274">_xlfn.IFS(D274=policy_name_clustering!$A$2,policy_name_clustering!$C$2,D274=policy_name_clustering!$A$3,policy_name_clustering!$C$3,D274=policy_name_clustering!$A$4,policy_name_clustering!$C$4,D274=policy_name_clustering!$A$5,policy_name_clustering!$C$5,D274=policy_name_clustering!$A$6,policy_name_clustering!$C$6,D274=policy_name_clustering!$A$7,policy_name_clustering!$C$7,D274=policy_name_clustering!$A$8,policy_name_clustering!$C$8,D274=policy_name_clustering!$A$9,policy_name_clustering!$C$9,D274=policy_name_clustering!$A$10,policy_name_clustering!$C$10,D274=policy_name_clustering!$A$11,policy_name_clustering!$C$11,D274=policy_name_clustering!$A$12,policy_name_clustering!$C$12,D274="-","")</f>
        <v>FiT/FiP-based</v>
      </c>
      <c r="F274" s="7">
        <f>policy_contributions_cum!F81</f>
        <v>12574.883763866101</v>
      </c>
      <c r="G274" s="7">
        <f>solar_cum_cap!C247</f>
        <v>12760</v>
      </c>
      <c r="H274" s="7">
        <f>estimated_capacity!C236</f>
        <v>13307.3368696324</v>
      </c>
      <c r="I274" s="7" cm="1">
        <f t="array" ref="I274">_xlfn.IFS(D274= ""," ",D274&lt;&gt; " ",F274*(G274/H274))</f>
        <v>12057.673026456108</v>
      </c>
      <c r="J274" s="7" cm="1">
        <f t="array" ref="J274">_xlfn.IFS(D274= ""," ",D274&lt;&gt; " ",(H274-F274)*(G274/H274))</f>
        <v>702.32697354389211</v>
      </c>
      <c r="K274" s="7" cm="1">
        <f t="array" ref="K274">IF(ISNUMBER(H274),_xlfn.IFS(D274= ""," ",D274&lt;&gt; " ",F274*(G274/H274)),"")</f>
        <v>12057.673026456108</v>
      </c>
    </row>
    <row r="275" spans="1:11" s="7" customFormat="1" hidden="1" x14ac:dyDescent="0.35">
      <c r="A275" s="7" t="s">
        <v>15</v>
      </c>
      <c r="B275" s="7">
        <v>2018</v>
      </c>
      <c r="D275" s="7" t="s">
        <v>48</v>
      </c>
      <c r="E275" s="7" t="str" cm="1">
        <f t="array" ref="E275">_xlfn.IFS(D275=policy_name_clustering!$A$2,policy_name_clustering!$C$2,D275=policy_name_clustering!$A$3,policy_name_clustering!$C$3,D275=policy_name_clustering!$A$4,policy_name_clustering!$C$4,D275=policy_name_clustering!$A$5,policy_name_clustering!$C$5,D275=policy_name_clustering!$A$6,policy_name_clustering!$C$6,D275=policy_name_clustering!$A$7,policy_name_clustering!$C$7,D275=policy_name_clustering!$A$8,policy_name_clustering!$C$8,D275=policy_name_clustering!$A$9,policy_name_clustering!$C$9,D275=policy_name_clustering!$A$10,policy_name_clustering!$C$10,D275=policy_name_clustering!$A$11,policy_name_clustering!$C$11,D275=policy_name_clustering!$A$12,policy_name_clustering!$C$12,D275="-","")</f>
        <v>FiT/FiP-based</v>
      </c>
      <c r="F275" s="7">
        <f>policy_contributions_cum!F82</f>
        <v>13221.707407641799</v>
      </c>
      <c r="G275" s="7">
        <f>solar_cum_cap!C248</f>
        <v>13073</v>
      </c>
      <c r="H275" s="7">
        <f>estimated_capacity!C237</f>
        <v>13667.4481041177</v>
      </c>
      <c r="I275" s="7" cm="1">
        <f t="array" ref="I275">_xlfn.IFS(D275= ""," ",D275&lt;&gt; " ",F275*(G275/H275))</f>
        <v>12646.646222715573</v>
      </c>
      <c r="J275" s="7" cm="1">
        <f t="array" ref="J275">_xlfn.IFS(D275= ""," ",D275&lt;&gt; " ",(H275-F275)*(G275/H275))</f>
        <v>426.35377728442654</v>
      </c>
      <c r="K275" s="7" cm="1">
        <f t="array" ref="K275">IF(ISNUMBER(H275),_xlfn.IFS(D275= ""," ",D275&lt;&gt; " ",F275*(G275/H275)),"")</f>
        <v>12646.646222715573</v>
      </c>
    </row>
    <row r="276" spans="1:11" s="7" customFormat="1" hidden="1" x14ac:dyDescent="0.35">
      <c r="A276" s="7" t="s">
        <v>15</v>
      </c>
      <c r="B276" s="7">
        <v>2019</v>
      </c>
      <c r="C276" s="7" t="s">
        <v>116</v>
      </c>
      <c r="D276" s="7" t="s">
        <v>48</v>
      </c>
      <c r="E276" s="7" t="str" cm="1">
        <f t="array" ref="E276">_xlfn.IFS(D276=policy_name_clustering!$A$2,policy_name_clustering!$C$2,D276=policy_name_clustering!$A$3,policy_name_clustering!$C$3,D276=policy_name_clustering!$A$4,policy_name_clustering!$C$4,D276=policy_name_clustering!$A$5,policy_name_clustering!$C$5,D276=policy_name_clustering!$A$6,policy_name_clustering!$C$6,D276=policy_name_clustering!$A$7,policy_name_clustering!$C$7,D276=policy_name_clustering!$A$8,policy_name_clustering!$C$8,D276=policy_name_clustering!$A$9,policy_name_clustering!$C$9,D276=policy_name_clustering!$A$10,policy_name_clustering!$C$10,D276=policy_name_clustering!$A$11,policy_name_clustering!$C$11,D276=policy_name_clustering!$A$12,policy_name_clustering!$C$12,D276="-","")</f>
        <v>FiT/FiP-based</v>
      </c>
      <c r="F276" s="7">
        <f>policy_contributions_cum!F83</f>
        <v>13906.427761969901</v>
      </c>
      <c r="I276" s="7">
        <f>I275</f>
        <v>12646.646222715573</v>
      </c>
      <c r="K276" s="7" t="str" cm="1">
        <f t="array" ref="K276">IF(ISNUMBER(H276),_xlfn.IFS(D276= ""," ",D276&lt;&gt; " ",F276*(G276/H276)),"")</f>
        <v/>
      </c>
    </row>
    <row r="277" spans="1:11" s="7" customFormat="1" hidden="1" x14ac:dyDescent="0.35">
      <c r="A277" s="7" t="s">
        <v>15</v>
      </c>
      <c r="B277" s="7">
        <v>2020</v>
      </c>
      <c r="D277" s="10" t="s">
        <v>48</v>
      </c>
      <c r="E277" s="7" t="str" cm="1">
        <f t="array" ref="E277">_xlfn.IFS(D277=policy_name_clustering!$A$2,policy_name_clustering!$C$2,D277=policy_name_clustering!$A$3,policy_name_clustering!$C$3,D277=policy_name_clustering!$A$4,policy_name_clustering!$C$4,D277=policy_name_clustering!$A$5,policy_name_clustering!$C$5,D277=policy_name_clustering!$A$6,policy_name_clustering!$C$6,D277=policy_name_clustering!$A$7,policy_name_clustering!$C$7,D277=policy_name_clustering!$A$8,policy_name_clustering!$C$8,D277=policy_name_clustering!$A$9,policy_name_clustering!$C$9,D277=policy_name_clustering!$A$10,policy_name_clustering!$C$10,D277=policy_name_clustering!$A$11,policy_name_clustering!$C$11,D277=policy_name_clustering!$A$12,policy_name_clustering!$C$12,D277="-","")</f>
        <v>FiT/FiP-based</v>
      </c>
      <c r="F277" s="7">
        <f>F276</f>
        <v>13906.427761969901</v>
      </c>
      <c r="I277" s="7">
        <f t="shared" ref="I277:I280" si="10">I276</f>
        <v>12646.646222715573</v>
      </c>
      <c r="K277" s="7" t="str" cm="1">
        <f t="array" ref="K277">IF(ISNUMBER(H277),_xlfn.IFS(D277= ""," ",D277&lt;&gt; " ",F277*(G277/H277)),"")</f>
        <v/>
      </c>
    </row>
    <row r="278" spans="1:11" s="7" customFormat="1" hidden="1" x14ac:dyDescent="0.35">
      <c r="A278" s="7" t="s">
        <v>15</v>
      </c>
      <c r="B278" s="7">
        <v>2021</v>
      </c>
      <c r="D278" s="10" t="s">
        <v>48</v>
      </c>
      <c r="E278" s="7" t="str" cm="1">
        <f t="array" ref="E278">_xlfn.IFS(D278=policy_name_clustering!$A$2,policy_name_clustering!$C$2,D278=policy_name_clustering!$A$3,policy_name_clustering!$C$3,D278=policy_name_clustering!$A$4,policy_name_clustering!$C$4,D278=policy_name_clustering!$A$5,policy_name_clustering!$C$5,D278=policy_name_clustering!$A$6,policy_name_clustering!$C$6,D278=policy_name_clustering!$A$7,policy_name_clustering!$C$7,D278=policy_name_clustering!$A$8,policy_name_clustering!$C$8,D278=policy_name_clustering!$A$9,policy_name_clustering!$C$9,D278=policy_name_clustering!$A$10,policy_name_clustering!$C$10,D278=policy_name_clustering!$A$11,policy_name_clustering!$C$11,D278=policy_name_clustering!$A$12,policy_name_clustering!$C$12,D278="-","")</f>
        <v>FiT/FiP-based</v>
      </c>
      <c r="F278" s="7">
        <f t="shared" ref="F278:F280" si="11">F277</f>
        <v>13906.427761969901</v>
      </c>
      <c r="I278" s="7">
        <f t="shared" si="10"/>
        <v>12646.646222715573</v>
      </c>
      <c r="K278" s="7" t="str" cm="1">
        <f t="array" ref="K278">IF(ISNUMBER(H278),_xlfn.IFS(D278= ""," ",D278&lt;&gt; " ",F278*(G278/H278)),"")</f>
        <v/>
      </c>
    </row>
    <row r="279" spans="1:11" s="7" customFormat="1" hidden="1" x14ac:dyDescent="0.35">
      <c r="A279" s="7" t="s">
        <v>15</v>
      </c>
      <c r="B279" s="7">
        <v>2022</v>
      </c>
      <c r="D279" s="10" t="s">
        <v>48</v>
      </c>
      <c r="E279" s="7" t="str" cm="1">
        <f t="array" ref="E279">_xlfn.IFS(D279=policy_name_clustering!$A$2,policy_name_clustering!$C$2,D279=policy_name_clustering!$A$3,policy_name_clustering!$C$3,D279=policy_name_clustering!$A$4,policy_name_clustering!$C$4,D279=policy_name_clustering!$A$5,policy_name_clustering!$C$5,D279=policy_name_clustering!$A$6,policy_name_clustering!$C$6,D279=policy_name_clustering!$A$7,policy_name_clustering!$C$7,D279=policy_name_clustering!$A$8,policy_name_clustering!$C$8,D279=policy_name_clustering!$A$9,policy_name_clustering!$C$9,D279=policy_name_clustering!$A$10,policy_name_clustering!$C$10,D279=policy_name_clustering!$A$11,policy_name_clustering!$C$11,D279=policy_name_clustering!$A$12,policy_name_clustering!$C$12,D279="-","")</f>
        <v>FiT/FiP-based</v>
      </c>
      <c r="F279" s="7">
        <f t="shared" si="11"/>
        <v>13906.427761969901</v>
      </c>
      <c r="I279" s="7">
        <f t="shared" si="10"/>
        <v>12646.646222715573</v>
      </c>
      <c r="K279" s="7" t="str" cm="1">
        <f t="array" ref="K279">IF(ISNUMBER(H279),_xlfn.IFS(D279= ""," ",D279&lt;&gt; " ",F279*(G279/H279)),"")</f>
        <v/>
      </c>
    </row>
    <row r="280" spans="1:11" s="7" customFormat="1" hidden="1" x14ac:dyDescent="0.35">
      <c r="A280" s="7" t="s">
        <v>15</v>
      </c>
      <c r="B280" s="7">
        <v>2023</v>
      </c>
      <c r="D280" s="10" t="s">
        <v>48</v>
      </c>
      <c r="E280" s="7" t="str" cm="1">
        <f t="array" ref="E280">_xlfn.IFS(D280=policy_name_clustering!$A$2,policy_name_clustering!$C$2,D280=policy_name_clustering!$A$3,policy_name_clustering!$C$3,D280=policy_name_clustering!$A$4,policy_name_clustering!$C$4,D280=policy_name_clustering!$A$5,policy_name_clustering!$C$5,D280=policy_name_clustering!$A$6,policy_name_clustering!$C$6,D280=policy_name_clustering!$A$7,policy_name_clustering!$C$7,D280=policy_name_clustering!$A$8,policy_name_clustering!$C$8,D280=policy_name_clustering!$A$9,policy_name_clustering!$C$9,D280=policy_name_clustering!$A$10,policy_name_clustering!$C$10,D280=policy_name_clustering!$A$11,policy_name_clustering!$C$11,D280=policy_name_clustering!$A$12,policy_name_clustering!$C$12,D280="-","")</f>
        <v>FiT/FiP-based</v>
      </c>
      <c r="F280" s="7">
        <f t="shared" si="11"/>
        <v>13906.427761969901</v>
      </c>
      <c r="I280" s="7">
        <f t="shared" si="10"/>
        <v>12646.646222715573</v>
      </c>
      <c r="K280" s="7" t="str" cm="1">
        <f t="array" ref="K280">IF(ISNUMBER(H280),_xlfn.IFS(D280= ""," ",D280&lt;&gt; " ",F280*(G280/H280)),"")</f>
        <v/>
      </c>
    </row>
    <row r="281" spans="1:11" s="7" customFormat="1" hidden="1" x14ac:dyDescent="0.35">
      <c r="A281" s="7" t="s">
        <v>15</v>
      </c>
      <c r="B281" s="7">
        <v>2019</v>
      </c>
      <c r="C281" s="7" t="s">
        <v>137</v>
      </c>
      <c r="D281" s="12" t="s">
        <v>128</v>
      </c>
      <c r="E281" s="7" t="str" cm="1">
        <f t="array" ref="E281">_xlfn.IFS(D281=policy_name_clustering!$A$2,policy_name_clustering!$C$2,D281=policy_name_clustering!$A$3,policy_name_clustering!$C$3,D281=policy_name_clustering!$A$4,policy_name_clustering!$C$4,D281=policy_name_clustering!$A$5,policy_name_clustering!$C$5,D281=policy_name_clustering!$A$6,policy_name_clustering!$C$6,D281=policy_name_clustering!$A$7,policy_name_clustering!$C$7,D281=policy_name_clustering!$A$8,policy_name_clustering!$C$8,D281=policy_name_clustering!$A$9,policy_name_clustering!$C$9,D281=policy_name_clustering!$A$10,policy_name_clustering!$C$10,D281=policy_name_clustering!$A$11,policy_name_clustering!$C$11,D281=policy_name_clustering!$A$12,policy_name_clustering!$C$12,D281="-","")</f>
        <v>Tender-based</v>
      </c>
      <c r="F281" s="7">
        <f>policy_contributions_cum!F88</f>
        <v>378.85149555079801</v>
      </c>
      <c r="G281" s="7">
        <f>solar_cum_cap!C249</f>
        <v>13346</v>
      </c>
      <c r="H281" s="7">
        <f>estimated_capacity!C238</f>
        <v>14057.6463157137</v>
      </c>
      <c r="I281" s="7" cm="1">
        <f t="array" ref="I281">_xlfn.IFS(D281= ""," ",D281&lt;&gt; " ",F281*(G281/H281))</f>
        <v>359.6727322673612</v>
      </c>
      <c r="J281" s="7" cm="1">
        <f t="array" ref="J281">_xlfn.IFS(D281= ""," ",D281&lt;&gt; " ",(H281-F281)*(G281/H281)-$I$275)</f>
        <v>339.68104501706512</v>
      </c>
      <c r="K281" s="7" cm="1">
        <f t="array" ref="K281">IF(ISNUMBER(H281),_xlfn.IFS(D281= ""," ",D281&lt;&gt; " ",F281*(G281/H281)),"")</f>
        <v>359.6727322673612</v>
      </c>
    </row>
    <row r="282" spans="1:11" s="7" customFormat="1" hidden="1" x14ac:dyDescent="0.35">
      <c r="A282" s="7" t="s">
        <v>15</v>
      </c>
      <c r="B282" s="7">
        <v>2020</v>
      </c>
      <c r="C282" s="7" t="s">
        <v>138</v>
      </c>
      <c r="D282" s="12" t="s">
        <v>128</v>
      </c>
      <c r="E282" s="7" t="str" cm="1">
        <f t="array" ref="E282">_xlfn.IFS(D282=policy_name_clustering!$A$2,policy_name_clustering!$C$2,D282=policy_name_clustering!$A$3,policy_name_clustering!$C$3,D282=policy_name_clustering!$A$4,policy_name_clustering!$C$4,D282=policy_name_clustering!$A$5,policy_name_clustering!$C$5,D282=policy_name_clustering!$A$6,policy_name_clustering!$C$6,D282=policy_name_clustering!$A$7,policy_name_clustering!$C$7,D282=policy_name_clustering!$A$8,policy_name_clustering!$C$8,D282=policy_name_clustering!$A$9,policy_name_clustering!$C$9,D282=policy_name_clustering!$A$10,policy_name_clustering!$C$10,D282=policy_name_clustering!$A$11,policy_name_clustering!$C$11,D282=policy_name_clustering!$A$12,policy_name_clustering!$C$12,D282="-","")</f>
        <v>Tender-based</v>
      </c>
      <c r="F282" s="7">
        <f>policy_contributions_cum!F89</f>
        <v>930.44434616119804</v>
      </c>
      <c r="G282" s="7">
        <f>solar_cum_cap!C250</f>
        <v>13871.3773659048</v>
      </c>
      <c r="H282" s="7">
        <f>estimated_capacity!C239</f>
        <v>14443.980616820299</v>
      </c>
      <c r="I282" s="7" cm="1">
        <f t="array" ref="I282">_xlfn.IFS(D282= ""," ",D282&lt;&gt; " ",F282*(G282/H282))</f>
        <v>893.55870697753551</v>
      </c>
      <c r="J282" s="7" cm="1">
        <f t="array" ref="J282">_xlfn.IFS(D282= ""," ",D282&lt;&gt; " ",(H282-F282)*(G282/H282)-$I$275)</f>
        <v>331.17243621169109</v>
      </c>
      <c r="K282" s="7" cm="1">
        <f t="array" ref="K282">IF(ISNUMBER(H282),_xlfn.IFS(D282= ""," ",D282&lt;&gt; " ",F282*(G282/H282)),"")</f>
        <v>893.55870697753551</v>
      </c>
    </row>
    <row r="283" spans="1:11" s="7" customFormat="1" hidden="1" x14ac:dyDescent="0.35">
      <c r="A283" s="7" t="s">
        <v>15</v>
      </c>
      <c r="B283" s="7">
        <v>2021</v>
      </c>
      <c r="C283" s="7" t="s">
        <v>137</v>
      </c>
      <c r="D283" s="12" t="s">
        <v>128</v>
      </c>
      <c r="E283" s="7" t="str" cm="1">
        <f t="array" ref="E283">_xlfn.IFS(D283=policy_name_clustering!$A$2,policy_name_clustering!$C$2,D283=policy_name_clustering!$A$3,policy_name_clustering!$C$3,D283=policy_name_clustering!$A$4,policy_name_clustering!$C$4,D283=policy_name_clustering!$A$5,policy_name_clustering!$C$5,D283=policy_name_clustering!$A$6,policy_name_clustering!$C$6,D283=policy_name_clustering!$A$7,policy_name_clustering!$C$7,D283=policy_name_clustering!$A$8,policy_name_clustering!$C$8,D283=policy_name_clustering!$A$9,policy_name_clustering!$C$9,D283=policy_name_clustering!$A$10,policy_name_clustering!$C$10,D283=policy_name_clustering!$A$11,policy_name_clustering!$C$11,D283=policy_name_clustering!$A$12,policy_name_clustering!$C$12,D283="-","")</f>
        <v>Tender-based</v>
      </c>
      <c r="F283" s="7">
        <f>policy_contributions_cum!F90</f>
        <v>1706.2736116000499</v>
      </c>
      <c r="G283" s="7">
        <f>solar_cum_cap!C251</f>
        <v>14261.978633196</v>
      </c>
      <c r="H283" s="7">
        <f>estimated_capacity!C240</f>
        <v>14989.3256448968</v>
      </c>
      <c r="I283" s="7" cm="1">
        <f t="array" ref="I283">_xlfn.IFS(D283= ""," ",D283&lt;&gt; " ",F283*(G283/H283))</f>
        <v>1623.4778246552416</v>
      </c>
      <c r="J283" s="7" cm="1">
        <f t="array" ref="J283">_xlfn.IFS(D283= ""," ",D283&lt;&gt; " ",(H283-F283)*(G283/H283)-$I$275)</f>
        <v>-8.1454141748145048</v>
      </c>
      <c r="K283" s="7" cm="1">
        <f t="array" ref="K283">IF(ISNUMBER(H283),_xlfn.IFS(D283= ""," ",D283&lt;&gt; " ",F283*(G283/H283)),"")</f>
        <v>1623.4778246552416</v>
      </c>
    </row>
    <row r="284" spans="1:11" s="7" customFormat="1" hidden="1" x14ac:dyDescent="0.35">
      <c r="A284" s="7" t="s">
        <v>15</v>
      </c>
      <c r="B284" s="7">
        <v>2022</v>
      </c>
      <c r="C284" s="7" t="s">
        <v>137</v>
      </c>
      <c r="D284" s="12" t="s">
        <v>128</v>
      </c>
      <c r="E284" s="7" t="str" cm="1">
        <f t="array" ref="E284">_xlfn.IFS(D284=policy_name_clustering!$A$2,policy_name_clustering!$C$2,D284=policy_name_clustering!$A$3,policy_name_clustering!$C$3,D284=policy_name_clustering!$A$4,policy_name_clustering!$C$4,D284=policy_name_clustering!$A$5,policy_name_clustering!$C$5,D284=policy_name_clustering!$A$6,policy_name_clustering!$C$6,D284=policy_name_clustering!$A$7,policy_name_clustering!$C$7,D284=policy_name_clustering!$A$8,policy_name_clustering!$C$8,D284=policy_name_clustering!$A$9,policy_name_clustering!$C$9,D284=policy_name_clustering!$A$10,policy_name_clustering!$C$10,D284=policy_name_clustering!$A$11,policy_name_clustering!$C$11,D284=policy_name_clustering!$A$12,policy_name_clustering!$C$12,D284="-","")</f>
        <v>Tender-based</v>
      </c>
      <c r="F284" s="7">
        <f>policy_contributions_cum!F91</f>
        <v>2841.88133119146</v>
      </c>
      <c r="G284" s="7">
        <f>solar_cum_cap!C252</f>
        <v>14981.8915754215</v>
      </c>
      <c r="H284" s="7">
        <f>estimated_capacity!C241</f>
        <v>15863.5450753979</v>
      </c>
      <c r="I284" s="7" cm="1">
        <f t="array" ref="I284">_xlfn.IFS(D284= ""," ",D284&lt;&gt; " ",F284*(G284/H284))</f>
        <v>2683.9371509811799</v>
      </c>
      <c r="J284" s="7" cm="1">
        <f t="array" ref="J284">_xlfn.IFS(D284= ""," ",D284&lt;&gt; " ",(H284-F284)*(G284/H284)-$I$275)</f>
        <v>-348.69179827525477</v>
      </c>
      <c r="K284" s="7" cm="1">
        <f t="array" ref="K284">IF(ISNUMBER(H284),_xlfn.IFS(D284= ""," ",D284&lt;&gt; " ",F284*(G284/H284)),"")</f>
        <v>2683.9371509811799</v>
      </c>
    </row>
    <row r="285" spans="1:11" s="7" customFormat="1" hidden="1" x14ac:dyDescent="0.35">
      <c r="A285" s="7" t="s">
        <v>15</v>
      </c>
      <c r="B285" s="7">
        <v>2023</v>
      </c>
      <c r="C285" s="7" t="s">
        <v>137</v>
      </c>
      <c r="D285" s="12" t="s">
        <v>128</v>
      </c>
      <c r="E285" s="7" t="str" cm="1">
        <f t="array" ref="E285">_xlfn.IFS(D285=policy_name_clustering!$A$2,policy_name_clustering!$C$2,D285=policy_name_clustering!$A$3,policy_name_clustering!$C$3,D285=policy_name_clustering!$A$4,policy_name_clustering!$C$4,D285=policy_name_clustering!$A$5,policy_name_clustering!$C$5,D285=policy_name_clustering!$A$6,policy_name_clustering!$C$6,D285=policy_name_clustering!$A$7,policy_name_clustering!$C$7,D285=policy_name_clustering!$A$8,policy_name_clustering!$C$8,D285=policy_name_clustering!$A$9,policy_name_clustering!$C$9,D285=policy_name_clustering!$A$10,policy_name_clustering!$C$10,D285=policy_name_clustering!$A$11,policy_name_clustering!$C$11,D285=policy_name_clustering!$A$12,policy_name_clustering!$C$12,D285="-","")</f>
        <v>Tender-based</v>
      </c>
      <c r="F285" s="7">
        <f>policy_contributions_cum!F92</f>
        <v>4325.4363181483404</v>
      </c>
      <c r="G285" s="7">
        <f>solar_cum_cap!C253</f>
        <v>16276.482577594599</v>
      </c>
      <c r="H285" s="7">
        <f>estimated_capacity!C242</f>
        <v>17063.129080405499</v>
      </c>
      <c r="I285" s="7" cm="1">
        <f t="array" ref="I285">_xlfn.IFS(D285= ""," ",D285&lt;&gt; " ",F285*(G285/H285))</f>
        <v>4126.0245140900788</v>
      </c>
      <c r="J285" s="7" cm="1">
        <f t="array" ref="J285">_xlfn.IFS(D285= ""," ",D285&lt;&gt; " ",(H285-F285)*(G285/H285)-$I$275)</f>
        <v>-496.18815921105306</v>
      </c>
      <c r="K285" s="7" cm="1">
        <f t="array" ref="K285">IF(ISNUMBER(H285),_xlfn.IFS(D285= ""," ",D285&lt;&gt; " ",F285*(G285/H285)),"")</f>
        <v>4126.0245140900788</v>
      </c>
    </row>
    <row r="286" spans="1:11" s="7" customFormat="1" hidden="1" x14ac:dyDescent="0.35">
      <c r="A286" s="7" t="s">
        <v>18</v>
      </c>
      <c r="B286" s="7">
        <v>2001</v>
      </c>
      <c r="D286" s="12" t="s">
        <v>73</v>
      </c>
      <c r="E286" s="7" t="str" cm="1">
        <f t="array" ref="E286">_xlfn.IFS(D286=policy_name_clustering!$A$2,policy_name_clustering!$C$2,D286=policy_name_clustering!$A$3,policy_name_clustering!$C$3,D286=policy_name_clustering!$A$4,policy_name_clustering!$C$4,D286=policy_name_clustering!$A$5,policy_name_clustering!$C$5,D286=policy_name_clustering!$A$6,policy_name_clustering!$C$6,D286=policy_name_clustering!$A$7,policy_name_clustering!$C$7,D286=policy_name_clustering!$A$8,policy_name_clustering!$C$8,D286=policy_name_clustering!$A$9,policy_name_clustering!$C$9,D286=policy_name_clustering!$A$10,policy_name_clustering!$C$10,D286=policy_name_clustering!$A$11,policy_name_clustering!$C$11,D286=policy_name_clustering!$A$12,policy_name_clustering!$C$12,D286="-","")</f>
        <v/>
      </c>
      <c r="G286" s="7">
        <f>solar_cum_cap!C255</f>
        <v>1</v>
      </c>
      <c r="H286" s="7">
        <f>estimated_capacity!C243</f>
        <v>13.814550103489101</v>
      </c>
      <c r="I286" s="7" cm="1">
        <f t="array" ref="I286">_xlfn.IFS(D286= ""," ",D286&lt;&gt; " ",F286*(G286/H286))</f>
        <v>0</v>
      </c>
      <c r="J286" s="7" cm="1">
        <f t="array" ref="J286">_xlfn.IFS(D286= ""," ",D286&lt;&gt; " ",(H286-F286)*(G286/H286))</f>
        <v>1</v>
      </c>
      <c r="K286" s="7" cm="1">
        <f t="array" ref="K286">IF(ISNUMBER(H286),_xlfn.IFS(D286= ""," ",D286&lt;&gt; " ",F286*(G286/H286)),"")</f>
        <v>0</v>
      </c>
    </row>
    <row r="287" spans="1:11" s="7" customFormat="1" hidden="1" x14ac:dyDescent="0.35">
      <c r="A287" s="7" t="s">
        <v>18</v>
      </c>
      <c r="B287" s="7">
        <v>2002</v>
      </c>
      <c r="D287" s="12" t="s">
        <v>73</v>
      </c>
      <c r="E287" s="7" t="str" cm="1">
        <f t="array" ref="E287">_xlfn.IFS(D287=policy_name_clustering!$A$2,policy_name_clustering!$C$2,D287=policy_name_clustering!$A$3,policy_name_clustering!$C$3,D287=policy_name_clustering!$A$4,policy_name_clustering!$C$4,D287=policy_name_clustering!$A$5,policy_name_clustering!$C$5,D287=policy_name_clustering!$A$6,policy_name_clustering!$C$6,D287=policy_name_clustering!$A$7,policy_name_clustering!$C$7,D287=policy_name_clustering!$A$8,policy_name_clustering!$C$8,D287=policy_name_clustering!$A$9,policy_name_clustering!$C$9,D287=policy_name_clustering!$A$10,policy_name_clustering!$C$10,D287=policy_name_clustering!$A$11,policy_name_clustering!$C$11,D287=policy_name_clustering!$A$12,policy_name_clustering!$C$12,D287="-","")</f>
        <v/>
      </c>
      <c r="G287" s="7">
        <f>solar_cum_cap!C256</f>
        <v>1</v>
      </c>
      <c r="H287" s="7">
        <f>estimated_capacity!C244</f>
        <v>19.799470837789901</v>
      </c>
      <c r="I287" s="7" cm="1">
        <f t="array" ref="I287">_xlfn.IFS(D287= ""," ",D287&lt;&gt; " ",F287*(G287/H287))</f>
        <v>0</v>
      </c>
      <c r="J287" s="7" cm="1">
        <f t="array" ref="J287">_xlfn.IFS(D287= ""," ",D287&lt;&gt; " ",(H287-F287)*(G287/H287))</f>
        <v>1</v>
      </c>
      <c r="K287" s="7" cm="1">
        <f t="array" ref="K287">IF(ISNUMBER(H287),_xlfn.IFS(D287= ""," ",D287&lt;&gt; " ",F287*(G287/H287)),"")</f>
        <v>0</v>
      </c>
    </row>
    <row r="288" spans="1:11" s="7" customFormat="1" hidden="1" x14ac:dyDescent="0.35">
      <c r="A288" s="7" t="s">
        <v>18</v>
      </c>
      <c r="B288" s="7">
        <v>2003</v>
      </c>
      <c r="D288" s="12" t="s">
        <v>73</v>
      </c>
      <c r="E288" s="7" t="str" cm="1">
        <f t="array" ref="E288">_xlfn.IFS(D288=policy_name_clustering!$A$2,policy_name_clustering!$C$2,D288=policy_name_clustering!$A$3,policy_name_clustering!$C$3,D288=policy_name_clustering!$A$4,policy_name_clustering!$C$4,D288=policy_name_clustering!$A$5,policy_name_clustering!$C$5,D288=policy_name_clustering!$A$6,policy_name_clustering!$C$6,D288=policy_name_clustering!$A$7,policy_name_clustering!$C$7,D288=policy_name_clustering!$A$8,policy_name_clustering!$C$8,D288=policy_name_clustering!$A$9,policy_name_clustering!$C$9,D288=policy_name_clustering!$A$10,policy_name_clustering!$C$10,D288=policy_name_clustering!$A$11,policy_name_clustering!$C$11,D288=policy_name_clustering!$A$12,policy_name_clustering!$C$12,D288="-","")</f>
        <v/>
      </c>
      <c r="G288" s="7">
        <f>solar_cum_cap!C257</f>
        <v>1</v>
      </c>
      <c r="H288" s="7">
        <f>estimated_capacity!C245</f>
        <v>43.118084449973402</v>
      </c>
      <c r="I288" s="7" cm="1">
        <f t="array" ref="I288">_xlfn.IFS(D288= ""," ",D288&lt;&gt; " ",F288*(G288/H288))</f>
        <v>0</v>
      </c>
      <c r="J288" s="7" cm="1">
        <f t="array" ref="J288">_xlfn.IFS(D288= ""," ",D288&lt;&gt; " ",(H288-F288)*(G288/H288))</f>
        <v>1</v>
      </c>
      <c r="K288" s="7" cm="1">
        <f t="array" ref="K288">IF(ISNUMBER(H288),_xlfn.IFS(D288= ""," ",D288&lt;&gt; " ",F288*(G288/H288)),"")</f>
        <v>0</v>
      </c>
    </row>
    <row r="289" spans="1:11" s="7" customFormat="1" hidden="1" x14ac:dyDescent="0.35">
      <c r="A289" s="7" t="s">
        <v>18</v>
      </c>
      <c r="B289" s="7">
        <v>2004</v>
      </c>
      <c r="D289" s="12" t="s">
        <v>73</v>
      </c>
      <c r="E289" s="7" t="str" cm="1">
        <f t="array" ref="E289">_xlfn.IFS(D289=policy_name_clustering!$A$2,policy_name_clustering!$C$2,D289=policy_name_clustering!$A$3,policy_name_clustering!$C$3,D289=policy_name_clustering!$A$4,policy_name_clustering!$C$4,D289=policy_name_clustering!$A$5,policy_name_clustering!$C$5,D289=policy_name_clustering!$A$6,policy_name_clustering!$C$6,D289=policy_name_clustering!$A$7,policy_name_clustering!$C$7,D289=policy_name_clustering!$A$8,policy_name_clustering!$C$8,D289=policy_name_clustering!$A$9,policy_name_clustering!$C$9,D289=policy_name_clustering!$A$10,policy_name_clustering!$C$10,D289=policy_name_clustering!$A$11,policy_name_clustering!$C$11,D289=policy_name_clustering!$A$12,policy_name_clustering!$C$12,D289="-","")</f>
        <v/>
      </c>
      <c r="G289" s="7">
        <f>solar_cum_cap!C258</f>
        <v>1</v>
      </c>
      <c r="H289" s="7">
        <f>estimated_capacity!C246</f>
        <v>90.540908230658303</v>
      </c>
      <c r="I289" s="7" cm="1">
        <f t="array" ref="I289">_xlfn.IFS(D289= ""," ",D289&lt;&gt; " ",F289*(G289/H289))</f>
        <v>0</v>
      </c>
      <c r="J289" s="7" cm="1">
        <f t="array" ref="J289">_xlfn.IFS(D289= ""," ",D289&lt;&gt; " ",(H289-F289)*(G289/H289))</f>
        <v>1</v>
      </c>
      <c r="K289" s="7" cm="1">
        <f t="array" ref="K289">IF(ISNUMBER(H289),_xlfn.IFS(D289= ""," ",D289&lt;&gt; " ",F289*(G289/H289)),"")</f>
        <v>0</v>
      </c>
    </row>
    <row r="290" spans="1:11" s="7" customFormat="1" hidden="1" x14ac:dyDescent="0.35">
      <c r="A290" s="7" t="s">
        <v>18</v>
      </c>
      <c r="B290" s="7">
        <v>2005</v>
      </c>
      <c r="D290" s="12" t="s">
        <v>73</v>
      </c>
      <c r="E290" s="7" t="str" cm="1">
        <f t="array" ref="E290">_xlfn.IFS(D290=policy_name_clustering!$A$2,policy_name_clustering!$C$2,D290=policy_name_clustering!$A$3,policy_name_clustering!$C$3,D290=policy_name_clustering!$A$4,policy_name_clustering!$C$4,D290=policy_name_clustering!$A$5,policy_name_clustering!$C$5,D290=policy_name_clustering!$A$6,policy_name_clustering!$C$6,D290=policy_name_clustering!$A$7,policy_name_clustering!$C$7,D290=policy_name_clustering!$A$8,policy_name_clustering!$C$8,D290=policy_name_clustering!$A$9,policy_name_clustering!$C$9,D290=policy_name_clustering!$A$10,policy_name_clustering!$C$10,D290=policy_name_clustering!$A$11,policy_name_clustering!$C$11,D290=policy_name_clustering!$A$12,policy_name_clustering!$C$12,D290="-","")</f>
        <v/>
      </c>
      <c r="G290" s="7">
        <f>solar_cum_cap!C259</f>
        <v>1</v>
      </c>
      <c r="H290" s="7">
        <f>estimated_capacity!C247</f>
        <v>138.44413466792099</v>
      </c>
      <c r="I290" s="7" cm="1">
        <f t="array" ref="I290">_xlfn.IFS(D290= ""," ",D290&lt;&gt; " ",F290*(G290/H290))</f>
        <v>0</v>
      </c>
      <c r="J290" s="7" cm="1">
        <f t="array" ref="J290">_xlfn.IFS(D290= ""," ",D290&lt;&gt; " ",(H290-F290)*(G290/H290))</f>
        <v>1</v>
      </c>
      <c r="K290" s="7" cm="1">
        <f t="array" ref="K290">IF(ISNUMBER(H290),_xlfn.IFS(D290= ""," ",D290&lt;&gt; " ",F290*(G290/H290)),"")</f>
        <v>0</v>
      </c>
    </row>
    <row r="291" spans="1:11" s="7" customFormat="1" hidden="1" x14ac:dyDescent="0.35">
      <c r="A291" s="7" t="s">
        <v>18</v>
      </c>
      <c r="B291" s="7">
        <v>2006</v>
      </c>
      <c r="D291" s="12" t="s">
        <v>73</v>
      </c>
      <c r="E291" s="7" t="str" cm="1">
        <f t="array" ref="E291">_xlfn.IFS(D291=policy_name_clustering!$A$2,policy_name_clustering!$C$2,D291=policy_name_clustering!$A$3,policy_name_clustering!$C$3,D291=policy_name_clustering!$A$4,policy_name_clustering!$C$4,D291=policy_name_clustering!$A$5,policy_name_clustering!$C$5,D291=policy_name_clustering!$A$6,policy_name_clustering!$C$6,D291=policy_name_clustering!$A$7,policy_name_clustering!$C$7,D291=policy_name_clustering!$A$8,policy_name_clustering!$C$8,D291=policy_name_clustering!$A$9,policy_name_clustering!$C$9,D291=policy_name_clustering!$A$10,policy_name_clustering!$C$10,D291=policy_name_clustering!$A$11,policy_name_clustering!$C$11,D291=policy_name_clustering!$A$12,policy_name_clustering!$C$12,D291="-","")</f>
        <v/>
      </c>
      <c r="G291" s="7">
        <f>solar_cum_cap!C260</f>
        <v>5</v>
      </c>
      <c r="H291" s="7">
        <f>estimated_capacity!C248</f>
        <v>194.885945995215</v>
      </c>
      <c r="I291" s="7" cm="1">
        <f t="array" ref="I291">_xlfn.IFS(D291= ""," ",D291&lt;&gt; " ",F291*(G291/H291))</f>
        <v>0</v>
      </c>
      <c r="J291" s="7" cm="1">
        <f t="array" ref="J291">_xlfn.IFS(D291= ""," ",D291&lt;&gt; " ",(H291-F291)*(G291/H291))</f>
        <v>5</v>
      </c>
      <c r="K291" s="7" cm="1">
        <f t="array" ref="K291">IF(ISNUMBER(H291),_xlfn.IFS(D291= ""," ",D291&lt;&gt; " ",F291*(G291/H291)),"")</f>
        <v>0</v>
      </c>
    </row>
    <row r="292" spans="1:11" s="7" customFormat="1" hidden="1" x14ac:dyDescent="0.35">
      <c r="A292" s="7" t="s">
        <v>18</v>
      </c>
      <c r="B292" s="7">
        <v>2007</v>
      </c>
      <c r="D292" s="12" t="s">
        <v>73</v>
      </c>
      <c r="E292" s="7" t="str" cm="1">
        <f t="array" ref="E292">_xlfn.IFS(D292=policy_name_clustering!$A$2,policy_name_clustering!$C$2,D292=policy_name_clustering!$A$3,policy_name_clustering!$C$3,D292=policy_name_clustering!$A$4,policy_name_clustering!$C$4,D292=policy_name_clustering!$A$5,policy_name_clustering!$C$5,D292=policy_name_clustering!$A$6,policy_name_clustering!$C$6,D292=policy_name_clustering!$A$7,policy_name_clustering!$C$7,D292=policy_name_clustering!$A$8,policy_name_clustering!$C$8,D292=policy_name_clustering!$A$9,policy_name_clustering!$C$9,D292=policy_name_clustering!$A$10,policy_name_clustering!$C$10,D292=policy_name_clustering!$A$11,policy_name_clustering!$C$11,D292=policy_name_clustering!$A$12,policy_name_clustering!$C$12,D292="-","")</f>
        <v/>
      </c>
      <c r="G292" s="7">
        <f>solar_cum_cap!C261</f>
        <v>9</v>
      </c>
      <c r="H292" s="7">
        <f>estimated_capacity!C249</f>
        <v>253.19405665696999</v>
      </c>
      <c r="I292" s="7" cm="1">
        <f t="array" ref="I292">_xlfn.IFS(D292= ""," ",D292&lt;&gt; " ",F292*(G292/H292))</f>
        <v>0</v>
      </c>
      <c r="J292" s="7" cm="1">
        <f t="array" ref="J292">_xlfn.IFS(D292= ""," ",D292&lt;&gt; " ",(H292-F292)*(G292/H292))</f>
        <v>9</v>
      </c>
      <c r="K292" s="7" cm="1">
        <f t="array" ref="K292">IF(ISNUMBER(H292),_xlfn.IFS(D292= ""," ",D292&lt;&gt; " ",F292*(G292/H292)),"")</f>
        <v>0</v>
      </c>
    </row>
    <row r="293" spans="1:11" s="7" customFormat="1" hidden="1" x14ac:dyDescent="0.35">
      <c r="A293" s="7" t="s">
        <v>18</v>
      </c>
      <c r="B293" s="7">
        <v>2008</v>
      </c>
      <c r="D293" s="12" t="s">
        <v>73</v>
      </c>
      <c r="E293" s="7" t="str" cm="1">
        <f t="array" ref="E293">_xlfn.IFS(D293=policy_name_clustering!$A$2,policy_name_clustering!$C$2,D293=policy_name_clustering!$A$3,policy_name_clustering!$C$3,D293=policy_name_clustering!$A$4,policy_name_clustering!$C$4,D293=policy_name_clustering!$A$5,policy_name_clustering!$C$5,D293=policy_name_clustering!$A$6,policy_name_clustering!$C$6,D293=policy_name_clustering!$A$7,policy_name_clustering!$C$7,D293=policy_name_clustering!$A$8,policy_name_clustering!$C$8,D293=policy_name_clustering!$A$9,policy_name_clustering!$C$9,D293=policy_name_clustering!$A$10,policy_name_clustering!$C$10,D293=policy_name_clustering!$A$11,policy_name_clustering!$C$11,D293=policy_name_clustering!$A$12,policy_name_clustering!$C$12,D293="-","")</f>
        <v/>
      </c>
      <c r="G293" s="7">
        <f>solar_cum_cap!C262</f>
        <v>12</v>
      </c>
      <c r="H293" s="7">
        <f>estimated_capacity!C250</f>
        <v>331.84016412751402</v>
      </c>
      <c r="I293" s="7" cm="1">
        <f t="array" ref="I293">_xlfn.IFS(D293= ""," ",D293&lt;&gt; " ",F293*(G293/H293))</f>
        <v>0</v>
      </c>
      <c r="J293" s="7" cm="1">
        <f t="array" ref="J293">_xlfn.IFS(D293= ""," ",D293&lt;&gt; " ",(H293-F293)*(G293/H293))</f>
        <v>12</v>
      </c>
      <c r="K293" s="7" cm="1">
        <f t="array" ref="K293">IF(ISNUMBER(H293),_xlfn.IFS(D293= ""," ",D293&lt;&gt; " ",F293*(G293/H293)),"")</f>
        <v>0</v>
      </c>
    </row>
    <row r="294" spans="1:11" s="7" customFormat="1" hidden="1" x14ac:dyDescent="0.35">
      <c r="A294" s="7" t="s">
        <v>18</v>
      </c>
      <c r="B294" s="7">
        <v>2009</v>
      </c>
      <c r="D294" s="12" t="s">
        <v>73</v>
      </c>
      <c r="E294" s="7" t="str" cm="1">
        <f t="array" ref="E294">_xlfn.IFS(D294=policy_name_clustering!$A$2,policy_name_clustering!$C$2,D294=policy_name_clustering!$A$3,policy_name_clustering!$C$3,D294=policy_name_clustering!$A$4,policy_name_clustering!$C$4,D294=policy_name_clustering!$A$5,policy_name_clustering!$C$5,D294=policy_name_clustering!$A$6,policy_name_clustering!$C$6,D294=policy_name_clustering!$A$7,policy_name_clustering!$C$7,D294=policy_name_clustering!$A$8,policy_name_clustering!$C$8,D294=policy_name_clustering!$A$9,policy_name_clustering!$C$9,D294=policy_name_clustering!$A$10,policy_name_clustering!$C$10,D294=policy_name_clustering!$A$11,policy_name_clustering!$C$11,D294=policy_name_clustering!$A$12,policy_name_clustering!$C$12,D294="-","")</f>
        <v/>
      </c>
      <c r="G294" s="7">
        <f>solar_cum_cap!C263</f>
        <v>46</v>
      </c>
      <c r="H294" s="7">
        <f>estimated_capacity!C251</f>
        <v>435.60233878677502</v>
      </c>
      <c r="I294" s="7" cm="1">
        <f t="array" ref="I294">_xlfn.IFS(D294= ""," ",D294&lt;&gt; " ",F294*(G294/H294))</f>
        <v>0</v>
      </c>
      <c r="J294" s="7" cm="1">
        <f t="array" ref="J294">_xlfn.IFS(D294= ""," ",D294&lt;&gt; " ",(H294-F294)*(G294/H294))</f>
        <v>46</v>
      </c>
      <c r="K294" s="7" cm="1">
        <f t="array" ref="K294">IF(ISNUMBER(H294),_xlfn.IFS(D294= ""," ",D294&lt;&gt; " ",F294*(G294/H294)),"")</f>
        <v>0</v>
      </c>
    </row>
    <row r="295" spans="1:11" s="7" customFormat="1" hidden="1" x14ac:dyDescent="0.35">
      <c r="A295" s="7" t="s">
        <v>18</v>
      </c>
      <c r="B295" s="7">
        <v>2010</v>
      </c>
      <c r="D295" s="12" t="s">
        <v>73</v>
      </c>
      <c r="E295" s="7" t="str" cm="1">
        <f t="array" ref="E295">_xlfn.IFS(D295=policy_name_clustering!$A$2,policy_name_clustering!$C$2,D295=policy_name_clustering!$A$3,policy_name_clustering!$C$3,D295=policy_name_clustering!$A$4,policy_name_clustering!$C$4,D295=policy_name_clustering!$A$5,policy_name_clustering!$C$5,D295=policy_name_clustering!$A$6,policy_name_clustering!$C$6,D295=policy_name_clustering!$A$7,policy_name_clustering!$C$7,D295=policy_name_clustering!$A$8,policy_name_clustering!$C$8,D295=policy_name_clustering!$A$9,policy_name_clustering!$C$9,D295=policy_name_clustering!$A$10,policy_name_clustering!$C$10,D295=policy_name_clustering!$A$11,policy_name_clustering!$C$11,D295=policy_name_clustering!$A$12,policy_name_clustering!$C$12,D295="-","")</f>
        <v/>
      </c>
      <c r="G295" s="7">
        <f>solar_cum_cap!C264</f>
        <v>202</v>
      </c>
      <c r="H295" s="7">
        <f>estimated_capacity!C252</f>
        <v>678.662803985663</v>
      </c>
      <c r="I295" s="7" cm="1">
        <f t="array" ref="I295">_xlfn.IFS(D295= ""," ",D295&lt;&gt; " ",F295*(G295/H295))</f>
        <v>0</v>
      </c>
      <c r="J295" s="7" cm="1">
        <f t="array" ref="J295">_xlfn.IFS(D295= ""," ",D295&lt;&gt; " ",(H295-F295)*(G295/H295))</f>
        <v>202</v>
      </c>
      <c r="K295" s="7" cm="1">
        <f t="array" ref="K295">IF(ISNUMBER(H295),_xlfn.IFS(D295= ""," ",D295&lt;&gt; " ",F295*(G295/H295)),"")</f>
        <v>0</v>
      </c>
    </row>
    <row r="296" spans="1:11" s="7" customFormat="1" hidden="1" x14ac:dyDescent="0.35">
      <c r="A296" s="7" t="s">
        <v>18</v>
      </c>
      <c r="B296" s="7">
        <v>2011</v>
      </c>
      <c r="D296" s="12" t="s">
        <v>73</v>
      </c>
      <c r="E296" s="7" t="str" cm="1">
        <f t="array" ref="E296">_xlfn.IFS(D296=policy_name_clustering!$A$2,policy_name_clustering!$C$2,D296=policy_name_clustering!$A$3,policy_name_clustering!$C$3,D296=policy_name_clustering!$A$4,policy_name_clustering!$C$4,D296=policy_name_clustering!$A$5,policy_name_clustering!$C$5,D296=policy_name_clustering!$A$6,policy_name_clustering!$C$6,D296=policy_name_clustering!$A$7,policy_name_clustering!$C$7,D296=policy_name_clustering!$A$8,policy_name_clustering!$C$8,D296=policy_name_clustering!$A$9,policy_name_clustering!$C$9,D296=policy_name_clustering!$A$10,policy_name_clustering!$C$10,D296=policy_name_clustering!$A$11,policy_name_clustering!$C$11,D296=policy_name_clustering!$A$12,policy_name_clustering!$C$12,D296="-","")</f>
        <v/>
      </c>
      <c r="G296" s="7">
        <f>solar_cum_cap!C265</f>
        <v>612</v>
      </c>
      <c r="H296" s="7">
        <f>estimated_capacity!C253</f>
        <v>1081.73689261287</v>
      </c>
      <c r="I296" s="7" cm="1">
        <f t="array" ref="I296">_xlfn.IFS(D296= ""," ",D296&lt;&gt; " ",F296*(G296/H296))</f>
        <v>0</v>
      </c>
      <c r="J296" s="7" cm="1">
        <f t="array" ref="J296">_xlfn.IFS(D296= ""," ",D296&lt;&gt; " ",(H296-F296)*(G296/H296))</f>
        <v>612</v>
      </c>
      <c r="K296" s="7" cm="1">
        <f t="array" ref="K296">IF(ISNUMBER(H296),_xlfn.IFS(D296= ""," ",D296&lt;&gt; " ",F296*(G296/H296)),"")</f>
        <v>0</v>
      </c>
    </row>
    <row r="297" spans="1:11" s="7" customFormat="1" hidden="1" x14ac:dyDescent="0.35">
      <c r="A297" s="7" t="s">
        <v>18</v>
      </c>
      <c r="B297" s="7">
        <v>2012</v>
      </c>
      <c r="D297" s="12" t="s">
        <v>73</v>
      </c>
      <c r="E297" s="7" t="str" cm="1">
        <f t="array" ref="E297">_xlfn.IFS(D297=policy_name_clustering!$A$2,policy_name_clustering!$C$2,D297=policy_name_clustering!$A$3,policy_name_clustering!$C$3,D297=policy_name_clustering!$A$4,policy_name_clustering!$C$4,D297=policy_name_clustering!$A$5,policy_name_clustering!$C$5,D297=policy_name_clustering!$A$6,policy_name_clustering!$C$6,D297=policy_name_clustering!$A$7,policy_name_clustering!$C$7,D297=policy_name_clustering!$A$8,policy_name_clustering!$C$8,D297=policy_name_clustering!$A$9,policy_name_clustering!$C$9,D297=policy_name_clustering!$A$10,policy_name_clustering!$C$10,D297=policy_name_clustering!$A$11,policy_name_clustering!$C$11,D297=policy_name_clustering!$A$12,policy_name_clustering!$C$12,D297="-","")</f>
        <v/>
      </c>
      <c r="G297" s="7">
        <f>solar_cum_cap!C266</f>
        <v>1536</v>
      </c>
      <c r="H297" s="7">
        <f>estimated_capacity!C254</f>
        <v>1690.2646600603</v>
      </c>
      <c r="I297" s="7" cm="1">
        <f t="array" ref="I297">_xlfn.IFS(D297= ""," ",D297&lt;&gt; " ",F297*(G297/H297))</f>
        <v>0</v>
      </c>
      <c r="J297" s="7" cm="1">
        <f t="array" ref="J297">_xlfn.IFS(D297= ""," ",D297&lt;&gt; " ",(H297-F297)*(G297/H297))</f>
        <v>1536</v>
      </c>
      <c r="K297" s="7" cm="1">
        <f t="array" ref="K297">IF(ISNUMBER(H297),_xlfn.IFS(D297= ""," ",D297&lt;&gt; " ",F297*(G297/H297)),"")</f>
        <v>0</v>
      </c>
    </row>
    <row r="298" spans="1:11" s="7" customFormat="1" hidden="1" x14ac:dyDescent="0.35">
      <c r="A298" s="7" t="s">
        <v>18</v>
      </c>
      <c r="B298" s="7">
        <v>2013</v>
      </c>
      <c r="D298" s="12" t="s">
        <v>73</v>
      </c>
      <c r="E298" s="7" t="str" cm="1">
        <f t="array" ref="E298">_xlfn.IFS(D298=policy_name_clustering!$A$2,policy_name_clustering!$C$2,D298=policy_name_clustering!$A$3,policy_name_clustering!$C$3,D298=policy_name_clustering!$A$4,policy_name_clustering!$C$4,D298=policy_name_clustering!$A$5,policy_name_clustering!$C$5,D298=policy_name_clustering!$A$6,policy_name_clustering!$C$6,D298=policy_name_clustering!$A$7,policy_name_clustering!$C$7,D298=policy_name_clustering!$A$8,policy_name_clustering!$C$8,D298=policy_name_clustering!$A$9,policy_name_clustering!$C$9,D298=policy_name_clustering!$A$10,policy_name_clustering!$C$10,D298=policy_name_clustering!$A$11,policy_name_clustering!$C$11,D298=policy_name_clustering!$A$12,policy_name_clustering!$C$12,D298="-","")</f>
        <v/>
      </c>
      <c r="G298" s="7">
        <f>solar_cum_cap!C267</f>
        <v>2579</v>
      </c>
      <c r="H298" s="7">
        <f>estimated_capacity!C255</f>
        <v>2200.43595362009</v>
      </c>
      <c r="I298" s="7" cm="1">
        <f t="array" ref="I298">_xlfn.IFS(D298= ""," ",D298&lt;&gt; " ",F298*(G298/H298))</f>
        <v>0</v>
      </c>
      <c r="J298" s="7" cm="1">
        <f t="array" ref="J298">_xlfn.IFS(D298= ""," ",D298&lt;&gt; " ",(H298-F298)*(G298/H298))</f>
        <v>2579</v>
      </c>
      <c r="K298" s="7" cm="1">
        <f t="array" ref="K298">IF(ISNUMBER(H298),_xlfn.IFS(D298= ""," ",D298&lt;&gt; " ",F298*(G298/H298)),"")</f>
        <v>0</v>
      </c>
    </row>
    <row r="299" spans="1:11" s="7" customFormat="1" hidden="1" x14ac:dyDescent="0.35">
      <c r="A299" s="7" t="s">
        <v>18</v>
      </c>
      <c r="B299" s="7">
        <v>2014</v>
      </c>
      <c r="C299" s="10" t="s">
        <v>98</v>
      </c>
      <c r="D299" s="12" t="s">
        <v>73</v>
      </c>
      <c r="E299" s="7" t="str" cm="1">
        <f t="array" ref="E299">_xlfn.IFS(D299=policy_name_clustering!$A$2,policy_name_clustering!$C$2,D299=policy_name_clustering!$A$3,policy_name_clustering!$C$3,D299=policy_name_clustering!$A$4,policy_name_clustering!$C$4,D299=policy_name_clustering!$A$5,policy_name_clustering!$C$5,D299=policy_name_clustering!$A$6,policy_name_clustering!$C$6,D299=policy_name_clustering!$A$7,policy_name_clustering!$C$7,D299=policy_name_clustering!$A$8,policy_name_clustering!$C$8,D299=policy_name_clustering!$A$9,policy_name_clustering!$C$9,D299=policy_name_clustering!$A$10,policy_name_clustering!$C$10,D299=policy_name_clustering!$A$11,policy_name_clustering!$C$11,D299=policy_name_clustering!$A$12,policy_name_clustering!$C$12,D299="-","")</f>
        <v/>
      </c>
      <c r="G299" s="7">
        <f>solar_cum_cap!C268</f>
        <v>2596</v>
      </c>
      <c r="H299" s="7">
        <f>estimated_capacity!C256</f>
        <v>2306.40676848865</v>
      </c>
      <c r="I299" s="7" cm="1">
        <f t="array" ref="I299">_xlfn.IFS(D299= ""," ",D299&lt;&gt; " ",F299*(G299/H299))</f>
        <v>0</v>
      </c>
      <c r="J299" s="7" cm="1">
        <f t="array" ref="J299">_xlfn.IFS(D299= ""," ",D299&lt;&gt; " ",(H299-F299)*(G299/H299))</f>
        <v>2596</v>
      </c>
      <c r="K299" s="7" cm="1">
        <f t="array" ref="K299">IF(ISNUMBER(H299),_xlfn.IFS(D299= ""," ",D299&lt;&gt; " ",F299*(G299/H299)),"")</f>
        <v>0</v>
      </c>
    </row>
    <row r="300" spans="1:11" s="7" customFormat="1" hidden="1" x14ac:dyDescent="0.35">
      <c r="A300" s="7" t="s">
        <v>18</v>
      </c>
      <c r="B300" s="7">
        <v>2015</v>
      </c>
      <c r="D300" s="12" t="s">
        <v>73</v>
      </c>
      <c r="E300" s="7" t="str" cm="1">
        <f t="array" ref="E300">_xlfn.IFS(D300=policy_name_clustering!$A$2,policy_name_clustering!$C$2,D300=policy_name_clustering!$A$3,policy_name_clustering!$C$3,D300=policy_name_clustering!$A$4,policy_name_clustering!$C$4,D300=policy_name_clustering!$A$5,policy_name_clustering!$C$5,D300=policy_name_clustering!$A$6,policy_name_clustering!$C$6,D300=policy_name_clustering!$A$7,policy_name_clustering!$C$7,D300=policy_name_clustering!$A$8,policy_name_clustering!$C$8,D300=policy_name_clustering!$A$9,policy_name_clustering!$C$9,D300=policy_name_clustering!$A$10,policy_name_clustering!$C$10,D300=policy_name_clustering!$A$11,policy_name_clustering!$C$11,D300=policy_name_clustering!$A$12,policy_name_clustering!$C$12,D300="-","")</f>
        <v/>
      </c>
      <c r="G300" s="7">
        <f>solar_cum_cap!C269</f>
        <v>2604</v>
      </c>
      <c r="H300" s="7">
        <f>estimated_capacity!C257</f>
        <v>2239.4530323366498</v>
      </c>
      <c r="I300" s="7" cm="1">
        <f t="array" ref="I300">_xlfn.IFS(D300= ""," ",D300&lt;&gt; " ",F300*(G300/H300))</f>
        <v>0</v>
      </c>
      <c r="J300" s="7" cm="1">
        <f t="array" ref="J300">_xlfn.IFS(D300= ""," ",D300&lt;&gt; " ",(H300-F300)*(G300/H300))</f>
        <v>2604</v>
      </c>
      <c r="K300" s="7" cm="1">
        <f t="array" ref="K300">IF(ISNUMBER(H300),_xlfn.IFS(D300= ""," ",D300&lt;&gt; " ",F300*(G300/H300)),"")</f>
        <v>0</v>
      </c>
    </row>
    <row r="301" spans="1:11" s="7" customFormat="1" x14ac:dyDescent="0.35">
      <c r="A301" s="7" t="s">
        <v>18</v>
      </c>
      <c r="B301" s="7">
        <v>2016</v>
      </c>
      <c r="C301" s="7" t="s">
        <v>99</v>
      </c>
      <c r="D301" s="7" t="s">
        <v>144</v>
      </c>
      <c r="E301" s="7" t="str" cm="1">
        <f t="array" ref="E301">_xlfn.IFS(D301=policy_name_clustering!$A$2,policy_name_clustering!$C$2,D301=policy_name_clustering!$A$3,policy_name_clustering!$C$3,D301=policy_name_clustering!$A$4,policy_name_clustering!$C$4,D301=policy_name_clustering!$A$5,policy_name_clustering!$C$5,D301=policy_name_clustering!$A$6,policy_name_clustering!$C$6,D301=policy_name_clustering!$A$7,policy_name_clustering!$C$7,D301=policy_name_clustering!$A$8,policy_name_clustering!$C$8,D301=policy_name_clustering!$A$9,policy_name_clustering!$C$9,D301=policy_name_clustering!$A$10,policy_name_clustering!$C$10,D301=policy_name_clustering!$A$11,policy_name_clustering!$C$11,D301=policy_name_clustering!$A$12,policy_name_clustering!$C$12,D301="-","")</f>
        <v>Other single instrument</v>
      </c>
      <c r="F301" s="7">
        <f>policy_contributions_cum!F93</f>
        <v>192.86659008675201</v>
      </c>
      <c r="G301" s="7">
        <f>solar_cum_cap!C270</f>
        <v>2604</v>
      </c>
      <c r="H301" s="7">
        <f>estimated_capacity!C258</f>
        <v>2246.22594064857</v>
      </c>
      <c r="I301" s="7" cm="1">
        <f t="array" ref="I301">_xlfn.IFS(D301= ""," ",D301&lt;&gt; " ",F301*(G301/H301))</f>
        <v>223.58596768804614</v>
      </c>
      <c r="J301" s="7" cm="1">
        <f t="array" ref="J301">_xlfn.IFS(D301= ""," ",D301&lt;&gt; " ",(H301-F301)*(G301/H301))</f>
        <v>2380.4140323119541</v>
      </c>
      <c r="K301" s="7" cm="1">
        <f t="array" ref="K301">IF(ISNUMBER(H301),_xlfn.IFS(D301= ""," ",D301&lt;&gt; " ",F301*(G301/H301)),"")</f>
        <v>223.58596768804614</v>
      </c>
    </row>
    <row r="302" spans="1:11" s="7" customFormat="1" x14ac:dyDescent="0.35">
      <c r="A302" s="7" t="s">
        <v>18</v>
      </c>
      <c r="B302" s="7">
        <v>2017</v>
      </c>
      <c r="C302" s="7" t="s">
        <v>100</v>
      </c>
      <c r="D302" s="7" t="s">
        <v>144</v>
      </c>
      <c r="E302" s="7" t="str" cm="1">
        <f t="array" ref="E302">_xlfn.IFS(D302=policy_name_clustering!$A$2,policy_name_clustering!$C$2,D302=policy_name_clustering!$A$3,policy_name_clustering!$C$3,D302=policy_name_clustering!$A$4,policy_name_clustering!$C$4,D302=policy_name_clustering!$A$5,policy_name_clustering!$C$5,D302=policy_name_clustering!$A$6,policy_name_clustering!$C$6,D302=policy_name_clustering!$A$7,policy_name_clustering!$C$7,D302=policy_name_clustering!$A$8,policy_name_clustering!$C$8,D302=policy_name_clustering!$A$9,policy_name_clustering!$C$9,D302=policy_name_clustering!$A$10,policy_name_clustering!$C$10,D302=policy_name_clustering!$A$11,policy_name_clustering!$C$11,D302=policy_name_clustering!$A$12,policy_name_clustering!$C$12,D302="-","")</f>
        <v>Other single instrument</v>
      </c>
      <c r="F302" s="7">
        <f>policy_contributions_cum!F94</f>
        <v>532.74144142357898</v>
      </c>
      <c r="G302" s="7">
        <f>solar_cum_cap!C271</f>
        <v>2605.5300000000002</v>
      </c>
      <c r="H302" s="7">
        <f>estimated_capacity!C259</f>
        <v>2335.6378763910602</v>
      </c>
      <c r="I302" s="7" cm="1">
        <f t="array" ref="I302">_xlfn.IFS(D302= ""," ",D302&lt;&gt; " ",F302*(G302/H302))</f>
        <v>594.30180590202508</v>
      </c>
      <c r="J302" s="7" cm="1">
        <f t="array" ref="J302">_xlfn.IFS(D302= ""," ",D302&lt;&gt; " ",(H302-F302)*(G302/H302))</f>
        <v>2011.2281940979751</v>
      </c>
      <c r="K302" s="7" cm="1">
        <f t="array" ref="K302">IF(ISNUMBER(H302),_xlfn.IFS(D302= ""," ",D302&lt;&gt; " ",F302*(G302/H302)),"")</f>
        <v>594.30180590202508</v>
      </c>
    </row>
    <row r="303" spans="1:11" s="7" customFormat="1" x14ac:dyDescent="0.35">
      <c r="A303" s="7" t="s">
        <v>18</v>
      </c>
      <c r="B303" s="7">
        <v>2018</v>
      </c>
      <c r="C303" s="7" t="s">
        <v>100</v>
      </c>
      <c r="D303" s="7" t="s">
        <v>144</v>
      </c>
      <c r="E303" s="7" t="str" cm="1">
        <f t="array" ref="E303">_xlfn.IFS(D303=policy_name_clustering!$A$2,policy_name_clustering!$C$2,D303=policy_name_clustering!$A$3,policy_name_clustering!$C$3,D303=policy_name_clustering!$A$4,policy_name_clustering!$C$4,D303=policy_name_clustering!$A$5,policy_name_clustering!$C$5,D303=policy_name_clustering!$A$6,policy_name_clustering!$C$6,D303=policy_name_clustering!$A$7,policy_name_clustering!$C$7,D303=policy_name_clustering!$A$8,policy_name_clustering!$C$8,D303=policy_name_clustering!$A$9,policy_name_clustering!$C$9,D303=policy_name_clustering!$A$10,policy_name_clustering!$C$10,D303=policy_name_clustering!$A$11,policy_name_clustering!$C$11,D303=policy_name_clustering!$A$12,policy_name_clustering!$C$12,D303="-","")</f>
        <v>Other single instrument</v>
      </c>
      <c r="F303" s="7">
        <f>policy_contributions_cum!F95</f>
        <v>1011.46873950073</v>
      </c>
      <c r="G303" s="7">
        <f>solar_cum_cap!C272</f>
        <v>2651.0309999999999</v>
      </c>
      <c r="H303" s="7">
        <f>estimated_capacity!C260</f>
        <v>2531.4641007827099</v>
      </c>
      <c r="I303" s="7" cm="1">
        <f t="array" ref="I303">_xlfn.IFS(D303= ""," ",D303&lt;&gt; " ",F303*(G303/H303))</f>
        <v>1059.2427453813309</v>
      </c>
      <c r="J303" s="7" cm="1">
        <f t="array" ref="J303">_xlfn.IFS(D303= ""," ",D303&lt;&gt; " ",(H303-F303)*(G303/H303))</f>
        <v>1591.7882546186693</v>
      </c>
      <c r="K303" s="7" cm="1">
        <f t="array" ref="K303">IF(ISNUMBER(H303),_xlfn.IFS(D303= ""," ",D303&lt;&gt; " ",F303*(G303/H303)),"")</f>
        <v>1059.2427453813309</v>
      </c>
    </row>
    <row r="304" spans="1:11" s="7" customFormat="1" x14ac:dyDescent="0.35">
      <c r="A304" s="7" t="s">
        <v>18</v>
      </c>
      <c r="B304" s="7">
        <v>2019</v>
      </c>
      <c r="C304" s="7" t="s">
        <v>100</v>
      </c>
      <c r="D304" s="7" t="s">
        <v>144</v>
      </c>
      <c r="E304" s="7" t="str" cm="1">
        <f t="array" ref="E304">_xlfn.IFS(D304=policy_name_clustering!$A$2,policy_name_clustering!$C$2,D304=policy_name_clustering!$A$3,policy_name_clustering!$C$3,D304=policy_name_clustering!$A$4,policy_name_clustering!$C$4,D304=policy_name_clustering!$A$5,policy_name_clustering!$C$5,D304=policy_name_clustering!$A$6,policy_name_clustering!$C$6,D304=policy_name_clustering!$A$7,policy_name_clustering!$C$7,D304=policy_name_clustering!$A$8,policy_name_clustering!$C$8,D304=policy_name_clustering!$A$9,policy_name_clustering!$C$9,D304=policy_name_clustering!$A$10,policy_name_clustering!$C$10,D304=policy_name_clustering!$A$11,policy_name_clustering!$C$11,D304=policy_name_clustering!$A$12,policy_name_clustering!$C$12,D304="-","")</f>
        <v>Other single instrument</v>
      </c>
      <c r="F304" s="7">
        <f>policy_contributions_cum!F96</f>
        <v>1595.9660049445399</v>
      </c>
      <c r="G304" s="7">
        <f>solar_cum_cap!C273</f>
        <v>2833.7979999999998</v>
      </c>
      <c r="H304" s="7">
        <f>estimated_capacity!C261</f>
        <v>2815.3128486252099</v>
      </c>
      <c r="I304" s="7" cm="1">
        <f t="array" ref="I304">_xlfn.IFS(D304= ""," ",D304&lt;&gt; " ",F304*(G304/H304))</f>
        <v>1606.4450084431476</v>
      </c>
      <c r="J304" s="7" cm="1">
        <f t="array" ref="J304">_xlfn.IFS(D304= ""," ",D304&lt;&gt; " ",(H304-F304)*(G304/H304))</f>
        <v>1227.3529915568522</v>
      </c>
      <c r="K304" s="7" cm="1">
        <f t="array" ref="K304">IF(ISNUMBER(H304),_xlfn.IFS(D304= ""," ",D304&lt;&gt; " ",F304*(G304/H304)),"")</f>
        <v>1606.4450084431476</v>
      </c>
    </row>
    <row r="305" spans="1:11" s="7" customFormat="1" x14ac:dyDescent="0.35">
      <c r="A305" s="7" t="s">
        <v>18</v>
      </c>
      <c r="B305" s="7">
        <v>2020</v>
      </c>
      <c r="C305" s="7" t="s">
        <v>100</v>
      </c>
      <c r="D305" s="7" t="s">
        <v>144</v>
      </c>
      <c r="E305" s="7" t="str" cm="1">
        <f t="array" ref="E305">_xlfn.IFS(D305=policy_name_clustering!$A$2,policy_name_clustering!$C$2,D305=policy_name_clustering!$A$3,policy_name_clustering!$C$3,D305=policy_name_clustering!$A$4,policy_name_clustering!$C$4,D305=policy_name_clustering!$A$5,policy_name_clustering!$C$5,D305=policy_name_clustering!$A$6,policy_name_clustering!$C$6,D305=policy_name_clustering!$A$7,policy_name_clustering!$C$7,D305=policy_name_clustering!$A$8,policy_name_clustering!$C$8,D305=policy_name_clustering!$A$9,policy_name_clustering!$C$9,D305=policy_name_clustering!$A$10,policy_name_clustering!$C$10,D305=policy_name_clustering!$A$11,policy_name_clustering!$C$11,D305=policy_name_clustering!$A$12,policy_name_clustering!$C$12,D305="-","")</f>
        <v>Other single instrument</v>
      </c>
      <c r="F305" s="7">
        <f>policy_contributions_cum!F97</f>
        <v>2269.9408446698699</v>
      </c>
      <c r="G305" s="7">
        <f>solar_cum_cap!C274</f>
        <v>3287.7150000000001</v>
      </c>
      <c r="H305" s="7">
        <f>estimated_capacity!C262</f>
        <v>3180.0089991199702</v>
      </c>
      <c r="I305" s="7" cm="1">
        <f t="array" ref="I305">_xlfn.IFS(D305= ""," ",D305&lt;&gt; " ",F305*(G305/H305))</f>
        <v>2346.8230958462937</v>
      </c>
      <c r="J305" s="7" cm="1">
        <f t="array" ref="J305">_xlfn.IFS(D305= ""," ",D305&lt;&gt; " ",(H305-F305)*(G305/H305))</f>
        <v>940.89190415370672</v>
      </c>
      <c r="K305" s="7" cm="1">
        <f t="array" ref="K305">IF(ISNUMBER(H305),_xlfn.IFS(D305= ""," ",D305&lt;&gt; " ",F305*(G305/H305)),"")</f>
        <v>2346.8230958462937</v>
      </c>
    </row>
    <row r="306" spans="1:11" s="7" customFormat="1" x14ac:dyDescent="0.35">
      <c r="A306" s="7" t="s">
        <v>18</v>
      </c>
      <c r="B306" s="7">
        <v>2021</v>
      </c>
      <c r="C306" s="7" t="s">
        <v>100</v>
      </c>
      <c r="D306" s="7" t="s">
        <v>144</v>
      </c>
      <c r="E306" s="7" t="str" cm="1">
        <f t="array" ref="E306">_xlfn.IFS(D306=policy_name_clustering!$A$2,policy_name_clustering!$C$2,D306=policy_name_clustering!$A$3,policy_name_clustering!$C$3,D306=policy_name_clustering!$A$4,policy_name_clustering!$C$4,D306=policy_name_clustering!$A$5,policy_name_clustering!$C$5,D306=policy_name_clustering!$A$6,policy_name_clustering!$C$6,D306=policy_name_clustering!$A$7,policy_name_clustering!$C$7,D306=policy_name_clustering!$A$8,policy_name_clustering!$C$8,D306=policy_name_clustering!$A$9,policy_name_clustering!$C$9,D306=policy_name_clustering!$A$10,policy_name_clustering!$C$10,D306=policy_name_clustering!$A$11,policy_name_clustering!$C$11,D306=policy_name_clustering!$A$12,policy_name_clustering!$C$12,D306="-","")</f>
        <v>Other single instrument</v>
      </c>
      <c r="F306" s="7">
        <f>policy_contributions_cum!F98</f>
        <v>3137.8432240529901</v>
      </c>
      <c r="G306" s="7">
        <f>solar_cum_cap!C275</f>
        <v>4277.42</v>
      </c>
      <c r="H306" s="7">
        <f>estimated_capacity!C263</f>
        <v>3735.1072911287802</v>
      </c>
      <c r="I306" s="7" cm="1">
        <f t="array" ref="I306">_xlfn.IFS(D306= ""," ",D306&lt;&gt; " ",F306*(G306/H306))</f>
        <v>3593.4371672018397</v>
      </c>
      <c r="J306" s="7" cm="1">
        <f t="array" ref="J306">_xlfn.IFS(D306= ""," ",D306&lt;&gt; " ",(H306-F306)*(G306/H306))</f>
        <v>683.98283279816042</v>
      </c>
      <c r="K306" s="7" cm="1">
        <f t="array" ref="K306">IF(ISNUMBER(H306),_xlfn.IFS(D306= ""," ",D306&lt;&gt; " ",F306*(G306/H306)),"")</f>
        <v>3593.4371672018397</v>
      </c>
    </row>
    <row r="307" spans="1:11" s="7" customFormat="1" x14ac:dyDescent="0.35">
      <c r="A307" s="7" t="s">
        <v>18</v>
      </c>
      <c r="B307" s="7">
        <v>2022</v>
      </c>
      <c r="C307" s="7" t="s">
        <v>100</v>
      </c>
      <c r="D307" s="7" t="s">
        <v>144</v>
      </c>
      <c r="E307" s="7" t="str" cm="1">
        <f t="array" ref="E307">_xlfn.IFS(D307=policy_name_clustering!$A$2,policy_name_clustering!$C$2,D307=policy_name_clustering!$A$3,policy_name_clustering!$C$3,D307=policy_name_clustering!$A$4,policy_name_clustering!$C$4,D307=policy_name_clustering!$A$5,policy_name_clustering!$C$5,D307=policy_name_clustering!$A$6,policy_name_clustering!$C$6,D307=policy_name_clustering!$A$7,policy_name_clustering!$C$7,D307=policy_name_clustering!$A$8,policy_name_clustering!$C$8,D307=policy_name_clustering!$A$9,policy_name_clustering!$C$9,D307=policy_name_clustering!$A$10,policy_name_clustering!$C$10,D307=policy_name_clustering!$A$11,policy_name_clustering!$C$11,D307=policy_name_clustering!$A$12,policy_name_clustering!$C$12,D307="-","")</f>
        <v>Other single instrument</v>
      </c>
      <c r="F307" s="7">
        <f>policy_contributions_cum!F99</f>
        <v>4636.4079418725696</v>
      </c>
      <c r="G307" s="7">
        <f>solar_cum_cap!C276</f>
        <v>5430.0829999999996</v>
      </c>
      <c r="H307" s="7">
        <f>estimated_capacity!C264</f>
        <v>4919.7199955112001</v>
      </c>
      <c r="I307" s="7" cm="1">
        <f t="array" ref="I307">_xlfn.IFS(D307= ""," ",D307&lt;&gt; " ",F307*(G307/H307))</f>
        <v>5117.380657679324</v>
      </c>
      <c r="J307" s="7" cm="1">
        <f t="array" ref="J307">_xlfn.IFS(D307= ""," ",D307&lt;&gt; " ",(H307-F307)*(G307/H307))</f>
        <v>312.70234232067548</v>
      </c>
      <c r="K307" s="7" cm="1">
        <f t="array" ref="K307">IF(ISNUMBER(H307),_xlfn.IFS(D307= ""," ",D307&lt;&gt; " ",F307*(G307/H307)),"")</f>
        <v>5117.380657679324</v>
      </c>
    </row>
    <row r="308" spans="1:11" s="7" customFormat="1" x14ac:dyDescent="0.35">
      <c r="A308" s="7" t="s">
        <v>18</v>
      </c>
      <c r="B308" s="7">
        <v>2023</v>
      </c>
      <c r="C308" s="7" t="s">
        <v>101</v>
      </c>
      <c r="D308" s="7" t="s">
        <v>144</v>
      </c>
      <c r="E308" s="7" t="str" cm="1">
        <f t="array" ref="E308">_xlfn.IFS(D308=policy_name_clustering!$A$2,policy_name_clustering!$C$2,D308=policy_name_clustering!$A$3,policy_name_clustering!$C$3,D308=policy_name_clustering!$A$4,policy_name_clustering!$C$4,D308=policy_name_clustering!$A$5,policy_name_clustering!$C$5,D308=policy_name_clustering!$A$6,policy_name_clustering!$C$6,D308=policy_name_clustering!$A$7,policy_name_clustering!$C$7,D308=policy_name_clustering!$A$8,policy_name_clustering!$C$8,D308=policy_name_clustering!$A$9,policy_name_clustering!$C$9,D308=policy_name_clustering!$A$10,policy_name_clustering!$C$10,D308=policy_name_clustering!$A$11,policy_name_clustering!$C$11,D308=policy_name_clustering!$A$12,policy_name_clustering!$C$12,D308="-","")</f>
        <v>Other single instrument</v>
      </c>
      <c r="F308" s="7">
        <f>policy_contributions_cum!F100</f>
        <v>6708.7852370350702</v>
      </c>
      <c r="G308" s="7">
        <f>solar_cum_cap!C277</f>
        <v>6688.7030000000004</v>
      </c>
      <c r="H308" s="7">
        <f>estimated_capacity!C265</f>
        <v>6676.9880082039299</v>
      </c>
      <c r="I308" s="7" cm="1">
        <f t="array" ref="I308">_xlfn.IFS(D308= ""," ",D308&lt;&gt; " ",F308*(G308/H308))</f>
        <v>6720.5560180993616</v>
      </c>
      <c r="J308" s="7" cm="1">
        <f t="array" ref="J308">_xlfn.IFS(D308= ""," ",D308&lt;&gt; " ",(H308-F308)*(G308/H308))</f>
        <v>-31.853018099360749</v>
      </c>
      <c r="K308" s="7" cm="1">
        <f t="array" ref="K308">IF(ISNUMBER(H308),_xlfn.IFS(D308= ""," ",D308&lt;&gt; " ",F308*(G308/H308)),"")</f>
        <v>6720.5560180993616</v>
      </c>
    </row>
    <row r="309" spans="1:11" s="7" customFormat="1" hidden="1" x14ac:dyDescent="0.35">
      <c r="A309" s="7" t="s">
        <v>36</v>
      </c>
      <c r="B309" s="7">
        <v>2001</v>
      </c>
      <c r="D309" s="7" t="s">
        <v>73</v>
      </c>
      <c r="E309" s="7" t="str" cm="1">
        <f t="array" ref="E309">_xlfn.IFS(D309=policy_name_clustering!$A$2,policy_name_clustering!$C$2,D309=policy_name_clustering!$A$3,policy_name_clustering!$C$3,D309=policy_name_clustering!$A$4,policy_name_clustering!$C$4,D309=policy_name_clustering!$A$5,policy_name_clustering!$C$5,D309=policy_name_clustering!$A$6,policy_name_clustering!$C$6,D309=policy_name_clustering!$A$7,policy_name_clustering!$C$7,D309=policy_name_clustering!$A$8,policy_name_clustering!$C$8,D309=policy_name_clustering!$A$9,policy_name_clustering!$C$9,D309=policy_name_clustering!$A$10,policy_name_clustering!$C$10,D309=policy_name_clustering!$A$11,policy_name_clustering!$C$11,D309=policy_name_clustering!$A$12,policy_name_clustering!$C$12,D309="-","")</f>
        <v/>
      </c>
      <c r="G309" s="7">
        <f>solar_cum_cap!C279</f>
        <v>0</v>
      </c>
      <c r="H309" s="7">
        <f>estimated_capacity!C266</f>
        <v>-18.552183488772101</v>
      </c>
      <c r="I309" s="7" cm="1">
        <f t="array" ref="I309">_xlfn.IFS(D309= ""," ",D309&lt;&gt; " ",F309*(G309/H309))</f>
        <v>0</v>
      </c>
      <c r="J309" s="7" cm="1">
        <f t="array" ref="J309">_xlfn.IFS(D309= ""," ",D309&lt;&gt; " ",(H309-F309)*(G309/H309))</f>
        <v>0</v>
      </c>
      <c r="K309" s="7" cm="1">
        <f t="array" ref="K309">IF(ISNUMBER(H309),_xlfn.IFS(D309= ""," ",D309&lt;&gt; " ",F309*(G309/H309)),"")</f>
        <v>0</v>
      </c>
    </row>
    <row r="310" spans="1:11" s="7" customFormat="1" hidden="1" x14ac:dyDescent="0.35">
      <c r="A310" s="7" t="s">
        <v>36</v>
      </c>
      <c r="B310" s="7">
        <v>2002</v>
      </c>
      <c r="D310" s="7" t="s">
        <v>73</v>
      </c>
      <c r="E310" s="7" t="str" cm="1">
        <f t="array" ref="E310">_xlfn.IFS(D310=policy_name_clustering!$A$2,policy_name_clustering!$C$2,D310=policy_name_clustering!$A$3,policy_name_clustering!$C$3,D310=policy_name_clustering!$A$4,policy_name_clustering!$C$4,D310=policy_name_clustering!$A$5,policy_name_clustering!$C$5,D310=policy_name_clustering!$A$6,policy_name_clustering!$C$6,D310=policy_name_clustering!$A$7,policy_name_clustering!$C$7,D310=policy_name_clustering!$A$8,policy_name_clustering!$C$8,D310=policy_name_clustering!$A$9,policy_name_clustering!$C$9,D310=policy_name_clustering!$A$10,policy_name_clustering!$C$10,D310=policy_name_clustering!$A$11,policy_name_clustering!$C$11,D310=policy_name_clustering!$A$12,policy_name_clustering!$C$12,D310="-","")</f>
        <v/>
      </c>
      <c r="G310" s="7">
        <f>solar_cum_cap!C280</f>
        <v>0</v>
      </c>
      <c r="H310" s="7">
        <f>estimated_capacity!C267</f>
        <v>-50.412265980145698</v>
      </c>
      <c r="I310" s="7" cm="1">
        <f t="array" ref="I310">_xlfn.IFS(D310= ""," ",D310&lt;&gt; " ",F310*(G310/H310))</f>
        <v>0</v>
      </c>
      <c r="J310" s="7" cm="1">
        <f t="array" ref="J310">_xlfn.IFS(D310= ""," ",D310&lt;&gt; " ",(H310-F310)*(G310/H310))</f>
        <v>0</v>
      </c>
      <c r="K310" s="7" cm="1">
        <f t="array" ref="K310">IF(ISNUMBER(H310),_xlfn.IFS(D310= ""," ",D310&lt;&gt; " ",F310*(G310/H310)),"")</f>
        <v>0</v>
      </c>
    </row>
    <row r="311" spans="1:11" s="7" customFormat="1" hidden="1" x14ac:dyDescent="0.35">
      <c r="A311" s="7" t="s">
        <v>36</v>
      </c>
      <c r="B311" s="7">
        <v>2003</v>
      </c>
      <c r="D311" s="7" t="s">
        <v>73</v>
      </c>
      <c r="E311" s="7" t="str" cm="1">
        <f t="array" ref="E311">_xlfn.IFS(D311=policy_name_clustering!$A$2,policy_name_clustering!$C$2,D311=policy_name_clustering!$A$3,policy_name_clustering!$C$3,D311=policy_name_clustering!$A$4,policy_name_clustering!$C$4,D311=policy_name_clustering!$A$5,policy_name_clustering!$C$5,D311=policy_name_clustering!$A$6,policy_name_clustering!$C$6,D311=policy_name_clustering!$A$7,policy_name_clustering!$C$7,D311=policy_name_clustering!$A$8,policy_name_clustering!$C$8,D311=policy_name_clustering!$A$9,policy_name_clustering!$C$9,D311=policy_name_clustering!$A$10,policy_name_clustering!$C$10,D311=policy_name_clustering!$A$11,policy_name_clustering!$C$11,D311=policy_name_clustering!$A$12,policy_name_clustering!$C$12,D311="-","")</f>
        <v/>
      </c>
      <c r="G311" s="7">
        <f>solar_cum_cap!C281</f>
        <v>0</v>
      </c>
      <c r="H311" s="7">
        <f>estimated_capacity!C268</f>
        <v>-57.767383013444103</v>
      </c>
      <c r="I311" s="7" cm="1">
        <f t="array" ref="I311">_xlfn.IFS(D311= ""," ",D311&lt;&gt; " ",F311*(G311/H311))</f>
        <v>0</v>
      </c>
      <c r="J311" s="7" cm="1">
        <f t="array" ref="J311">_xlfn.IFS(D311= ""," ",D311&lt;&gt; " ",(H311-F311)*(G311/H311))</f>
        <v>0</v>
      </c>
      <c r="K311" s="7" cm="1">
        <f t="array" ref="K311">IF(ISNUMBER(H311),_xlfn.IFS(D311= ""," ",D311&lt;&gt; " ",F311*(G311/H311)),"")</f>
        <v>0</v>
      </c>
    </row>
    <row r="312" spans="1:11" s="7" customFormat="1" hidden="1" x14ac:dyDescent="0.35">
      <c r="A312" s="7" t="s">
        <v>36</v>
      </c>
      <c r="B312" s="7">
        <v>2004</v>
      </c>
      <c r="D312" s="7" t="s">
        <v>73</v>
      </c>
      <c r="E312" s="7" t="str" cm="1">
        <f t="array" ref="E312">_xlfn.IFS(D312=policy_name_clustering!$A$2,policy_name_clustering!$C$2,D312=policy_name_clustering!$A$3,policy_name_clustering!$C$3,D312=policy_name_clustering!$A$4,policy_name_clustering!$C$4,D312=policy_name_clustering!$A$5,policy_name_clustering!$C$5,D312=policy_name_clustering!$A$6,policy_name_clustering!$C$6,D312=policy_name_clustering!$A$7,policy_name_clustering!$C$7,D312=policy_name_clustering!$A$8,policy_name_clustering!$C$8,D312=policy_name_clustering!$A$9,policy_name_clustering!$C$9,D312=policy_name_clustering!$A$10,policy_name_clustering!$C$10,D312=policy_name_clustering!$A$11,policy_name_clustering!$C$11,D312=policy_name_clustering!$A$12,policy_name_clustering!$C$12,D312="-","")</f>
        <v/>
      </c>
      <c r="G312" s="7">
        <f>solar_cum_cap!C282</f>
        <v>0</v>
      </c>
      <c r="H312" s="7">
        <f>estimated_capacity!C269</f>
        <v>-25.1140535582207</v>
      </c>
      <c r="I312" s="7" cm="1">
        <f t="array" ref="I312">_xlfn.IFS(D312= ""," ",D312&lt;&gt; " ",F312*(G312/H312))</f>
        <v>0</v>
      </c>
      <c r="J312" s="7" cm="1">
        <f t="array" ref="J312">_xlfn.IFS(D312= ""," ",D312&lt;&gt; " ",(H312-F312)*(G312/H312))</f>
        <v>0</v>
      </c>
      <c r="K312" s="7" cm="1">
        <f t="array" ref="K312">IF(ISNUMBER(H312),_xlfn.IFS(D312= ""," ",D312&lt;&gt; " ",F312*(G312/H312)),"")</f>
        <v>0</v>
      </c>
    </row>
    <row r="313" spans="1:11" s="7" customFormat="1" hidden="1" x14ac:dyDescent="0.35">
      <c r="A313" s="7" t="s">
        <v>36</v>
      </c>
      <c r="B313" s="7">
        <v>2005</v>
      </c>
      <c r="D313" s="7" t="s">
        <v>73</v>
      </c>
      <c r="E313" s="7" t="str" cm="1">
        <f t="array" ref="E313">_xlfn.IFS(D313=policy_name_clustering!$A$2,policy_name_clustering!$C$2,D313=policy_name_clustering!$A$3,policy_name_clustering!$C$3,D313=policy_name_clustering!$A$4,policy_name_clustering!$C$4,D313=policy_name_clustering!$A$5,policy_name_clustering!$C$5,D313=policy_name_clustering!$A$6,policy_name_clustering!$C$6,D313=policy_name_clustering!$A$7,policy_name_clustering!$C$7,D313=policy_name_clustering!$A$8,policy_name_clustering!$C$8,D313=policy_name_clustering!$A$9,policy_name_clustering!$C$9,D313=policy_name_clustering!$A$10,policy_name_clustering!$C$10,D313=policy_name_clustering!$A$11,policy_name_clustering!$C$11,D313=policy_name_clustering!$A$12,policy_name_clustering!$C$12,D313="-","")</f>
        <v/>
      </c>
      <c r="G313" s="7">
        <f>solar_cum_cap!C283</f>
        <v>0</v>
      </c>
      <c r="H313" s="7">
        <f>estimated_capacity!C270</f>
        <v>3.75353913803036</v>
      </c>
      <c r="I313" s="7" cm="1">
        <f t="array" ref="I313">_xlfn.IFS(D313= ""," ",D313&lt;&gt; " ",F313*(G313/H313))</f>
        <v>0</v>
      </c>
      <c r="J313" s="7" cm="1">
        <f t="array" ref="J313">_xlfn.IFS(D313= ""," ",D313&lt;&gt; " ",(H313-F313)*(G313/H313))</f>
        <v>0</v>
      </c>
      <c r="K313" s="7" cm="1">
        <f t="array" ref="K313">IF(ISNUMBER(H313),_xlfn.IFS(D313= ""," ",D313&lt;&gt; " ",F313*(G313/H313)),"")</f>
        <v>0</v>
      </c>
    </row>
    <row r="314" spans="1:11" s="7" customFormat="1" hidden="1" x14ac:dyDescent="0.35">
      <c r="A314" s="7" t="s">
        <v>36</v>
      </c>
      <c r="B314" s="7">
        <v>2006</v>
      </c>
      <c r="D314" s="7" t="s">
        <v>73</v>
      </c>
      <c r="E314" s="7" t="str" cm="1">
        <f t="array" ref="E314">_xlfn.IFS(D314=policy_name_clustering!$A$2,policy_name_clustering!$C$2,D314=policy_name_clustering!$A$3,policy_name_clustering!$C$3,D314=policy_name_clustering!$A$4,policy_name_clustering!$C$4,D314=policy_name_clustering!$A$5,policy_name_clustering!$C$5,D314=policy_name_clustering!$A$6,policy_name_clustering!$C$6,D314=policy_name_clustering!$A$7,policy_name_clustering!$C$7,D314=policy_name_clustering!$A$8,policy_name_clustering!$C$8,D314=policy_name_clustering!$A$9,policy_name_clustering!$C$9,D314=policy_name_clustering!$A$10,policy_name_clustering!$C$10,D314=policy_name_clustering!$A$11,policy_name_clustering!$C$11,D314=policy_name_clustering!$A$12,policy_name_clustering!$C$12,D314="-","")</f>
        <v/>
      </c>
      <c r="G314" s="7">
        <f>solar_cum_cap!C284</f>
        <v>0</v>
      </c>
      <c r="H314" s="7">
        <f>estimated_capacity!C271</f>
        <v>36.200965680717196</v>
      </c>
      <c r="I314" s="7" cm="1">
        <f t="array" ref="I314">_xlfn.IFS(D314= ""," ",D314&lt;&gt; " ",F314*(G314/H314))</f>
        <v>0</v>
      </c>
      <c r="J314" s="7" cm="1">
        <f t="array" ref="J314">_xlfn.IFS(D314= ""," ",D314&lt;&gt; " ",(H314-F314)*(G314/H314))</f>
        <v>0</v>
      </c>
      <c r="K314" s="7" cm="1">
        <f t="array" ref="K314">IF(ISNUMBER(H314),_xlfn.IFS(D314= ""," ",D314&lt;&gt; " ",F314*(G314/H314)),"")</f>
        <v>0</v>
      </c>
    </row>
    <row r="315" spans="1:11" s="7" customFormat="1" hidden="1" x14ac:dyDescent="0.35">
      <c r="A315" s="7" t="s">
        <v>36</v>
      </c>
      <c r="B315" s="7">
        <v>2007</v>
      </c>
      <c r="D315" s="7" t="s">
        <v>73</v>
      </c>
      <c r="E315" s="7" t="str" cm="1">
        <f t="array" ref="E315">_xlfn.IFS(D315=policy_name_clustering!$A$2,policy_name_clustering!$C$2,D315=policy_name_clustering!$A$3,policy_name_clustering!$C$3,D315=policy_name_clustering!$A$4,policy_name_clustering!$C$4,D315=policy_name_clustering!$A$5,policy_name_clustering!$C$5,D315=policy_name_clustering!$A$6,policy_name_clustering!$C$6,D315=policy_name_clustering!$A$7,policy_name_clustering!$C$7,D315=policy_name_clustering!$A$8,policy_name_clustering!$C$8,D315=policy_name_clustering!$A$9,policy_name_clustering!$C$9,D315=policy_name_clustering!$A$10,policy_name_clustering!$C$10,D315=policy_name_clustering!$A$11,policy_name_clustering!$C$11,D315=policy_name_clustering!$A$12,policy_name_clustering!$C$12,D315="-","")</f>
        <v/>
      </c>
      <c r="G315" s="7">
        <f>solar_cum_cap!C285</f>
        <v>0</v>
      </c>
      <c r="H315" s="7">
        <f>estimated_capacity!C272</f>
        <v>55.764296345604201</v>
      </c>
      <c r="I315" s="7" cm="1">
        <f t="array" ref="I315">_xlfn.IFS(D315= ""," ",D315&lt;&gt; " ",F315*(G315/H315))</f>
        <v>0</v>
      </c>
      <c r="J315" s="7" cm="1">
        <f t="array" ref="J315">_xlfn.IFS(D315= ""," ",D315&lt;&gt; " ",(H315-F315)*(G315/H315))</f>
        <v>0</v>
      </c>
      <c r="K315" s="7" cm="1">
        <f t="array" ref="K315">IF(ISNUMBER(H315),_xlfn.IFS(D315= ""," ",D315&lt;&gt; " ",F315*(G315/H315)),"")</f>
        <v>0</v>
      </c>
    </row>
    <row r="316" spans="1:11" s="7" customFormat="1" hidden="1" x14ac:dyDescent="0.35">
      <c r="A316" s="7" t="s">
        <v>36</v>
      </c>
      <c r="B316" s="7">
        <v>2008</v>
      </c>
      <c r="D316" s="7" t="s">
        <v>73</v>
      </c>
      <c r="E316" s="7" t="str" cm="1">
        <f t="array" ref="E316">_xlfn.IFS(D316=policy_name_clustering!$A$2,policy_name_clustering!$C$2,D316=policy_name_clustering!$A$3,policy_name_clustering!$C$3,D316=policy_name_clustering!$A$4,policy_name_clustering!$C$4,D316=policy_name_clustering!$A$5,policy_name_clustering!$C$5,D316=policy_name_clustering!$A$6,policy_name_clustering!$C$6,D316=policy_name_clustering!$A$7,policy_name_clustering!$C$7,D316=policy_name_clustering!$A$8,policy_name_clustering!$C$8,D316=policy_name_clustering!$A$9,policy_name_clustering!$C$9,D316=policy_name_clustering!$A$10,policy_name_clustering!$C$10,D316=policy_name_clustering!$A$11,policy_name_clustering!$C$11,D316=policy_name_clustering!$A$12,policy_name_clustering!$C$12,D316="-","")</f>
        <v/>
      </c>
      <c r="G316" s="7">
        <f>solar_cum_cap!C286</f>
        <v>1</v>
      </c>
      <c r="H316" s="7">
        <f>estimated_capacity!C273</f>
        <v>108.952368031703</v>
      </c>
      <c r="I316" s="7" cm="1">
        <f t="array" ref="I316">_xlfn.IFS(D316= ""," ",D316&lt;&gt; " ",F316*(G316/H316))</f>
        <v>0</v>
      </c>
      <c r="J316" s="7" cm="1">
        <f t="array" ref="J316">_xlfn.IFS(D316= ""," ",D316&lt;&gt; " ",(H316-F316)*(G316/H316))</f>
        <v>0.99999999999999989</v>
      </c>
      <c r="K316" s="7" cm="1">
        <f t="array" ref="K316">IF(ISNUMBER(H316),_xlfn.IFS(D316= ""," ",D316&lt;&gt; " ",F316*(G316/H316)),"")</f>
        <v>0</v>
      </c>
    </row>
    <row r="317" spans="1:11" s="7" customFormat="1" hidden="1" x14ac:dyDescent="0.35">
      <c r="A317" s="7" t="s">
        <v>36</v>
      </c>
      <c r="B317" s="7">
        <v>2009</v>
      </c>
      <c r="D317" s="7" t="s">
        <v>73</v>
      </c>
      <c r="E317" s="7" t="str" cm="1">
        <f t="array" ref="E317">_xlfn.IFS(D317=policy_name_clustering!$A$2,policy_name_clustering!$C$2,D317=policy_name_clustering!$A$3,policy_name_clustering!$C$3,D317=policy_name_clustering!$A$4,policy_name_clustering!$C$4,D317=policy_name_clustering!$A$5,policy_name_clustering!$C$5,D317=policy_name_clustering!$A$6,policy_name_clustering!$C$6,D317=policy_name_clustering!$A$7,policy_name_clustering!$C$7,D317=policy_name_clustering!$A$8,policy_name_clustering!$C$8,D317=policy_name_clustering!$A$9,policy_name_clustering!$C$9,D317=policy_name_clustering!$A$10,policy_name_clustering!$C$10,D317=policy_name_clustering!$A$11,policy_name_clustering!$C$11,D317=policy_name_clustering!$A$12,policy_name_clustering!$C$12,D317="-","")</f>
        <v/>
      </c>
      <c r="G317" s="7">
        <f>solar_cum_cap!C287</f>
        <v>1</v>
      </c>
      <c r="H317" s="7">
        <f>estimated_capacity!C274</f>
        <v>188.24778356505701</v>
      </c>
      <c r="I317" s="7" cm="1">
        <f t="array" ref="I317">_xlfn.IFS(D317= ""," ",D317&lt;&gt; " ",F317*(G317/H317))</f>
        <v>0</v>
      </c>
      <c r="J317" s="7" cm="1">
        <f t="array" ref="J317">_xlfn.IFS(D317= ""," ",D317&lt;&gt; " ",(H317-F317)*(G317/H317))</f>
        <v>0.99999999999999989</v>
      </c>
      <c r="K317" s="7" cm="1">
        <f t="array" ref="K317">IF(ISNUMBER(H317),_xlfn.IFS(D317= ""," ",D317&lt;&gt; " ",F317*(G317/H317)),"")</f>
        <v>0</v>
      </c>
    </row>
    <row r="318" spans="1:11" s="7" customFormat="1" hidden="1" x14ac:dyDescent="0.35">
      <c r="A318" s="7" t="s">
        <v>36</v>
      </c>
      <c r="B318" s="7">
        <v>2010</v>
      </c>
      <c r="D318" s="7" t="s">
        <v>73</v>
      </c>
      <c r="E318" s="7" t="str" cm="1">
        <f t="array" ref="E318">_xlfn.IFS(D318=policy_name_clustering!$A$2,policy_name_clustering!$C$2,D318=policy_name_clustering!$A$3,policy_name_clustering!$C$3,D318=policy_name_clustering!$A$4,policy_name_clustering!$C$4,D318=policy_name_clustering!$A$5,policy_name_clustering!$C$5,D318=policy_name_clustering!$A$6,policy_name_clustering!$C$6,D318=policy_name_clustering!$A$7,policy_name_clustering!$C$7,D318=policy_name_clustering!$A$8,policy_name_clustering!$C$8,D318=policy_name_clustering!$A$9,policy_name_clustering!$C$9,D318=policy_name_clustering!$A$10,policy_name_clustering!$C$10,D318=policy_name_clustering!$A$11,policy_name_clustering!$C$11,D318=policy_name_clustering!$A$12,policy_name_clustering!$C$12,D318="-","")</f>
        <v/>
      </c>
      <c r="G318" s="7">
        <f>solar_cum_cap!C288</f>
        <v>2</v>
      </c>
      <c r="H318" s="7">
        <f>estimated_capacity!C275</f>
        <v>299.43516737733199</v>
      </c>
      <c r="I318" s="7" cm="1">
        <f t="array" ref="I318">_xlfn.IFS(D318= ""," ",D318&lt;&gt; " ",F318*(G318/H318))</f>
        <v>0</v>
      </c>
      <c r="J318" s="7" cm="1">
        <f t="array" ref="J318">_xlfn.IFS(D318= ""," ",D318&lt;&gt; " ",(H318-F318)*(G318/H318))</f>
        <v>2</v>
      </c>
      <c r="K318" s="7" cm="1">
        <f t="array" ref="K318">IF(ISNUMBER(H318),_xlfn.IFS(D318= ""," ",D318&lt;&gt; " ",F318*(G318/H318)),"")</f>
        <v>0</v>
      </c>
    </row>
    <row r="319" spans="1:11" s="7" customFormat="1" hidden="1" x14ac:dyDescent="0.35">
      <c r="A319" s="7" t="s">
        <v>36</v>
      </c>
      <c r="B319" s="7">
        <v>2011</v>
      </c>
      <c r="D319" s="7" t="s">
        <v>73</v>
      </c>
      <c r="E319" s="7" t="str" cm="1">
        <f t="array" ref="E319">_xlfn.IFS(D319=policy_name_clustering!$A$2,policy_name_clustering!$C$2,D319=policy_name_clustering!$A$3,policy_name_clustering!$C$3,D319=policy_name_clustering!$A$4,policy_name_clustering!$C$4,D319=policy_name_clustering!$A$5,policy_name_clustering!$C$5,D319=policy_name_clustering!$A$6,policy_name_clustering!$C$6,D319=policy_name_clustering!$A$7,policy_name_clustering!$C$7,D319=policy_name_clustering!$A$8,policy_name_clustering!$C$8,D319=policy_name_clustering!$A$9,policy_name_clustering!$C$9,D319=policy_name_clustering!$A$10,policy_name_clustering!$C$10,D319=policy_name_clustering!$A$11,policy_name_clustering!$C$11,D319=policy_name_clustering!$A$12,policy_name_clustering!$C$12,D319="-","")</f>
        <v/>
      </c>
      <c r="G319" s="7">
        <f>solar_cum_cap!C289</f>
        <v>4</v>
      </c>
      <c r="H319" s="7">
        <f>estimated_capacity!C276</f>
        <v>462.059818875676</v>
      </c>
      <c r="I319" s="7" cm="1">
        <f t="array" ref="I319">_xlfn.IFS(D319= ""," ",D319&lt;&gt; " ",F319*(G319/H319))</f>
        <v>0</v>
      </c>
      <c r="J319" s="7" cm="1">
        <f t="array" ref="J319">_xlfn.IFS(D319= ""," ",D319&lt;&gt; " ",(H319-F319)*(G319/H319))</f>
        <v>4</v>
      </c>
      <c r="K319" s="7" cm="1">
        <f t="array" ref="K319">IF(ISNUMBER(H319),_xlfn.IFS(D319= ""," ",D319&lt;&gt; " ",F319*(G319/H319)),"")</f>
        <v>0</v>
      </c>
    </row>
    <row r="320" spans="1:11" s="7" customFormat="1" hidden="1" x14ac:dyDescent="0.35">
      <c r="A320" s="7" t="s">
        <v>36</v>
      </c>
      <c r="B320" s="7">
        <v>2012</v>
      </c>
      <c r="D320" s="7" t="s">
        <v>73</v>
      </c>
      <c r="E320" s="7" t="str" cm="1">
        <f t="array" ref="E320">_xlfn.IFS(D320=policy_name_clustering!$A$2,policy_name_clustering!$C$2,D320=policy_name_clustering!$A$3,policy_name_clustering!$C$3,D320=policy_name_clustering!$A$4,policy_name_clustering!$C$4,D320=policy_name_clustering!$A$5,policy_name_clustering!$C$5,D320=policy_name_clustering!$A$6,policy_name_clustering!$C$6,D320=policy_name_clustering!$A$7,policy_name_clustering!$C$7,D320=policy_name_clustering!$A$8,policy_name_clustering!$C$8,D320=policy_name_clustering!$A$9,policy_name_clustering!$C$9,D320=policy_name_clustering!$A$10,policy_name_clustering!$C$10,D320=policy_name_clustering!$A$11,policy_name_clustering!$C$11,D320=policy_name_clustering!$A$12,policy_name_clustering!$C$12,D320="-","")</f>
        <v/>
      </c>
      <c r="G320" s="7">
        <f>solar_cum_cap!C290</f>
        <v>12</v>
      </c>
      <c r="H320" s="7">
        <f>estimated_capacity!C277</f>
        <v>707.43031056713505</v>
      </c>
      <c r="I320" s="7" cm="1">
        <f t="array" ref="I320">_xlfn.IFS(D320= ""," ",D320&lt;&gt; " ",F320*(G320/H320))</f>
        <v>0</v>
      </c>
      <c r="J320" s="7" cm="1">
        <f t="array" ref="J320">_xlfn.IFS(D320= ""," ",D320&lt;&gt; " ",(H320-F320)*(G320/H320))</f>
        <v>12</v>
      </c>
      <c r="K320" s="7" cm="1">
        <f t="array" ref="K320">IF(ISNUMBER(H320),_xlfn.IFS(D320= ""," ",D320&lt;&gt; " ",F320*(G320/H320)),"")</f>
        <v>0</v>
      </c>
    </row>
    <row r="321" spans="1:11" s="7" customFormat="1" hidden="1" x14ac:dyDescent="0.35">
      <c r="A321" s="7" t="s">
        <v>36</v>
      </c>
      <c r="B321" s="7">
        <v>2013</v>
      </c>
      <c r="D321" s="7" t="s">
        <v>73</v>
      </c>
      <c r="E321" s="7" t="str" cm="1">
        <f t="array" ref="E321">_xlfn.IFS(D321=policy_name_clustering!$A$2,policy_name_clustering!$C$2,D321=policy_name_clustering!$A$3,policy_name_clustering!$C$3,D321=policy_name_clustering!$A$4,policy_name_clustering!$C$4,D321=policy_name_clustering!$A$5,policy_name_clustering!$C$5,D321=policy_name_clustering!$A$6,policy_name_clustering!$C$6,D321=policy_name_clustering!$A$7,policy_name_clustering!$C$7,D321=policy_name_clustering!$A$8,policy_name_clustering!$C$8,D321=policy_name_clustering!$A$9,policy_name_clustering!$C$9,D321=policy_name_clustering!$A$10,policy_name_clustering!$C$10,D321=policy_name_clustering!$A$11,policy_name_clustering!$C$11,D321=policy_name_clustering!$A$12,policy_name_clustering!$C$12,D321="-","")</f>
        <v/>
      </c>
      <c r="G321" s="7">
        <f>solar_cum_cap!C291</f>
        <v>35</v>
      </c>
      <c r="H321" s="7">
        <f>estimated_capacity!C278</f>
        <v>985.91307904404005</v>
      </c>
      <c r="I321" s="7" cm="1">
        <f t="array" ref="I321">_xlfn.IFS(D321= ""," ",D321&lt;&gt; " ",F321*(G321/H321))</f>
        <v>0</v>
      </c>
      <c r="J321" s="7" cm="1">
        <f t="array" ref="J321">_xlfn.IFS(D321= ""," ",D321&lt;&gt; " ",(H321-F321)*(G321/H321))</f>
        <v>35</v>
      </c>
      <c r="K321" s="7" cm="1">
        <f t="array" ref="K321">IF(ISNUMBER(H321),_xlfn.IFS(D321= ""," ",D321&lt;&gt; " ",F321*(G321/H321)),"")</f>
        <v>0</v>
      </c>
    </row>
    <row r="322" spans="1:11" s="7" customFormat="1" hidden="1" x14ac:dyDescent="0.35">
      <c r="A322" s="7" t="s">
        <v>36</v>
      </c>
      <c r="B322" s="7">
        <v>2014</v>
      </c>
      <c r="D322" s="7" t="s">
        <v>73</v>
      </c>
      <c r="E322" s="7" t="str" cm="1">
        <f t="array" ref="E322">_xlfn.IFS(D322=policy_name_clustering!$A$2,policy_name_clustering!$C$2,D322=policy_name_clustering!$A$3,policy_name_clustering!$C$3,D322=policy_name_clustering!$A$4,policy_name_clustering!$C$4,D322=policy_name_clustering!$A$5,policy_name_clustering!$C$5,D322=policy_name_clustering!$A$6,policy_name_clustering!$C$6,D322=policy_name_clustering!$A$7,policy_name_clustering!$C$7,D322=policy_name_clustering!$A$8,policy_name_clustering!$C$8,D322=policy_name_clustering!$A$9,policy_name_clustering!$C$9,D322=policy_name_clustering!$A$10,policy_name_clustering!$C$10,D322=policy_name_clustering!$A$11,policy_name_clustering!$C$11,D322=policy_name_clustering!$A$12,policy_name_clustering!$C$12,D322="-","")</f>
        <v/>
      </c>
      <c r="G322" s="7">
        <f>solar_cum_cap!C292</f>
        <v>89</v>
      </c>
      <c r="H322" s="7">
        <f>estimated_capacity!C279</f>
        <v>1281.2104918094301</v>
      </c>
      <c r="I322" s="7" cm="1">
        <f t="array" ref="I322">_xlfn.IFS(D322= ""," ",D322&lt;&gt; " ",F322*(G322/H322))</f>
        <v>0</v>
      </c>
      <c r="J322" s="7" cm="1">
        <f t="array" ref="J322">_xlfn.IFS(D322= ""," ",D322&lt;&gt; " ",(H322-F322)*(G322/H322))</f>
        <v>89</v>
      </c>
      <c r="K322" s="7" cm="1">
        <f t="array" ref="K322">IF(ISNUMBER(H322),_xlfn.IFS(D322= ""," ",D322&lt;&gt; " ",F322*(G322/H322)),"")</f>
        <v>0</v>
      </c>
    </row>
    <row r="323" spans="1:11" s="7" customFormat="1" hidden="1" x14ac:dyDescent="0.35">
      <c r="A323" s="7" t="s">
        <v>36</v>
      </c>
      <c r="B323" s="7">
        <v>2015</v>
      </c>
      <c r="D323" s="7" t="s">
        <v>73</v>
      </c>
      <c r="E323" s="7" t="str" cm="1">
        <f t="array" ref="E323">_xlfn.IFS(D323=policy_name_clustering!$A$2,policy_name_clustering!$C$2,D323=policy_name_clustering!$A$3,policy_name_clustering!$C$3,D323=policy_name_clustering!$A$4,policy_name_clustering!$C$4,D323=policy_name_clustering!$A$5,policy_name_clustering!$C$5,D323=policy_name_clustering!$A$6,policy_name_clustering!$C$6,D323=policy_name_clustering!$A$7,policy_name_clustering!$C$7,D323=policy_name_clustering!$A$8,policy_name_clustering!$C$8,D323=policy_name_clustering!$A$9,policy_name_clustering!$C$9,D323=policy_name_clustering!$A$10,policy_name_clustering!$C$10,D323=policy_name_clustering!$A$11,policy_name_clustering!$C$11,D323=policy_name_clustering!$A$12,policy_name_clustering!$C$12,D323="-","")</f>
        <v/>
      </c>
      <c r="G323" s="7">
        <f>solar_cum_cap!C293</f>
        <v>172</v>
      </c>
      <c r="H323" s="7">
        <f>estimated_capacity!C280</f>
        <v>1538.7160347547599</v>
      </c>
      <c r="I323" s="7" cm="1">
        <f t="array" ref="I323">_xlfn.IFS(D323= ""," ",D323&lt;&gt; " ",F323*(G323/H323))</f>
        <v>0</v>
      </c>
      <c r="J323" s="7" cm="1">
        <f t="array" ref="J323">_xlfn.IFS(D323= ""," ",D323&lt;&gt; " ",(H323-F323)*(G323/H323))</f>
        <v>172</v>
      </c>
      <c r="K323" s="7" cm="1">
        <f t="array" ref="K323">IF(ISNUMBER(H323),_xlfn.IFS(D323= ""," ",D323&lt;&gt; " ",F323*(G323/H323)),"")</f>
        <v>0</v>
      </c>
    </row>
    <row r="324" spans="1:11" s="7" customFormat="1" hidden="1" x14ac:dyDescent="0.35">
      <c r="A324" s="7" t="s">
        <v>36</v>
      </c>
      <c r="B324" s="7">
        <v>2016</v>
      </c>
      <c r="D324" s="7" t="s">
        <v>73</v>
      </c>
      <c r="E324" s="7" t="str" cm="1">
        <f t="array" ref="E324">_xlfn.IFS(D324=policy_name_clustering!$A$2,policy_name_clustering!$C$2,D324=policy_name_clustering!$A$3,policy_name_clustering!$C$3,D324=policy_name_clustering!$A$4,policy_name_clustering!$C$4,D324=policy_name_clustering!$A$5,policy_name_clustering!$C$5,D324=policy_name_clustering!$A$6,policy_name_clustering!$C$6,D324=policy_name_clustering!$A$7,policy_name_clustering!$C$7,D324=policy_name_clustering!$A$8,policy_name_clustering!$C$8,D324=policy_name_clustering!$A$9,policy_name_clustering!$C$9,D324=policy_name_clustering!$A$10,policy_name_clustering!$C$10,D324=policy_name_clustering!$A$11,policy_name_clustering!$C$11,D324=policy_name_clustering!$A$12,policy_name_clustering!$C$12,D324="-","")</f>
        <v/>
      </c>
      <c r="G324" s="7">
        <f>solar_cum_cap!C294</f>
        <v>235</v>
      </c>
      <c r="H324" s="7">
        <f>estimated_capacity!C281</f>
        <v>1804.9453681279599</v>
      </c>
      <c r="I324" s="7" cm="1">
        <f t="array" ref="I324">_xlfn.IFS(D324= ""," ",D324&lt;&gt; " ",F324*(G324/H324))</f>
        <v>0</v>
      </c>
      <c r="J324" s="7" cm="1">
        <f t="array" ref="J324">_xlfn.IFS(D324= ""," ",D324&lt;&gt; " ",(H324-F324)*(G324/H324))</f>
        <v>235</v>
      </c>
      <c r="K324" s="7" cm="1">
        <f t="array" ref="K324">IF(ISNUMBER(H324),_xlfn.IFS(D324= ""," ",D324&lt;&gt; " ",F324*(G324/H324)),"")</f>
        <v>0</v>
      </c>
    </row>
    <row r="325" spans="1:11" s="7" customFormat="1" hidden="1" x14ac:dyDescent="0.35">
      <c r="A325" s="7" t="s">
        <v>36</v>
      </c>
      <c r="B325" s="7">
        <v>2017</v>
      </c>
      <c r="D325" s="7" t="s">
        <v>73</v>
      </c>
      <c r="E325" s="7" t="str" cm="1">
        <f t="array" ref="E325">_xlfn.IFS(D325=policy_name_clustering!$A$2,policy_name_clustering!$C$2,D325=policy_name_clustering!$A$3,policy_name_clustering!$C$3,D325=policy_name_clustering!$A$4,policy_name_clustering!$C$4,D325=policy_name_clustering!$A$5,policy_name_clustering!$C$5,D325=policy_name_clustering!$A$6,policy_name_clustering!$C$6,D325=policy_name_clustering!$A$7,policy_name_clustering!$C$7,D325=policy_name_clustering!$A$8,policy_name_clustering!$C$8,D325=policy_name_clustering!$A$9,policy_name_clustering!$C$9,D325=policy_name_clustering!$A$10,policy_name_clustering!$C$10,D325=policy_name_clustering!$A$11,policy_name_clustering!$C$11,D325=policy_name_clustering!$A$12,policy_name_clustering!$C$12,D325="-","")</f>
        <v/>
      </c>
      <c r="G325" s="7">
        <f>solar_cum_cap!C295</f>
        <v>344</v>
      </c>
      <c r="H325" s="7">
        <f>estimated_capacity!C282</f>
        <v>2101.4683504156001</v>
      </c>
      <c r="I325" s="7" cm="1">
        <f t="array" ref="I325">_xlfn.IFS(D325= ""," ",D325&lt;&gt; " ",F325*(G325/H325))</f>
        <v>0</v>
      </c>
      <c r="J325" s="7" cm="1">
        <f t="array" ref="J325">_xlfn.IFS(D325= ""," ",D325&lt;&gt; " ",(H325-F325)*(G325/H325))</f>
        <v>344</v>
      </c>
      <c r="K325" s="7" cm="1">
        <f t="array" ref="K325">IF(ISNUMBER(H325),_xlfn.IFS(D325= ""," ",D325&lt;&gt; " ",F325*(G325/H325)),"")</f>
        <v>0</v>
      </c>
    </row>
    <row r="326" spans="1:11" s="7" customFormat="1" hidden="1" x14ac:dyDescent="0.35">
      <c r="A326" s="7" t="s">
        <v>36</v>
      </c>
      <c r="B326" s="7">
        <v>2018</v>
      </c>
      <c r="D326" s="7" t="s">
        <v>73</v>
      </c>
      <c r="E326" s="7" t="str" cm="1">
        <f t="array" ref="E326">_xlfn.IFS(D326=policy_name_clustering!$A$2,policy_name_clustering!$C$2,D326=policy_name_clustering!$A$3,policy_name_clustering!$C$3,D326=policy_name_clustering!$A$4,policy_name_clustering!$C$4,D326=policy_name_clustering!$A$5,policy_name_clustering!$C$5,D326=policy_name_clustering!$A$6,policy_name_clustering!$C$6,D326=policy_name_clustering!$A$7,policy_name_clustering!$C$7,D326=policy_name_clustering!$A$8,policy_name_clustering!$C$8,D326=policy_name_clustering!$A$9,policy_name_clustering!$C$9,D326=policy_name_clustering!$A$10,policy_name_clustering!$C$10,D326=policy_name_clustering!$A$11,policy_name_clustering!$C$11,D326=policy_name_clustering!$A$12,policy_name_clustering!$C$12,D326="-","")</f>
        <v/>
      </c>
      <c r="G326" s="7">
        <f>solar_cum_cap!C296</f>
        <v>728</v>
      </c>
      <c r="H326" s="7">
        <f>estimated_capacity!C283</f>
        <v>2442.4775711828902</v>
      </c>
      <c r="I326" s="7" cm="1">
        <f t="array" ref="I326">_xlfn.IFS(D326= ""," ",D326&lt;&gt; " ",F326*(G326/H326))</f>
        <v>0</v>
      </c>
      <c r="J326" s="7" cm="1">
        <f t="array" ref="J326">_xlfn.IFS(D326= ""," ",D326&lt;&gt; " ",(H326-F326)*(G326/H326))</f>
        <v>728</v>
      </c>
      <c r="K326" s="7" cm="1">
        <f t="array" ref="K326">IF(ISNUMBER(H326),_xlfn.IFS(D326= ""," ",D326&lt;&gt; " ",F326*(G326/H326)),"")</f>
        <v>0</v>
      </c>
    </row>
    <row r="327" spans="1:11" s="7" customFormat="1" hidden="1" x14ac:dyDescent="0.35">
      <c r="A327" s="7" t="s">
        <v>36</v>
      </c>
      <c r="B327" s="7">
        <v>2019</v>
      </c>
      <c r="D327" s="7" t="s">
        <v>73</v>
      </c>
      <c r="E327" s="7" t="str" cm="1">
        <f t="array" ref="E327">_xlfn.IFS(D327=policy_name_clustering!$A$2,policy_name_clustering!$C$2,D327=policy_name_clustering!$A$3,policy_name_clustering!$C$3,D327=policy_name_clustering!$A$4,policy_name_clustering!$C$4,D327=policy_name_clustering!$A$5,policy_name_clustering!$C$5,D327=policy_name_clustering!$A$6,policy_name_clustering!$C$6,D327=policy_name_clustering!$A$7,policy_name_clustering!$C$7,D327=policy_name_clustering!$A$8,policy_name_clustering!$C$8,D327=policy_name_clustering!$A$9,policy_name_clustering!$C$9,D327=policy_name_clustering!$A$10,policy_name_clustering!$C$10,D327=policy_name_clustering!$A$11,policy_name_clustering!$C$11,D327=policy_name_clustering!$A$12,policy_name_clustering!$C$12,D327="-","")</f>
        <v/>
      </c>
      <c r="G327" s="7">
        <f>solar_cum_cap!C297</f>
        <v>1400</v>
      </c>
      <c r="H327" s="7">
        <f>estimated_capacity!C284</f>
        <v>2757.01662255572</v>
      </c>
      <c r="I327" s="7" cm="1">
        <f t="array" ref="I327">_xlfn.IFS(D327= ""," ",D327&lt;&gt; " ",F327*(G327/H327))</f>
        <v>0</v>
      </c>
      <c r="J327" s="7" cm="1">
        <f t="array" ref="J327">_xlfn.IFS(D327= ""," ",D327&lt;&gt; " ",(H327-F327)*(G327/H327))</f>
        <v>1400</v>
      </c>
      <c r="K327" s="7" cm="1">
        <f t="array" ref="K327">IF(ISNUMBER(H327),_xlfn.IFS(D327= ""," ",D327&lt;&gt; " ",F327*(G327/H327)),"")</f>
        <v>0</v>
      </c>
    </row>
    <row r="328" spans="1:11" s="7" customFormat="1" hidden="1" x14ac:dyDescent="0.35">
      <c r="A328" s="7" t="s">
        <v>36</v>
      </c>
      <c r="B328" s="7">
        <v>2020</v>
      </c>
      <c r="D328" s="7" t="s">
        <v>73</v>
      </c>
      <c r="E328" s="7" t="str" cm="1">
        <f t="array" ref="E328">_xlfn.IFS(D328=policy_name_clustering!$A$2,policy_name_clustering!$C$2,D328=policy_name_clustering!$A$3,policy_name_clustering!$C$3,D328=policy_name_clustering!$A$4,policy_name_clustering!$C$4,D328=policy_name_clustering!$A$5,policy_name_clustering!$C$5,D328=policy_name_clustering!$A$6,policy_name_clustering!$C$6,D328=policy_name_clustering!$A$7,policy_name_clustering!$C$7,D328=policy_name_clustering!$A$8,policy_name_clustering!$C$8,D328=policy_name_clustering!$A$9,policy_name_clustering!$C$9,D328=policy_name_clustering!$A$10,policy_name_clustering!$C$10,D328=policy_name_clustering!$A$11,policy_name_clustering!$C$11,D328=policy_name_clustering!$A$12,policy_name_clustering!$C$12,D328="-","")</f>
        <v/>
      </c>
      <c r="G328" s="7">
        <f>solar_cum_cap!C298</f>
        <v>2131</v>
      </c>
      <c r="H328" s="7">
        <f>estimated_capacity!C285</f>
        <v>3051.7437448291898</v>
      </c>
      <c r="I328" s="7" cm="1">
        <f t="array" ref="I328">_xlfn.IFS(D328= ""," ",D328&lt;&gt; " ",F328*(G328/H328))</f>
        <v>0</v>
      </c>
      <c r="J328" s="7" cm="1">
        <f t="array" ref="J328">_xlfn.IFS(D328= ""," ",D328&lt;&gt; " ",(H328-F328)*(G328/H328))</f>
        <v>2131</v>
      </c>
      <c r="K328" s="7" cm="1">
        <f t="array" ref="K328">IF(ISNUMBER(H328),_xlfn.IFS(D328= ""," ",D328&lt;&gt; " ",F328*(G328/H328)),"")</f>
        <v>0</v>
      </c>
    </row>
    <row r="329" spans="1:11" s="7" customFormat="1" hidden="1" x14ac:dyDescent="0.35">
      <c r="A329" s="7" t="s">
        <v>36</v>
      </c>
      <c r="B329" s="7">
        <v>2021</v>
      </c>
      <c r="D329" s="7" t="s">
        <v>73</v>
      </c>
      <c r="E329" s="7" t="str" cm="1">
        <f t="array" ref="E329">_xlfn.IFS(D329=policy_name_clustering!$A$2,policy_name_clustering!$C$2,D329=policy_name_clustering!$A$3,policy_name_clustering!$C$3,D329=policy_name_clustering!$A$4,policy_name_clustering!$C$4,D329=policy_name_clustering!$A$5,policy_name_clustering!$C$5,D329=policy_name_clustering!$A$6,policy_name_clustering!$C$6,D329=policy_name_clustering!$A$7,policy_name_clustering!$C$7,D329=policy_name_clustering!$A$8,policy_name_clustering!$C$8,D329=policy_name_clustering!$A$9,policy_name_clustering!$C$9,D329=policy_name_clustering!$A$10,policy_name_clustering!$C$10,D329=policy_name_clustering!$A$11,policy_name_clustering!$C$11,D329=policy_name_clustering!$A$12,policy_name_clustering!$C$12,D329="-","")</f>
        <v/>
      </c>
      <c r="G329" s="7">
        <f>solar_cum_cap!C299</f>
        <v>2968</v>
      </c>
      <c r="H329" s="7">
        <f>estimated_capacity!C286</f>
        <v>3412.2258819938202</v>
      </c>
      <c r="I329" s="7" cm="1">
        <f t="array" ref="I329">_xlfn.IFS(D329= ""," ",D329&lt;&gt; " ",F329*(G329/H329))</f>
        <v>0</v>
      </c>
      <c r="J329" s="7" cm="1">
        <f t="array" ref="J329">_xlfn.IFS(D329= ""," ",D329&lt;&gt; " ",(H329-F329)*(G329/H329))</f>
        <v>2968</v>
      </c>
      <c r="K329" s="7" cm="1">
        <f t="array" ref="K329">IF(ISNUMBER(H329),_xlfn.IFS(D329= ""," ",D329&lt;&gt; " ",F329*(G329/H329)),"")</f>
        <v>0</v>
      </c>
    </row>
    <row r="330" spans="1:11" s="7" customFormat="1" hidden="1" x14ac:dyDescent="0.35">
      <c r="A330" s="7" t="s">
        <v>36</v>
      </c>
      <c r="B330" s="7">
        <v>2022</v>
      </c>
      <c r="D330" s="7" t="s">
        <v>73</v>
      </c>
      <c r="E330" s="7" t="str" cm="1">
        <f t="array" ref="E330">_xlfn.IFS(D330=policy_name_clustering!$A$2,policy_name_clustering!$C$2,D330=policy_name_clustering!$A$3,policy_name_clustering!$C$3,D330=policy_name_clustering!$A$4,policy_name_clustering!$C$4,D330=policy_name_clustering!$A$5,policy_name_clustering!$C$5,D330=policy_name_clustering!$A$6,policy_name_clustering!$C$6,D330=policy_name_clustering!$A$7,policy_name_clustering!$C$7,D330=policy_name_clustering!$A$8,policy_name_clustering!$C$8,D330=policy_name_clustering!$A$9,policy_name_clustering!$C$9,D330=policy_name_clustering!$A$10,policy_name_clustering!$C$10,D330=policy_name_clustering!$A$11,policy_name_clustering!$C$11,D330=policy_name_clustering!$A$12,policy_name_clustering!$C$12,D330="-","")</f>
        <v/>
      </c>
      <c r="G330" s="7">
        <f>solar_cum_cap!C300</f>
        <v>4235</v>
      </c>
      <c r="H330" s="7">
        <f>estimated_capacity!C287</f>
        <v>3970.9600438261</v>
      </c>
      <c r="I330" s="7" cm="1">
        <f t="array" ref="I330">_xlfn.IFS(D330= ""," ",D330&lt;&gt; " ",F330*(G330/H330))</f>
        <v>0</v>
      </c>
      <c r="J330" s="7" cm="1">
        <f t="array" ref="J330">_xlfn.IFS(D330= ""," ",D330&lt;&gt; " ",(H330-F330)*(G330/H330))</f>
        <v>4235</v>
      </c>
      <c r="K330" s="7" cm="1">
        <f t="array" ref="K330">IF(ISNUMBER(H330),_xlfn.IFS(D330= ""," ",D330&lt;&gt; " ",F330*(G330/H330)),"")</f>
        <v>0</v>
      </c>
    </row>
    <row r="331" spans="1:11" s="7" customFormat="1" hidden="1" x14ac:dyDescent="0.35">
      <c r="A331" s="7" t="s">
        <v>36</v>
      </c>
      <c r="B331" s="7">
        <v>2023</v>
      </c>
      <c r="D331" s="7" t="s">
        <v>73</v>
      </c>
      <c r="E331" s="7" t="str" cm="1">
        <f t="array" ref="E331">_xlfn.IFS(D331=policy_name_clustering!$A$2,policy_name_clustering!$C$2,D331=policy_name_clustering!$A$3,policy_name_clustering!$C$3,D331=policy_name_clustering!$A$4,policy_name_clustering!$C$4,D331=policy_name_clustering!$A$5,policy_name_clustering!$C$5,D331=policy_name_clustering!$A$6,policy_name_clustering!$C$6,D331=policy_name_clustering!$A$7,policy_name_clustering!$C$7,D331=policy_name_clustering!$A$8,policy_name_clustering!$C$8,D331=policy_name_clustering!$A$9,policy_name_clustering!$C$9,D331=policy_name_clustering!$A$10,policy_name_clustering!$C$10,D331=policy_name_clustering!$A$11,policy_name_clustering!$C$11,D331=policy_name_clustering!$A$12,policy_name_clustering!$C$12,D331="-","")</f>
        <v/>
      </c>
      <c r="G331" s="7">
        <f>solar_cum_cap!C301</f>
        <v>5910</v>
      </c>
      <c r="H331" s="7">
        <f>estimated_capacity!C288</f>
        <v>4543.9558666335797</v>
      </c>
      <c r="I331" s="7" cm="1">
        <f t="array" ref="I331">_xlfn.IFS(D331= ""," ",D331&lt;&gt; " ",F331*(G331/H331))</f>
        <v>0</v>
      </c>
      <c r="J331" s="7" cm="1">
        <f t="array" ref="J331">_xlfn.IFS(D331= ""," ",D331&lt;&gt; " ",(H331-F331)*(G331/H331))</f>
        <v>5910</v>
      </c>
      <c r="K331" s="7" cm="1">
        <f t="array" ref="K331">IF(ISNUMBER(H331),_xlfn.IFS(D331= ""," ",D331&lt;&gt; " ",F331*(G331/H331)),"")</f>
        <v>0</v>
      </c>
    </row>
    <row r="332" spans="1:11" s="7" customFormat="1" hidden="1" x14ac:dyDescent="0.35">
      <c r="A332" s="7" t="s">
        <v>20</v>
      </c>
      <c r="B332" s="7">
        <v>2001</v>
      </c>
      <c r="D332" s="7" t="s">
        <v>73</v>
      </c>
      <c r="E332" s="7" t="str" cm="1">
        <f t="array" ref="E332">_xlfn.IFS(D332=policy_name_clustering!$A$2,policy_name_clustering!$C$2,D332=policy_name_clustering!$A$3,policy_name_clustering!$C$3,D332=policy_name_clustering!$A$4,policy_name_clustering!$C$4,D332=policy_name_clustering!$A$5,policy_name_clustering!$C$5,D332=policy_name_clustering!$A$6,policy_name_clustering!$C$6,D332=policy_name_clustering!$A$7,policy_name_clustering!$C$7,D332=policy_name_clustering!$A$8,policy_name_clustering!$C$8,D332=policy_name_clustering!$A$9,policy_name_clustering!$C$9,D332=policy_name_clustering!$A$10,policy_name_clustering!$C$10,D332=policy_name_clustering!$A$11,policy_name_clustering!$C$11,D332=policy_name_clustering!$A$12,policy_name_clustering!$C$12,D332="-","")</f>
        <v/>
      </c>
      <c r="G332" s="7">
        <f>solar_cum_cap!C303</f>
        <v>20</v>
      </c>
      <c r="H332" s="7">
        <f>estimated_capacity!C289</f>
        <v>-0.91133655664663105</v>
      </c>
      <c r="I332" s="7" cm="1">
        <f t="array" ref="I332">_xlfn.IFS(D332= ""," ",D332&lt;&gt; " ",F332*(G332/H332))</f>
        <v>0</v>
      </c>
      <c r="J332" s="7" cm="1">
        <f t="array" ref="J332">_xlfn.IFS(D332= ""," ",D332&lt;&gt; " ",(H332-F332)*(G332/H332))</f>
        <v>20</v>
      </c>
      <c r="K332" s="7" cm="1">
        <f t="array" ref="K332">IF(ISNUMBER(H332),_xlfn.IFS(D332= ""," ",D332&lt;&gt; " ",F332*(G332/H332)),"")</f>
        <v>0</v>
      </c>
    </row>
    <row r="333" spans="1:11" s="7" customFormat="1" hidden="1" x14ac:dyDescent="0.35">
      <c r="A333" s="7" t="s">
        <v>20</v>
      </c>
      <c r="B333" s="7">
        <v>2002</v>
      </c>
      <c r="D333" s="7" t="s">
        <v>73</v>
      </c>
      <c r="E333" s="7" t="str" cm="1">
        <f t="array" ref="E333">_xlfn.IFS(D333=policy_name_clustering!$A$2,policy_name_clustering!$C$2,D333=policy_name_clustering!$A$3,policy_name_clustering!$C$3,D333=policy_name_clustering!$A$4,policy_name_clustering!$C$4,D333=policy_name_clustering!$A$5,policy_name_clustering!$C$5,D333=policy_name_clustering!$A$6,policy_name_clustering!$C$6,D333=policy_name_clustering!$A$7,policy_name_clustering!$C$7,D333=policy_name_clustering!$A$8,policy_name_clustering!$C$8,D333=policy_name_clustering!$A$9,policy_name_clustering!$C$9,D333=policy_name_clustering!$A$10,policy_name_clustering!$C$10,D333=policy_name_clustering!$A$11,policy_name_clustering!$C$11,D333=policy_name_clustering!$A$12,policy_name_clustering!$C$12,D333="-","")</f>
        <v/>
      </c>
      <c r="G333" s="7">
        <f>solar_cum_cap!C304</f>
        <v>22</v>
      </c>
      <c r="H333" s="7">
        <f>estimated_capacity!C290</f>
        <v>-10.6722487273654</v>
      </c>
      <c r="I333" s="7" cm="1">
        <f t="array" ref="I333">_xlfn.IFS(D333= ""," ",D333&lt;&gt; " ",F333*(G333/H333))</f>
        <v>0</v>
      </c>
      <c r="J333" s="7" cm="1">
        <f t="array" ref="J333">_xlfn.IFS(D333= ""," ",D333&lt;&gt; " ",(H333-F333)*(G333/H333))</f>
        <v>22</v>
      </c>
      <c r="K333" s="7" cm="1">
        <f t="array" ref="K333">IF(ISNUMBER(H333),_xlfn.IFS(D333= ""," ",D333&lt;&gt; " ",F333*(G333/H333)),"")</f>
        <v>0</v>
      </c>
    </row>
    <row r="334" spans="1:11" s="7" customFormat="1" hidden="1" x14ac:dyDescent="0.35">
      <c r="A334" s="7" t="s">
        <v>20</v>
      </c>
      <c r="B334" s="7">
        <v>2003</v>
      </c>
      <c r="D334" s="7" t="s">
        <v>73</v>
      </c>
      <c r="E334" s="7" t="str" cm="1">
        <f t="array" ref="E334">_xlfn.IFS(D334=policy_name_clustering!$A$2,policy_name_clustering!$C$2,D334=policy_name_clustering!$A$3,policy_name_clustering!$C$3,D334=policy_name_clustering!$A$4,policy_name_clustering!$C$4,D334=policy_name_clustering!$A$5,policy_name_clustering!$C$5,D334=policy_name_clustering!$A$6,policy_name_clustering!$C$6,D334=policy_name_clustering!$A$7,policy_name_clustering!$C$7,D334=policy_name_clustering!$A$8,policy_name_clustering!$C$8,D334=policy_name_clustering!$A$9,policy_name_clustering!$C$9,D334=policy_name_clustering!$A$10,policy_name_clustering!$C$10,D334=policy_name_clustering!$A$11,policy_name_clustering!$C$11,D334=policy_name_clustering!$A$12,policy_name_clustering!$C$12,D334="-","")</f>
        <v/>
      </c>
      <c r="G334" s="7">
        <f>solar_cum_cap!C305</f>
        <v>26</v>
      </c>
      <c r="H334" s="7">
        <f>estimated_capacity!C291</f>
        <v>-4.6246401113197599</v>
      </c>
      <c r="I334" s="7" cm="1">
        <f t="array" ref="I334">_xlfn.IFS(D334= ""," ",D334&lt;&gt; " ",F334*(G334/H334))</f>
        <v>0</v>
      </c>
      <c r="J334" s="7" cm="1">
        <f t="array" ref="J334">_xlfn.IFS(D334= ""," ",D334&lt;&gt; " ",(H334-F334)*(G334/H334))</f>
        <v>26</v>
      </c>
      <c r="K334" s="7" cm="1">
        <f t="array" ref="K334">IF(ISNUMBER(H334),_xlfn.IFS(D334= ""," ",D334&lt;&gt; " ",F334*(G334/H334)),"")</f>
        <v>0</v>
      </c>
    </row>
    <row r="335" spans="1:11" s="7" customFormat="1" hidden="1" x14ac:dyDescent="0.35">
      <c r="A335" s="7" t="s">
        <v>20</v>
      </c>
      <c r="B335" s="7">
        <v>2004</v>
      </c>
      <c r="D335" s="7" t="s">
        <v>73</v>
      </c>
      <c r="E335" s="7" t="str" cm="1">
        <f t="array" ref="E335">_xlfn.IFS(D335=policy_name_clustering!$A$2,policy_name_clustering!$C$2,D335=policy_name_clustering!$A$3,policy_name_clustering!$C$3,D335=policy_name_clustering!$A$4,policy_name_clustering!$C$4,D335=policy_name_clustering!$A$5,policy_name_clustering!$C$5,D335=policy_name_clustering!$A$6,policy_name_clustering!$C$6,D335=policy_name_clustering!$A$7,policy_name_clustering!$C$7,D335=policy_name_clustering!$A$8,policy_name_clustering!$C$8,D335=policy_name_clustering!$A$9,policy_name_clustering!$C$9,D335=policy_name_clustering!$A$10,policy_name_clustering!$C$10,D335=policy_name_clustering!$A$11,policy_name_clustering!$C$11,D335=policy_name_clustering!$A$12,policy_name_clustering!$C$12,D335="-","")</f>
        <v/>
      </c>
      <c r="G335" s="7">
        <f>solar_cum_cap!C306</f>
        <v>31</v>
      </c>
      <c r="H335" s="7">
        <f>estimated_capacity!C292</f>
        <v>22.580813264524799</v>
      </c>
      <c r="I335" s="7" cm="1">
        <f t="array" ref="I335">_xlfn.IFS(D335= ""," ",D335&lt;&gt; " ",F335*(G335/H335))</f>
        <v>0</v>
      </c>
      <c r="J335" s="7" cm="1">
        <f t="array" ref="J335">_xlfn.IFS(D335= ""," ",D335&lt;&gt; " ",(H335-F335)*(G335/H335))</f>
        <v>31.000000000000004</v>
      </c>
      <c r="K335" s="7" cm="1">
        <f t="array" ref="K335">IF(ISNUMBER(H335),_xlfn.IFS(D335= ""," ",D335&lt;&gt; " ",F335*(G335/H335)),"")</f>
        <v>0</v>
      </c>
    </row>
    <row r="336" spans="1:11" s="7" customFormat="1" hidden="1" x14ac:dyDescent="0.35">
      <c r="A336" s="7" t="s">
        <v>20</v>
      </c>
      <c r="B336" s="7">
        <v>2005</v>
      </c>
      <c r="D336" s="7" t="s">
        <v>73</v>
      </c>
      <c r="E336" s="7" t="str" cm="1">
        <f t="array" ref="E336">_xlfn.IFS(D336=policy_name_clustering!$A$2,policy_name_clustering!$C$2,D336=policy_name_clustering!$A$3,policy_name_clustering!$C$3,D336=policy_name_clustering!$A$4,policy_name_clustering!$C$4,D336=policy_name_clustering!$A$5,policy_name_clustering!$C$5,D336=policy_name_clustering!$A$6,policy_name_clustering!$C$6,D336=policy_name_clustering!$A$7,policy_name_clustering!$C$7,D336=policy_name_clustering!$A$8,policy_name_clustering!$C$8,D336=policy_name_clustering!$A$9,policy_name_clustering!$C$9,D336=policy_name_clustering!$A$10,policy_name_clustering!$C$10,D336=policy_name_clustering!$A$11,policy_name_clustering!$C$11,D336=policy_name_clustering!$A$12,policy_name_clustering!$C$12,D336="-","")</f>
        <v/>
      </c>
      <c r="G336" s="7">
        <f>solar_cum_cap!C307</f>
        <v>34</v>
      </c>
      <c r="H336" s="7">
        <f>estimated_capacity!C293</f>
        <v>50.248325750148602</v>
      </c>
      <c r="I336" s="7" cm="1">
        <f t="array" ref="I336">_xlfn.IFS(D336= ""," ",D336&lt;&gt; " ",F336*(G336/H336))</f>
        <v>0</v>
      </c>
      <c r="J336" s="7" cm="1">
        <f t="array" ref="J336">_xlfn.IFS(D336= ""," ",D336&lt;&gt; " ",(H336-F336)*(G336/H336))</f>
        <v>34</v>
      </c>
      <c r="K336" s="7" cm="1">
        <f t="array" ref="K336">IF(ISNUMBER(H336),_xlfn.IFS(D336= ""," ",D336&lt;&gt; " ",F336*(G336/H336)),"")</f>
        <v>0</v>
      </c>
    </row>
    <row r="337" spans="1:11" s="7" customFormat="1" hidden="1" x14ac:dyDescent="0.35">
      <c r="A337" s="7" t="s">
        <v>20</v>
      </c>
      <c r="B337" s="7">
        <v>2006</v>
      </c>
      <c r="D337" s="7" t="s">
        <v>73</v>
      </c>
      <c r="E337" s="7" t="str" cm="1">
        <f t="array" ref="E337">_xlfn.IFS(D337=policy_name_clustering!$A$2,policy_name_clustering!$C$2,D337=policy_name_clustering!$A$3,policy_name_clustering!$C$3,D337=policy_name_clustering!$A$4,policy_name_clustering!$C$4,D337=policy_name_clustering!$A$5,policy_name_clustering!$C$5,D337=policy_name_clustering!$A$6,policy_name_clustering!$C$6,D337=policy_name_clustering!$A$7,policy_name_clustering!$C$7,D337=policy_name_clustering!$A$8,policy_name_clustering!$C$8,D337=policy_name_clustering!$A$9,policy_name_clustering!$C$9,D337=policy_name_clustering!$A$10,policy_name_clustering!$C$10,D337=policy_name_clustering!$A$11,policy_name_clustering!$C$11,D337=policy_name_clustering!$A$12,policy_name_clustering!$C$12,D337="-","")</f>
        <v/>
      </c>
      <c r="G337" s="7">
        <f>solar_cum_cap!C308</f>
        <v>45</v>
      </c>
      <c r="H337" s="7">
        <f>estimated_capacity!C294</f>
        <v>82.187122251533495</v>
      </c>
      <c r="I337" s="7" cm="1">
        <f t="array" ref="I337">_xlfn.IFS(D337= ""," ",D337&lt;&gt; " ",F337*(G337/H337))</f>
        <v>0</v>
      </c>
      <c r="J337" s="7" cm="1">
        <f t="array" ref="J337">_xlfn.IFS(D337= ""," ",D337&lt;&gt; " ",(H337-F337)*(G337/H337))</f>
        <v>45</v>
      </c>
      <c r="K337" s="7" cm="1">
        <f t="array" ref="K337">IF(ISNUMBER(H337),_xlfn.IFS(D337= ""," ",D337&lt;&gt; " ",F337*(G337/H337)),"")</f>
        <v>0</v>
      </c>
    </row>
    <row r="338" spans="1:11" s="7" customFormat="1" hidden="1" x14ac:dyDescent="0.35">
      <c r="A338" s="7" t="s">
        <v>20</v>
      </c>
      <c r="B338" s="7">
        <v>2007</v>
      </c>
      <c r="D338" s="7" t="s">
        <v>73</v>
      </c>
      <c r="E338" s="7" t="str" cm="1">
        <f t="array" ref="E338">_xlfn.IFS(D338=policy_name_clustering!$A$2,policy_name_clustering!$C$2,D338=policy_name_clustering!$A$3,policy_name_clustering!$C$3,D338=policy_name_clustering!$A$4,policy_name_clustering!$C$4,D338=policy_name_clustering!$A$5,policy_name_clustering!$C$5,D338=policy_name_clustering!$A$6,policy_name_clustering!$C$6,D338=policy_name_clustering!$A$7,policy_name_clustering!$C$7,D338=policy_name_clustering!$A$8,policy_name_clustering!$C$8,D338=policy_name_clustering!$A$9,policy_name_clustering!$C$9,D338=policy_name_clustering!$A$10,policy_name_clustering!$C$10,D338=policy_name_clustering!$A$11,policy_name_clustering!$C$11,D338=policy_name_clustering!$A$12,policy_name_clustering!$C$12,D338="-","")</f>
        <v/>
      </c>
      <c r="G338" s="7">
        <f>solar_cum_cap!C309</f>
        <v>110</v>
      </c>
      <c r="H338" s="7">
        <f>estimated_capacity!C295</f>
        <v>117.11294915812999</v>
      </c>
      <c r="I338" s="7" cm="1">
        <f t="array" ref="I338">_xlfn.IFS(D338= ""," ",D338&lt;&gt; " ",F338*(G338/H338))</f>
        <v>0</v>
      </c>
      <c r="J338" s="7" cm="1">
        <f t="array" ref="J338">_xlfn.IFS(D338= ""," ",D338&lt;&gt; " ",(H338-F338)*(G338/H338))</f>
        <v>110</v>
      </c>
      <c r="K338" s="7" cm="1">
        <f t="array" ref="K338">IF(ISNUMBER(H338),_xlfn.IFS(D338= ""," ",D338&lt;&gt; " ",F338*(G338/H338)),"")</f>
        <v>0</v>
      </c>
    </row>
    <row r="339" spans="1:11" s="7" customFormat="1" hidden="1" x14ac:dyDescent="0.35">
      <c r="A339" s="7" t="s">
        <v>20</v>
      </c>
      <c r="B339" s="7">
        <v>2008</v>
      </c>
      <c r="C339" s="7" t="s">
        <v>102</v>
      </c>
      <c r="D339" s="7" t="s">
        <v>48</v>
      </c>
      <c r="E339" s="7" t="str" cm="1">
        <f t="array" ref="E339">_xlfn.IFS(D339=policy_name_clustering!$A$2,policy_name_clustering!$C$2,D339=policy_name_clustering!$A$3,policy_name_clustering!$C$3,D339=policy_name_clustering!$A$4,policy_name_clustering!$C$4,D339=policy_name_clustering!$A$5,policy_name_clustering!$C$5,D339=policy_name_clustering!$A$6,policy_name_clustering!$C$6,D339=policy_name_clustering!$A$7,policy_name_clustering!$C$7,D339=policy_name_clustering!$A$8,policy_name_clustering!$C$8,D339=policy_name_clustering!$A$9,policy_name_clustering!$C$9,D339=policy_name_clustering!$A$10,policy_name_clustering!$C$10,D339=policy_name_clustering!$A$11,policy_name_clustering!$C$11,D339=policy_name_clustering!$A$12,policy_name_clustering!$C$12,D339="-","")</f>
        <v>FiT/FiP-based</v>
      </c>
      <c r="F339" s="7">
        <f>policy_contributions_cum!F101</f>
        <v>376.15446556528701</v>
      </c>
      <c r="G339" s="7">
        <f>solar_cum_cap!C310</f>
        <v>483</v>
      </c>
      <c r="H339" s="7">
        <f>estimated_capacity!C296</f>
        <v>544.78400054952101</v>
      </c>
      <c r="I339" s="7" cm="1">
        <f t="array" ref="I339">_xlfn.IFS(D339= ""," ",D339&lt;&gt; " ",F339*(G339/H339))</f>
        <v>333.4947551410674</v>
      </c>
      <c r="J339" s="7" cm="1">
        <f t="array" ref="J339">_xlfn.IFS(D339= ""," ",D339&lt;&gt; " ",(H339-F339)*(G339/H339))</f>
        <v>149.50524485893263</v>
      </c>
      <c r="K339" s="7" cm="1">
        <f t="array" ref="K339">IF(ISNUMBER(H339),_xlfn.IFS(D339= ""," ",D339&lt;&gt; " ",F339*(G339/H339)),"")</f>
        <v>333.4947551410674</v>
      </c>
    </row>
    <row r="340" spans="1:11" s="7" customFormat="1" hidden="1" x14ac:dyDescent="0.35">
      <c r="A340" s="7" t="s">
        <v>20</v>
      </c>
      <c r="B340" s="7">
        <v>2009</v>
      </c>
      <c r="C340" s="7" t="s">
        <v>102</v>
      </c>
      <c r="D340" s="7" t="s">
        <v>48</v>
      </c>
      <c r="E340" s="7" t="str" cm="1">
        <f t="array" ref="E340">_xlfn.IFS(D340=policy_name_clustering!$A$2,policy_name_clustering!$C$2,D340=policy_name_clustering!$A$3,policy_name_clustering!$C$3,D340=policy_name_clustering!$A$4,policy_name_clustering!$C$4,D340=policy_name_clustering!$A$5,policy_name_clustering!$C$5,D340=policy_name_clustering!$A$6,policy_name_clustering!$C$6,D340=policy_name_clustering!$A$7,policy_name_clustering!$C$7,D340=policy_name_clustering!$A$8,policy_name_clustering!$C$8,D340=policy_name_clustering!$A$9,policy_name_clustering!$C$9,D340=policy_name_clustering!$A$10,policy_name_clustering!$C$10,D340=policy_name_clustering!$A$11,policy_name_clustering!$C$11,D340=policy_name_clustering!$A$12,policy_name_clustering!$C$12,D340="-","")</f>
        <v>FiT/FiP-based</v>
      </c>
      <c r="F340" s="7">
        <f>policy_contributions_cum!F102</f>
        <v>1532.06895609905</v>
      </c>
      <c r="G340" s="7">
        <f>solar_cum_cap!C311</f>
        <v>1264</v>
      </c>
      <c r="H340" s="7">
        <f>estimated_capacity!C297</f>
        <v>1758.43336641163</v>
      </c>
      <c r="I340" s="7" cm="1">
        <f t="array" ref="I340">_xlfn.IFS(D340= ""," ",D340&lt;&gt; " ",F340*(G340/H340))</f>
        <v>1101.2843577126923</v>
      </c>
      <c r="J340" s="7" cm="1">
        <f t="array" ref="J340">_xlfn.IFS(D340= ""," ",D340&lt;&gt; " ",(H340-F340)*(G340/H340))</f>
        <v>162.71564228730776</v>
      </c>
      <c r="K340" s="7" cm="1">
        <f t="array" ref="K340">IF(ISNUMBER(H340),_xlfn.IFS(D340= ""," ",D340&lt;&gt; " ",F340*(G340/H340)),"")</f>
        <v>1101.2843577126923</v>
      </c>
    </row>
    <row r="341" spans="1:11" s="7" customFormat="1" hidden="1" x14ac:dyDescent="0.35">
      <c r="A341" s="7" t="s">
        <v>20</v>
      </c>
      <c r="B341" s="7">
        <v>2010</v>
      </c>
      <c r="C341" s="7" t="s">
        <v>102</v>
      </c>
      <c r="D341" s="7" t="s">
        <v>48</v>
      </c>
      <c r="E341" s="7" t="str" cm="1">
        <f t="array" ref="E341">_xlfn.IFS(D341=policy_name_clustering!$A$2,policy_name_clustering!$C$2,D341=policy_name_clustering!$A$3,policy_name_clustering!$C$3,D341=policy_name_clustering!$A$4,policy_name_clustering!$C$4,D341=policy_name_clustering!$A$5,policy_name_clustering!$C$5,D341=policy_name_clustering!$A$6,policy_name_clustering!$C$6,D341=policy_name_clustering!$A$7,policy_name_clustering!$C$7,D341=policy_name_clustering!$A$8,policy_name_clustering!$C$8,D341=policy_name_clustering!$A$9,policy_name_clustering!$C$9,D341=policy_name_clustering!$A$10,policy_name_clustering!$C$10,D341=policy_name_clustering!$A$11,policy_name_clustering!$C$11,D341=policy_name_clustering!$A$12,policy_name_clustering!$C$12,D341="-","")</f>
        <v>FiT/FiP-based</v>
      </c>
      <c r="F341" s="7">
        <f>policy_contributions_cum!F103</f>
        <v>4606.20682560362</v>
      </c>
      <c r="G341" s="7">
        <f>solar_cum_cap!C312</f>
        <v>3592</v>
      </c>
      <c r="H341" s="7">
        <f>estimated_capacity!C298</f>
        <v>4939.08859571622</v>
      </c>
      <c r="I341" s="7" cm="1">
        <f t="array" ref="I341">_xlfn.IFS(D341= ""," ",D341&lt;&gt; " ",F341*(G341/H341))</f>
        <v>3349.9085098247629</v>
      </c>
      <c r="J341" s="7" cm="1">
        <f t="array" ref="J341">_xlfn.IFS(D341= ""," ",D341&lt;&gt; " ",(H341-F341)*(G341/H341))</f>
        <v>242.09149017523711</v>
      </c>
      <c r="K341" s="7" cm="1">
        <f t="array" ref="K341">IF(ISNUMBER(H341),_xlfn.IFS(D341= ""," ",D341&lt;&gt; " ",F341*(G341/H341)),"")</f>
        <v>3349.9085098247629</v>
      </c>
    </row>
    <row r="342" spans="1:11" s="7" customFormat="1" hidden="1" x14ac:dyDescent="0.35">
      <c r="A342" s="7" t="s">
        <v>20</v>
      </c>
      <c r="B342" s="7">
        <v>2011</v>
      </c>
      <c r="C342" s="7" t="s">
        <v>103</v>
      </c>
      <c r="D342" s="7" t="s">
        <v>48</v>
      </c>
      <c r="E342" s="7" t="str" cm="1">
        <f t="array" ref="E342">_xlfn.IFS(D342=policy_name_clustering!$A$2,policy_name_clustering!$C$2,D342=policy_name_clustering!$A$3,policy_name_clustering!$C$3,D342=policy_name_clustering!$A$4,policy_name_clustering!$C$4,D342=policy_name_clustering!$A$5,policy_name_clustering!$C$5,D342=policy_name_clustering!$A$6,policy_name_clustering!$C$6,D342=policy_name_clustering!$A$7,policy_name_clustering!$C$7,D342=policy_name_clustering!$A$8,policy_name_clustering!$C$8,D342=policy_name_clustering!$A$9,policy_name_clustering!$C$9,D342=policy_name_clustering!$A$10,policy_name_clustering!$C$10,D342=policy_name_clustering!$A$11,policy_name_clustering!$C$11,D342=policy_name_clustering!$A$12,policy_name_clustering!$C$12,D342="-","")</f>
        <v>FiT/FiP-based</v>
      </c>
      <c r="F342" s="7">
        <f>policy_contributions_cum!F104</f>
        <v>12539.666991726701</v>
      </c>
      <c r="G342" s="7">
        <f>solar_cum_cap!C313</f>
        <v>13131</v>
      </c>
      <c r="H342" s="7">
        <f>estimated_capacity!C299</f>
        <v>13060.870643252099</v>
      </c>
      <c r="I342" s="7" cm="1">
        <f t="array" ref="I342">_xlfn.IFS(D342= ""," ",D342&lt;&gt; " ",F342*(G342/H342))</f>
        <v>12606.997784901427</v>
      </c>
      <c r="J342" s="7" cm="1">
        <f t="array" ref="J342">_xlfn.IFS(D342= ""," ",D342&lt;&gt; " ",(H342-F342)*(G342/H342))</f>
        <v>524.0022150985717</v>
      </c>
      <c r="K342" s="7" cm="1">
        <f t="array" ref="K342">IF(ISNUMBER(H342),_xlfn.IFS(D342= ""," ",D342&lt;&gt; " ",F342*(G342/H342)),"")</f>
        <v>12606.997784901427</v>
      </c>
    </row>
    <row r="343" spans="1:11" s="7" customFormat="1" hidden="1" x14ac:dyDescent="0.35">
      <c r="A343" s="7" t="s">
        <v>20</v>
      </c>
      <c r="B343" s="7">
        <v>2012</v>
      </c>
      <c r="C343" s="9" t="s">
        <v>104</v>
      </c>
      <c r="D343" s="7" t="s">
        <v>48</v>
      </c>
      <c r="E343" s="7" t="str" cm="1">
        <f t="array" ref="E343">_xlfn.IFS(D343=policy_name_clustering!$A$2,policy_name_clustering!$C$2,D343=policy_name_clustering!$A$3,policy_name_clustering!$C$3,D343=policy_name_clustering!$A$4,policy_name_clustering!$C$4,D343=policy_name_clustering!$A$5,policy_name_clustering!$C$5,D343=policy_name_clustering!$A$6,policy_name_clustering!$C$6,D343=policy_name_clustering!$A$7,policy_name_clustering!$C$7,D343=policy_name_clustering!$A$8,policy_name_clustering!$C$8,D343=policy_name_clustering!$A$9,policy_name_clustering!$C$9,D343=policy_name_clustering!$A$10,policy_name_clustering!$C$10,D343=policy_name_clustering!$A$11,policy_name_clustering!$C$11,D343=policy_name_clustering!$A$12,policy_name_clustering!$C$12,D343="-","")</f>
        <v>FiT/FiP-based</v>
      </c>
      <c r="F343" s="7">
        <f>policy_contributions_cum!F105</f>
        <v>16153.946147393401</v>
      </c>
      <c r="G343" s="7">
        <f>solar_cum_cap!C314</f>
        <v>16785</v>
      </c>
      <c r="H343" s="7">
        <f>estimated_capacity!C300</f>
        <v>16468.797666455299</v>
      </c>
      <c r="I343" s="7" cm="1">
        <f t="array" ref="I343">_xlfn.IFS(D343= ""," ",D343&lt;&gt; " ",F343*(G343/H343))</f>
        <v>16464.10330465603</v>
      </c>
      <c r="J343" s="7" cm="1">
        <f t="array" ref="J343">_xlfn.IFS(D343= ""," ",D343&lt;&gt; " ",(H343-F343)*(G343/H343))</f>
        <v>320.89669534396825</v>
      </c>
      <c r="K343" s="7" cm="1">
        <f t="array" ref="K343">IF(ISNUMBER(H343),_xlfn.IFS(D343= ""," ",D343&lt;&gt; " ",F343*(G343/H343)),"")</f>
        <v>16464.10330465603</v>
      </c>
    </row>
    <row r="344" spans="1:11" s="7" customFormat="1" hidden="1" x14ac:dyDescent="0.35">
      <c r="A344" s="7" t="s">
        <v>20</v>
      </c>
      <c r="B344" s="7">
        <v>2013</v>
      </c>
      <c r="C344" s="7" t="s">
        <v>105</v>
      </c>
      <c r="D344" s="7" t="s">
        <v>48</v>
      </c>
      <c r="E344" s="7" t="str" cm="1">
        <f t="array" ref="E344">_xlfn.IFS(D344=policy_name_clustering!$A$2,policy_name_clustering!$C$2,D344=policy_name_clustering!$A$3,policy_name_clustering!$C$3,D344=policy_name_clustering!$A$4,policy_name_clustering!$C$4,D344=policy_name_clustering!$A$5,policy_name_clustering!$C$5,D344=policy_name_clustering!$A$6,policy_name_clustering!$C$6,D344=policy_name_clustering!$A$7,policy_name_clustering!$C$7,D344=policy_name_clustering!$A$8,policy_name_clustering!$C$8,D344=policy_name_clustering!$A$9,policy_name_clustering!$C$9,D344=policy_name_clustering!$A$10,policy_name_clustering!$C$10,D344=policy_name_clustering!$A$11,policy_name_clustering!$C$11,D344=policy_name_clustering!$A$12,policy_name_clustering!$C$12,D344="-","")</f>
        <v>FiT/FiP-based</v>
      </c>
      <c r="F344" s="7">
        <f>policy_contributions_cum!F106</f>
        <v>17646.449777887799</v>
      </c>
      <c r="G344" s="7">
        <f>solar_cum_cap!C315</f>
        <v>18185</v>
      </c>
      <c r="H344" s="7">
        <f>estimated_capacity!C301</f>
        <v>17666.902268980401</v>
      </c>
      <c r="I344" s="7" cm="1">
        <f t="array" ref="I344">_xlfn.IFS(D344= ""," ",D344&lt;&gt; " ",F344*(G344/H344))</f>
        <v>18163.947721289431</v>
      </c>
      <c r="J344" s="7" cm="1">
        <f t="array" ref="J344">_xlfn.IFS(D344= ""," ",D344&lt;&gt; " ",(H344-F344)*(G344/H344))</f>
        <v>21.052278710568558</v>
      </c>
      <c r="K344" s="7" cm="1">
        <f t="array" ref="K344">IF(ISNUMBER(H344),_xlfn.IFS(D344= ""," ",D344&lt;&gt; " ",F344*(G344/H344)),"")</f>
        <v>18163.947721289431</v>
      </c>
    </row>
    <row r="345" spans="1:11" s="7" customFormat="1" hidden="1" x14ac:dyDescent="0.35">
      <c r="A345" s="7" t="s">
        <v>20</v>
      </c>
      <c r="B345" s="7">
        <v>2014</v>
      </c>
      <c r="D345" s="7" t="s">
        <v>48</v>
      </c>
      <c r="E345" s="7" t="str" cm="1">
        <f t="array" ref="E345">_xlfn.IFS(D345=policy_name_clustering!$A$2,policy_name_clustering!$C$2,D345=policy_name_clustering!$A$3,policy_name_clustering!$C$3,D345=policy_name_clustering!$A$4,policy_name_clustering!$C$4,D345=policy_name_clustering!$A$5,policy_name_clustering!$C$5,D345=policy_name_clustering!$A$6,policy_name_clustering!$C$6,D345=policy_name_clustering!$A$7,policy_name_clustering!$C$7,D345=policy_name_clustering!$A$8,policy_name_clustering!$C$8,D345=policy_name_clustering!$A$9,policy_name_clustering!$C$9,D345=policy_name_clustering!$A$10,policy_name_clustering!$C$10,D345=policy_name_clustering!$A$11,policy_name_clustering!$C$11,D345=policy_name_clustering!$A$12,policy_name_clustering!$C$12,D345="-","")</f>
        <v>FiT/FiP-based</v>
      </c>
      <c r="F345" s="7">
        <f>policy_contributions_cum!F107</f>
        <v>18207.617800705</v>
      </c>
      <c r="G345" s="7">
        <f>solar_cum_cap!C316</f>
        <v>18594</v>
      </c>
      <c r="H345" s="7">
        <f>estimated_capacity!C302</f>
        <v>17915.5948619644</v>
      </c>
      <c r="I345" s="7" cm="1">
        <f t="array" ref="I345">_xlfn.IFS(D345= ""," ",D345&lt;&gt; " ",F345*(G345/H345))</f>
        <v>18897.080894872801</v>
      </c>
      <c r="J345" s="7" cm="1">
        <f t="array" ref="J345">_xlfn.IFS(D345= ""," ",D345&lt;&gt; " ",(H345-F345)*(G345/H345))</f>
        <v>-303.08089487280023</v>
      </c>
      <c r="K345" s="7" cm="1">
        <f t="array" ref="K345">IF(ISNUMBER(H345),_xlfn.IFS(D345= ""," ",D345&lt;&gt; " ",F345*(G345/H345)),"")</f>
        <v>18897.080894872801</v>
      </c>
    </row>
    <row r="346" spans="1:11" s="7" customFormat="1" hidden="1" x14ac:dyDescent="0.35">
      <c r="A346" s="7" t="s">
        <v>20</v>
      </c>
      <c r="B346" s="7">
        <v>2015</v>
      </c>
      <c r="C346" s="9" t="s">
        <v>86</v>
      </c>
      <c r="D346" s="10" t="s">
        <v>48</v>
      </c>
      <c r="E346" s="7" t="str" cm="1">
        <f t="array" ref="E346">_xlfn.IFS(D346=policy_name_clustering!$A$2,policy_name_clustering!$C$2,D346=policy_name_clustering!$A$3,policy_name_clustering!$C$3,D346=policy_name_clustering!$A$4,policy_name_clustering!$C$4,D346=policy_name_clustering!$A$5,policy_name_clustering!$C$5,D346=policy_name_clustering!$A$6,policy_name_clustering!$C$6,D346=policy_name_clustering!$A$7,policy_name_clustering!$C$7,D346=policy_name_clustering!$A$8,policy_name_clustering!$C$8,D346=policy_name_clustering!$A$9,policy_name_clustering!$C$9,D346=policy_name_clustering!$A$10,policy_name_clustering!$C$10,D346=policy_name_clustering!$A$11,policy_name_clustering!$C$11,D346=policy_name_clustering!$A$12,policy_name_clustering!$C$12,D346="-","")</f>
        <v>FiT/FiP-based</v>
      </c>
      <c r="F346" s="7">
        <f>F345</f>
        <v>18207.617800705</v>
      </c>
      <c r="I346" s="7">
        <f>I345</f>
        <v>18897.080894872801</v>
      </c>
      <c r="K346" s="7" t="str" cm="1">
        <f t="array" ref="K346">IF(ISNUMBER(H346),_xlfn.IFS(D346= ""," ",D346&lt;&gt; " ",F346*(G346/H346)),"")</f>
        <v/>
      </c>
    </row>
    <row r="347" spans="1:11" s="7" customFormat="1" hidden="1" x14ac:dyDescent="0.35">
      <c r="A347" s="7" t="s">
        <v>20</v>
      </c>
      <c r="B347" s="7">
        <v>2016</v>
      </c>
      <c r="D347" s="9" t="s">
        <v>48</v>
      </c>
      <c r="E347" s="7" t="str" cm="1">
        <f t="array" ref="E347">_xlfn.IFS(D347=policy_name_clustering!$A$2,policy_name_clustering!$C$2,D347=policy_name_clustering!$A$3,policy_name_clustering!$C$3,D347=policy_name_clustering!$A$4,policy_name_clustering!$C$4,D347=policy_name_clustering!$A$5,policy_name_clustering!$C$5,D347=policy_name_clustering!$A$6,policy_name_clustering!$C$6,D347=policy_name_clustering!$A$7,policy_name_clustering!$C$7,D347=policy_name_clustering!$A$8,policy_name_clustering!$C$8,D347=policy_name_clustering!$A$9,policy_name_clustering!$C$9,D347=policy_name_clustering!$A$10,policy_name_clustering!$C$10,D347=policy_name_clustering!$A$11,policy_name_clustering!$C$11,D347=policy_name_clustering!$A$12,policy_name_clustering!$C$12,D347="-","")</f>
        <v>FiT/FiP-based</v>
      </c>
      <c r="F347" s="7">
        <f t="shared" ref="F347:F354" si="12">F346</f>
        <v>18207.617800705</v>
      </c>
      <c r="I347" s="7">
        <f t="shared" ref="I347:I354" si="13">I346</f>
        <v>18897.080894872801</v>
      </c>
      <c r="K347" s="7" t="str" cm="1">
        <f t="array" ref="K347">IF(ISNUMBER(H347),_xlfn.IFS(D347= ""," ",D347&lt;&gt; " ",F347*(G347/H347)),"")</f>
        <v/>
      </c>
    </row>
    <row r="348" spans="1:11" s="7" customFormat="1" hidden="1" x14ac:dyDescent="0.35">
      <c r="A348" s="7" t="s">
        <v>20</v>
      </c>
      <c r="B348" s="7">
        <v>2017</v>
      </c>
      <c r="D348" s="9" t="s">
        <v>48</v>
      </c>
      <c r="E348" s="7" t="str" cm="1">
        <f t="array" ref="E348">_xlfn.IFS(D348=policy_name_clustering!$A$2,policy_name_clustering!$C$2,D348=policy_name_clustering!$A$3,policy_name_clustering!$C$3,D348=policy_name_clustering!$A$4,policy_name_clustering!$C$4,D348=policy_name_clustering!$A$5,policy_name_clustering!$C$5,D348=policy_name_clustering!$A$6,policy_name_clustering!$C$6,D348=policy_name_clustering!$A$7,policy_name_clustering!$C$7,D348=policy_name_clustering!$A$8,policy_name_clustering!$C$8,D348=policy_name_clustering!$A$9,policy_name_clustering!$C$9,D348=policy_name_clustering!$A$10,policy_name_clustering!$C$10,D348=policy_name_clustering!$A$11,policy_name_clustering!$C$11,D348=policy_name_clustering!$A$12,policy_name_clustering!$C$12,D348="-","")</f>
        <v>FiT/FiP-based</v>
      </c>
      <c r="F348" s="7">
        <f t="shared" si="12"/>
        <v>18207.617800705</v>
      </c>
      <c r="I348" s="7">
        <f t="shared" si="13"/>
        <v>18897.080894872801</v>
      </c>
      <c r="K348" s="7" t="str" cm="1">
        <f t="array" ref="K348">IF(ISNUMBER(H348),_xlfn.IFS(D348= ""," ",D348&lt;&gt; " ",F348*(G348/H348)),"")</f>
        <v/>
      </c>
    </row>
    <row r="349" spans="1:11" s="7" customFormat="1" hidden="1" x14ac:dyDescent="0.35">
      <c r="A349" s="7" t="s">
        <v>20</v>
      </c>
      <c r="B349" s="7">
        <v>2018</v>
      </c>
      <c r="D349" s="9" t="s">
        <v>48</v>
      </c>
      <c r="E349" s="7" t="str" cm="1">
        <f t="array" ref="E349">_xlfn.IFS(D349=policy_name_clustering!$A$2,policy_name_clustering!$C$2,D349=policy_name_clustering!$A$3,policy_name_clustering!$C$3,D349=policy_name_clustering!$A$4,policy_name_clustering!$C$4,D349=policy_name_clustering!$A$5,policy_name_clustering!$C$5,D349=policy_name_clustering!$A$6,policy_name_clustering!$C$6,D349=policy_name_clustering!$A$7,policy_name_clustering!$C$7,D349=policy_name_clustering!$A$8,policy_name_clustering!$C$8,D349=policy_name_clustering!$A$9,policy_name_clustering!$C$9,D349=policy_name_clustering!$A$10,policy_name_clustering!$C$10,D349=policy_name_clustering!$A$11,policy_name_clustering!$C$11,D349=policy_name_clustering!$A$12,policy_name_clustering!$C$12,D349="-","")</f>
        <v>FiT/FiP-based</v>
      </c>
      <c r="F349" s="7">
        <f t="shared" si="12"/>
        <v>18207.617800705</v>
      </c>
      <c r="I349" s="7">
        <f t="shared" si="13"/>
        <v>18897.080894872801</v>
      </c>
      <c r="K349" s="7" t="str" cm="1">
        <f t="array" ref="K349">IF(ISNUMBER(H349),_xlfn.IFS(D349= ""," ",D349&lt;&gt; " ",F349*(G349/H349)),"")</f>
        <v/>
      </c>
    </row>
    <row r="350" spans="1:11" s="7" customFormat="1" hidden="1" x14ac:dyDescent="0.35">
      <c r="A350" s="7" t="s">
        <v>20</v>
      </c>
      <c r="B350" s="7">
        <v>2019</v>
      </c>
      <c r="C350" s="13" t="s">
        <v>106</v>
      </c>
      <c r="D350" s="9" t="s">
        <v>48</v>
      </c>
      <c r="E350" s="7" t="str" cm="1">
        <f t="array" ref="E350">_xlfn.IFS(D350=policy_name_clustering!$A$2,policy_name_clustering!$C$2,D350=policy_name_clustering!$A$3,policy_name_clustering!$C$3,D350=policy_name_clustering!$A$4,policy_name_clustering!$C$4,D350=policy_name_clustering!$A$5,policy_name_clustering!$C$5,D350=policy_name_clustering!$A$6,policy_name_clustering!$C$6,D350=policy_name_clustering!$A$7,policy_name_clustering!$C$7,D350=policy_name_clustering!$A$8,policy_name_clustering!$C$8,D350=policy_name_clustering!$A$9,policy_name_clustering!$C$9,D350=policy_name_clustering!$A$10,policy_name_clustering!$C$10,D350=policy_name_clustering!$A$11,policy_name_clustering!$C$11,D350=policy_name_clustering!$A$12,policy_name_clustering!$C$12,D350="-","")</f>
        <v>FiT/FiP-based</v>
      </c>
      <c r="F350" s="7">
        <f t="shared" si="12"/>
        <v>18207.617800705</v>
      </c>
      <c r="I350" s="7">
        <f t="shared" si="13"/>
        <v>18897.080894872801</v>
      </c>
      <c r="K350" s="7" t="str" cm="1">
        <f t="array" ref="K350">IF(ISNUMBER(H350),_xlfn.IFS(D350= ""," ",D350&lt;&gt; " ",F350*(G350/H350)),"")</f>
        <v/>
      </c>
    </row>
    <row r="351" spans="1:11" s="7" customFormat="1" hidden="1" x14ac:dyDescent="0.35">
      <c r="A351" s="7" t="s">
        <v>20</v>
      </c>
      <c r="B351" s="7">
        <v>2020</v>
      </c>
      <c r="D351" s="9" t="s">
        <v>48</v>
      </c>
      <c r="E351" s="7" t="str" cm="1">
        <f t="array" ref="E351">_xlfn.IFS(D351=policy_name_clustering!$A$2,policy_name_clustering!$C$2,D351=policy_name_clustering!$A$3,policy_name_clustering!$C$3,D351=policy_name_clustering!$A$4,policy_name_clustering!$C$4,D351=policy_name_clustering!$A$5,policy_name_clustering!$C$5,D351=policy_name_clustering!$A$6,policy_name_clustering!$C$6,D351=policy_name_clustering!$A$7,policy_name_clustering!$C$7,D351=policy_name_clustering!$A$8,policy_name_clustering!$C$8,D351=policy_name_clustering!$A$9,policy_name_clustering!$C$9,D351=policy_name_clustering!$A$10,policy_name_clustering!$C$10,D351=policy_name_clustering!$A$11,policy_name_clustering!$C$11,D351=policy_name_clustering!$A$12,policy_name_clustering!$C$12,D351="-","")</f>
        <v>FiT/FiP-based</v>
      </c>
      <c r="F351" s="7">
        <f t="shared" si="12"/>
        <v>18207.617800705</v>
      </c>
      <c r="I351" s="7">
        <f t="shared" si="13"/>
        <v>18897.080894872801</v>
      </c>
      <c r="K351" s="7" t="str" cm="1">
        <f t="array" ref="K351">IF(ISNUMBER(H351),_xlfn.IFS(D351= ""," ",D351&lt;&gt; " ",F351*(G351/H351)),"")</f>
        <v/>
      </c>
    </row>
    <row r="352" spans="1:11" s="7" customFormat="1" hidden="1" x14ac:dyDescent="0.35">
      <c r="A352" s="7" t="s">
        <v>20</v>
      </c>
      <c r="B352" s="7">
        <v>2021</v>
      </c>
      <c r="D352" s="9" t="s">
        <v>48</v>
      </c>
      <c r="E352" s="7" t="str" cm="1">
        <f t="array" ref="E352">_xlfn.IFS(D352=policy_name_clustering!$A$2,policy_name_clustering!$C$2,D352=policy_name_clustering!$A$3,policy_name_clustering!$C$3,D352=policy_name_clustering!$A$4,policy_name_clustering!$C$4,D352=policy_name_clustering!$A$5,policy_name_clustering!$C$5,D352=policy_name_clustering!$A$6,policy_name_clustering!$C$6,D352=policy_name_clustering!$A$7,policy_name_clustering!$C$7,D352=policy_name_clustering!$A$8,policy_name_clustering!$C$8,D352=policy_name_clustering!$A$9,policy_name_clustering!$C$9,D352=policy_name_clustering!$A$10,policy_name_clustering!$C$10,D352=policy_name_clustering!$A$11,policy_name_clustering!$C$11,D352=policy_name_clustering!$A$12,policy_name_clustering!$C$12,D352="-","")</f>
        <v>FiT/FiP-based</v>
      </c>
      <c r="F352" s="7">
        <f t="shared" si="12"/>
        <v>18207.617800705</v>
      </c>
      <c r="I352" s="7">
        <f t="shared" si="13"/>
        <v>18897.080894872801</v>
      </c>
      <c r="K352" s="7" t="str" cm="1">
        <f t="array" ref="K352">IF(ISNUMBER(H352),_xlfn.IFS(D352= ""," ",D352&lt;&gt; " ",F352*(G352/H352)),"")</f>
        <v/>
      </c>
    </row>
    <row r="353" spans="1:11" s="7" customFormat="1" hidden="1" x14ac:dyDescent="0.35">
      <c r="A353" s="7" t="s">
        <v>20</v>
      </c>
      <c r="B353" s="7">
        <v>2022</v>
      </c>
      <c r="D353" s="9" t="s">
        <v>48</v>
      </c>
      <c r="E353" s="7" t="str" cm="1">
        <f t="array" ref="E353">_xlfn.IFS(D353=policy_name_clustering!$A$2,policy_name_clustering!$C$2,D353=policy_name_clustering!$A$3,policy_name_clustering!$C$3,D353=policy_name_clustering!$A$4,policy_name_clustering!$C$4,D353=policy_name_clustering!$A$5,policy_name_clustering!$C$5,D353=policy_name_clustering!$A$6,policy_name_clustering!$C$6,D353=policy_name_clustering!$A$7,policy_name_clustering!$C$7,D353=policy_name_clustering!$A$8,policy_name_clustering!$C$8,D353=policy_name_clustering!$A$9,policy_name_clustering!$C$9,D353=policy_name_clustering!$A$10,policy_name_clustering!$C$10,D353=policy_name_clustering!$A$11,policy_name_clustering!$C$11,D353=policy_name_clustering!$A$12,policy_name_clustering!$C$12,D353="-","")</f>
        <v>FiT/FiP-based</v>
      </c>
      <c r="F353" s="7">
        <f t="shared" si="12"/>
        <v>18207.617800705</v>
      </c>
      <c r="I353" s="7">
        <f t="shared" si="13"/>
        <v>18897.080894872801</v>
      </c>
      <c r="K353" s="7" t="str" cm="1">
        <f t="array" ref="K353">IF(ISNUMBER(H353),_xlfn.IFS(D353= ""," ",D353&lt;&gt; " ",F353*(G353/H353)),"")</f>
        <v/>
      </c>
    </row>
    <row r="354" spans="1:11" s="7" customFormat="1" hidden="1" x14ac:dyDescent="0.35">
      <c r="A354" s="7" t="s">
        <v>20</v>
      </c>
      <c r="B354" s="7">
        <v>2023</v>
      </c>
      <c r="D354" s="9" t="s">
        <v>48</v>
      </c>
      <c r="E354" s="7" t="str" cm="1">
        <f t="array" ref="E354">_xlfn.IFS(D354=policy_name_clustering!$A$2,policy_name_clustering!$C$2,D354=policy_name_clustering!$A$3,policy_name_clustering!$C$3,D354=policy_name_clustering!$A$4,policy_name_clustering!$C$4,D354=policy_name_clustering!$A$5,policy_name_clustering!$C$5,D354=policy_name_clustering!$A$6,policy_name_clustering!$C$6,D354=policy_name_clustering!$A$7,policy_name_clustering!$C$7,D354=policy_name_clustering!$A$8,policy_name_clustering!$C$8,D354=policy_name_clustering!$A$9,policy_name_clustering!$C$9,D354=policy_name_clustering!$A$10,policy_name_clustering!$C$10,D354=policy_name_clustering!$A$11,policy_name_clustering!$C$11,D354=policy_name_clustering!$A$12,policy_name_clustering!$C$12,D354="-","")</f>
        <v>FiT/FiP-based</v>
      </c>
      <c r="F354" s="7">
        <f t="shared" si="12"/>
        <v>18207.617800705</v>
      </c>
      <c r="I354" s="7">
        <f t="shared" si="13"/>
        <v>18897.080894872801</v>
      </c>
      <c r="K354" s="7" t="str" cm="1">
        <f t="array" ref="K354">IF(ISNUMBER(H354),_xlfn.IFS(D354= ""," ",D354&lt;&gt; " ",F354*(G354/H354)),"")</f>
        <v/>
      </c>
    </row>
    <row r="355" spans="1:11" s="7" customFormat="1" hidden="1" x14ac:dyDescent="0.35">
      <c r="A355" s="7" t="s">
        <v>20</v>
      </c>
      <c r="B355" s="7">
        <v>2015</v>
      </c>
      <c r="C355" s="7" t="s">
        <v>112</v>
      </c>
      <c r="D355" s="7" t="s">
        <v>126</v>
      </c>
      <c r="E355" s="7" t="str" cm="1">
        <f t="array" ref="E355">_xlfn.IFS(D355=policy_name_clustering!$A$2,policy_name_clustering!$C$2,D355=policy_name_clustering!$A$3,policy_name_clustering!$C$3,D355=policy_name_clustering!$A$4,policy_name_clustering!$C$4,D355=policy_name_clustering!$A$5,policy_name_clustering!$C$5,D355=policy_name_clustering!$A$6,policy_name_clustering!$C$6,D355=policy_name_clustering!$A$7,policy_name_clustering!$C$7,D355=policy_name_clustering!$A$8,policy_name_clustering!$C$8,D355=policy_name_clustering!$A$9,policy_name_clustering!$C$9,D355=policy_name_clustering!$A$10,policy_name_clustering!$C$10,D355=policy_name_clustering!$A$11,policy_name_clustering!$C$11,D355=policy_name_clustering!$A$12,policy_name_clustering!$C$12,D355="-","")</f>
        <v>Tax-based</v>
      </c>
      <c r="F355" s="7">
        <f>policy_contributions_cum!F117</f>
        <v>401.758643533346</v>
      </c>
      <c r="G355" s="7">
        <f>solar_cum_cap!C317</f>
        <v>18901</v>
      </c>
      <c r="H355" s="7">
        <f>estimated_capacity!C303</f>
        <v>18197.005625842401</v>
      </c>
      <c r="I355" s="7" cm="1">
        <f t="array" ref="I355">_xlfn.IFS(D355= ""," ",D355&lt;&gt; " ",F355*(G355/H355))</f>
        <v>417.30163069465107</v>
      </c>
      <c r="J355" s="7" cm="1">
        <f t="array" ref="J355">_xlfn.IFS(D355= ""," ",D355&lt;&gt; " ",(H355-F355)*(G355/H355)-$I$345)</f>
        <v>-413.38252556745283</v>
      </c>
      <c r="K355" s="7" cm="1">
        <f t="array" ref="K355">IF(ISNUMBER(H355),_xlfn.IFS(D355= ""," ",D355&lt;&gt; " ",F355*(G355/H355)),"")</f>
        <v>417.30163069465107</v>
      </c>
    </row>
    <row r="356" spans="1:11" s="7" customFormat="1" hidden="1" x14ac:dyDescent="0.35">
      <c r="A356" s="7" t="s">
        <v>20</v>
      </c>
      <c r="B356" s="7">
        <v>2016</v>
      </c>
      <c r="C356" s="7" t="s">
        <v>112</v>
      </c>
      <c r="D356" s="7" t="s">
        <v>126</v>
      </c>
      <c r="E356" s="7" t="str" cm="1">
        <f t="array" ref="E356">_xlfn.IFS(D356=policy_name_clustering!$A$2,policy_name_clustering!$C$2,D356=policy_name_clustering!$A$3,policy_name_clustering!$C$3,D356=policy_name_clustering!$A$4,policy_name_clustering!$C$4,D356=policy_name_clustering!$A$5,policy_name_clustering!$C$5,D356=policy_name_clustering!$A$6,policy_name_clustering!$C$6,D356=policy_name_clustering!$A$7,policy_name_clustering!$C$7,D356=policy_name_clustering!$A$8,policy_name_clustering!$C$8,D356=policy_name_clustering!$A$9,policy_name_clustering!$C$9,D356=policy_name_clustering!$A$10,policy_name_clustering!$C$10,D356=policy_name_clustering!$A$11,policy_name_clustering!$C$11,D356=policy_name_clustering!$A$12,policy_name_clustering!$C$12,D356="-","")</f>
        <v>Tax-based</v>
      </c>
      <c r="F356" s="7">
        <f>policy_contributions_cum!F118</f>
        <v>1027.83891830229</v>
      </c>
      <c r="G356" s="7">
        <f>solar_cum_cap!C318</f>
        <v>19283</v>
      </c>
      <c r="H356" s="7">
        <f>estimated_capacity!C304</f>
        <v>18582.0662553074</v>
      </c>
      <c r="I356" s="7" cm="1">
        <f t="array" ref="I356">_xlfn.IFS(D356= ""," ",D356&lt;&gt; " ",F356*(G356/H356))</f>
        <v>1066.6100093127229</v>
      </c>
      <c r="J356" s="7" cm="1">
        <f t="array" ref="J356">_xlfn.IFS(D356= ""," ",D356&lt;&gt; " ",(H356-F356)*(G356/H356)-$I$345)</f>
        <v>-680.6909041855215</v>
      </c>
      <c r="K356" s="7" cm="1">
        <f t="array" ref="K356">IF(ISNUMBER(H356),_xlfn.IFS(D356= ""," ",D356&lt;&gt; " ",F356*(G356/H356)),"")</f>
        <v>1066.6100093127229</v>
      </c>
    </row>
    <row r="357" spans="1:11" s="7" customFormat="1" hidden="1" x14ac:dyDescent="0.35">
      <c r="A357" s="7" t="s">
        <v>20</v>
      </c>
      <c r="B357" s="7">
        <v>2017</v>
      </c>
      <c r="C357" s="7" t="s">
        <v>112</v>
      </c>
      <c r="D357" s="7" t="s">
        <v>126</v>
      </c>
      <c r="E357" s="7" t="str" cm="1">
        <f t="array" ref="E357">_xlfn.IFS(D357=policy_name_clustering!$A$2,policy_name_clustering!$C$2,D357=policy_name_clustering!$A$3,policy_name_clustering!$C$3,D357=policy_name_clustering!$A$4,policy_name_clustering!$C$4,D357=policy_name_clustering!$A$5,policy_name_clustering!$C$5,D357=policy_name_clustering!$A$6,policy_name_clustering!$C$6,D357=policy_name_clustering!$A$7,policy_name_clustering!$C$7,D357=policy_name_clustering!$A$8,policy_name_clustering!$C$8,D357=policy_name_clustering!$A$9,policy_name_clustering!$C$9,D357=policy_name_clustering!$A$10,policy_name_clustering!$C$10,D357=policy_name_clustering!$A$11,policy_name_clustering!$C$11,D357=policy_name_clustering!$A$12,policy_name_clustering!$C$12,D357="-","")</f>
        <v>Tax-based</v>
      </c>
      <c r="F357" s="7">
        <f>policy_contributions_cum!F119</f>
        <v>1908.12124902192</v>
      </c>
      <c r="G357" s="7">
        <f>solar_cum_cap!C319</f>
        <v>19682.293000000001</v>
      </c>
      <c r="H357" s="7">
        <f>estimated_capacity!C305</f>
        <v>19178.022920192099</v>
      </c>
      <c r="I357" s="7" cm="1">
        <f t="array" ref="I357">_xlfn.IFS(D357= ""," ",D357&lt;&gt; " ",F357*(G357/H357))</f>
        <v>1958.2937020704742</v>
      </c>
      <c r="J357" s="7" cm="1">
        <f t="array" ref="J357">_xlfn.IFS(D357= ""," ",D357&lt;&gt; " ",(H357-F357)*(G357/H357)-$I$345)</f>
        <v>-1173.0815969432733</v>
      </c>
      <c r="K357" s="7" cm="1">
        <f t="array" ref="K357">IF(ISNUMBER(H357),_xlfn.IFS(D357= ""," ",D357&lt;&gt; " ",F357*(G357/H357)),"")</f>
        <v>1958.2937020704742</v>
      </c>
    </row>
    <row r="358" spans="1:11" s="7" customFormat="1" hidden="1" x14ac:dyDescent="0.35">
      <c r="A358" s="7" t="s">
        <v>20</v>
      </c>
      <c r="B358" s="7">
        <v>2018</v>
      </c>
      <c r="C358" s="7" t="s">
        <v>112</v>
      </c>
      <c r="D358" s="7" t="s">
        <v>126</v>
      </c>
      <c r="E358" s="7" t="str" cm="1">
        <f t="array" ref="E358">_xlfn.IFS(D358=policy_name_clustering!$A$2,policy_name_clustering!$C$2,D358=policy_name_clustering!$A$3,policy_name_clustering!$C$3,D358=policy_name_clustering!$A$4,policy_name_clustering!$C$4,D358=policy_name_clustering!$A$5,policy_name_clustering!$C$5,D358=policy_name_clustering!$A$6,policy_name_clustering!$C$6,D358=policy_name_clustering!$A$7,policy_name_clustering!$C$7,D358=policy_name_clustering!$A$8,policy_name_clustering!$C$8,D358=policy_name_clustering!$A$9,policy_name_clustering!$C$9,D358=policy_name_clustering!$A$10,policy_name_clustering!$C$10,D358=policy_name_clustering!$A$11,policy_name_clustering!$C$11,D358=policy_name_clustering!$A$12,policy_name_clustering!$C$12,D358="-","")</f>
        <v>Tax-based</v>
      </c>
      <c r="F358" s="7">
        <f>policy_contributions_cum!F120</f>
        <v>3063.5401249583101</v>
      </c>
      <c r="G358" s="7">
        <f>solar_cum_cap!C320</f>
        <v>20107.589</v>
      </c>
      <c r="H358" s="7">
        <f>estimated_capacity!C306</f>
        <v>20030.427599834398</v>
      </c>
      <c r="I358" s="7" cm="1">
        <f t="array" ref="I358">_xlfn.IFS(D358= ""," ",D358&lt;&gt; " ",F358*(G358/H358))</f>
        <v>3075.3415228229887</v>
      </c>
      <c r="J358" s="7" cm="1">
        <f t="array" ref="J358">_xlfn.IFS(D358= ""," ",D358&lt;&gt; " ",(H358-F358)*(G358/H358)-$I$345)</f>
        <v>-1864.8334176957906</v>
      </c>
      <c r="K358" s="7" cm="1">
        <f t="array" ref="K358">IF(ISNUMBER(H358),_xlfn.IFS(D358= ""," ",D358&lt;&gt; " ",F358*(G358/H358)),"")</f>
        <v>3075.3415228229887</v>
      </c>
    </row>
    <row r="359" spans="1:11" s="7" customFormat="1" hidden="1" x14ac:dyDescent="0.35">
      <c r="A359" s="7" t="s">
        <v>20</v>
      </c>
      <c r="B359" s="7">
        <v>2019</v>
      </c>
      <c r="C359" s="7" t="s">
        <v>113</v>
      </c>
      <c r="D359" s="7" t="s">
        <v>126</v>
      </c>
      <c r="E359" s="7" t="str" cm="1">
        <f t="array" ref="E359">_xlfn.IFS(D359=policy_name_clustering!$A$2,policy_name_clustering!$C$2,D359=policy_name_clustering!$A$3,policy_name_clustering!$C$3,D359=policy_name_clustering!$A$4,policy_name_clustering!$C$4,D359=policy_name_clustering!$A$5,policy_name_clustering!$C$5,D359=policy_name_clustering!$A$6,policy_name_clustering!$C$6,D359=policy_name_clustering!$A$7,policy_name_clustering!$C$7,D359=policy_name_clustering!$A$8,policy_name_clustering!$C$8,D359=policy_name_clustering!$A$9,policy_name_clustering!$C$9,D359=policy_name_clustering!$A$10,policy_name_clustering!$C$10,D359=policy_name_clustering!$A$11,policy_name_clustering!$C$11,D359=policy_name_clustering!$A$12,policy_name_clustering!$C$12,D359="-","")</f>
        <v>Tax-based</v>
      </c>
      <c r="F359" s="7">
        <f>policy_contributions_cum!F121</f>
        <v>4344.3472916475803</v>
      </c>
      <c r="G359" s="7">
        <f>solar_cum_cap!C321</f>
        <v>20865.275000000001</v>
      </c>
      <c r="H359" s="7">
        <f>estimated_capacity!C307</f>
        <v>20999.559024394901</v>
      </c>
      <c r="I359" s="7" cm="1">
        <f t="array" ref="I359">_xlfn.IFS(D359= ""," ",D359&lt;&gt; " ",F359*(G359/H359))</f>
        <v>4316.5668779249008</v>
      </c>
      <c r="J359" s="7" cm="1">
        <f t="array" ref="J359">_xlfn.IFS(D359= ""," ",D359&lt;&gt; " ",(H359-F359)*(G359/H359)-$I$345)</f>
        <v>-2348.3727727977021</v>
      </c>
      <c r="K359" s="7" cm="1">
        <f t="array" ref="K359">IF(ISNUMBER(H359),_xlfn.IFS(D359= ""," ",D359&lt;&gt; " ",F359*(G359/H359)),"")</f>
        <v>4316.5668779249008</v>
      </c>
    </row>
    <row r="360" spans="1:11" s="7" customFormat="1" hidden="1" x14ac:dyDescent="0.35">
      <c r="A360" s="7" t="s">
        <v>20</v>
      </c>
      <c r="B360" s="7">
        <v>2020</v>
      </c>
      <c r="C360" s="7" t="s">
        <v>112</v>
      </c>
      <c r="D360" s="7" t="s">
        <v>126</v>
      </c>
      <c r="E360" s="7" t="str" cm="1">
        <f t="array" ref="E360">_xlfn.IFS(D360=policy_name_clustering!$A$2,policy_name_clustering!$C$2,D360=policy_name_clustering!$A$3,policy_name_clustering!$C$3,D360=policy_name_clustering!$A$4,policy_name_clustering!$C$4,D360=policy_name_clustering!$A$5,policy_name_clustering!$C$5,D360=policy_name_clustering!$A$6,policy_name_clustering!$C$6,D360=policy_name_clustering!$A$7,policy_name_clustering!$C$7,D360=policy_name_clustering!$A$8,policy_name_clustering!$C$8,D360=policy_name_clustering!$A$9,policy_name_clustering!$C$9,D360=policy_name_clustering!$A$10,policy_name_clustering!$C$10,D360=policy_name_clustering!$A$11,policy_name_clustering!$C$11,D360=policy_name_clustering!$A$12,policy_name_clustering!$C$12,D360="-","")</f>
        <v>Tax-based</v>
      </c>
      <c r="F360" s="7">
        <f>policy_contributions_cum!F122</f>
        <v>5690.9659009536099</v>
      </c>
      <c r="G360" s="7">
        <f>solar_cum_cap!C322</f>
        <v>21650.04</v>
      </c>
      <c r="H360" s="7">
        <f>estimated_capacity!C308</f>
        <v>22031.293791529501</v>
      </c>
      <c r="I360" s="7" cm="1">
        <f t="array" ref="I360">_xlfn.IFS(D360= ""," ",D360&lt;&gt; " ",F360*(G360/H360))</f>
        <v>5592.4831541964559</v>
      </c>
      <c r="J360" s="7" cm="1">
        <f t="array" ref="J360">_xlfn.IFS(D360= ""," ",D360&lt;&gt; " ",(H360-F360)*(G360/H360)-$I$345)</f>
        <v>-2839.5240490692559</v>
      </c>
      <c r="K360" s="7" cm="1">
        <f t="array" ref="K360">IF(ISNUMBER(H360),_xlfn.IFS(D360= ""," ",D360&lt;&gt; " ",F360*(G360/H360)),"")</f>
        <v>5592.4831541964559</v>
      </c>
    </row>
    <row r="361" spans="1:11" s="7" customFormat="1" hidden="1" x14ac:dyDescent="0.35">
      <c r="A361" s="7" t="s">
        <v>20</v>
      </c>
      <c r="B361" s="7">
        <v>2021</v>
      </c>
      <c r="C361" s="7" t="s">
        <v>112</v>
      </c>
      <c r="D361" s="7" t="s">
        <v>126</v>
      </c>
      <c r="E361" s="7" t="str" cm="1">
        <f t="array" ref="E361">_xlfn.IFS(D361=policy_name_clustering!$A$2,policy_name_clustering!$C$2,D361=policy_name_clustering!$A$3,policy_name_clustering!$C$3,D361=policy_name_clustering!$A$4,policy_name_clustering!$C$4,D361=policy_name_clustering!$A$5,policy_name_clustering!$C$5,D361=policy_name_clustering!$A$6,policy_name_clustering!$C$6,D361=policy_name_clustering!$A$7,policy_name_clustering!$C$7,D361=policy_name_clustering!$A$8,policy_name_clustering!$C$8,D361=policy_name_clustering!$A$9,policy_name_clustering!$C$9,D361=policy_name_clustering!$A$10,policy_name_clustering!$C$10,D361=policy_name_clustering!$A$11,policy_name_clustering!$C$11,D361=policy_name_clustering!$A$12,policy_name_clustering!$C$12,D361="-","")</f>
        <v>Tax-based</v>
      </c>
      <c r="F361" s="7">
        <f>policy_contributions_cum!F123</f>
        <v>7214.5607854137897</v>
      </c>
      <c r="G361" s="7">
        <f>solar_cum_cap!C323</f>
        <v>22280.951000000001</v>
      </c>
      <c r="H361" s="7">
        <f>estimated_capacity!C309</f>
        <v>23238.946045188601</v>
      </c>
      <c r="I361" s="7" cm="1">
        <f t="array" ref="I361">_xlfn.IFS(D361= ""," ",D361&lt;&gt; " ",F361*(G361/H361))</f>
        <v>6917.1499875144873</v>
      </c>
      <c r="J361" s="7" cm="1">
        <f t="array" ref="J361">_xlfn.IFS(D361= ""," ",D361&lt;&gt; " ",(H361-F361)*(G361/H361)-$I$345)</f>
        <v>-3533.2798823872872</v>
      </c>
      <c r="K361" s="7" cm="1">
        <f t="array" ref="K361">IF(ISNUMBER(H361),_xlfn.IFS(D361= ""," ",D361&lt;&gt; " ",F361*(G361/H361)),"")</f>
        <v>6917.1499875144873</v>
      </c>
    </row>
    <row r="362" spans="1:11" s="7" customFormat="1" hidden="1" x14ac:dyDescent="0.35">
      <c r="A362" s="7" t="s">
        <v>20</v>
      </c>
      <c r="B362" s="7">
        <v>2022</v>
      </c>
      <c r="C362" s="7" t="s">
        <v>112</v>
      </c>
      <c r="D362" s="7" t="s">
        <v>126</v>
      </c>
      <c r="E362" s="7" t="str" cm="1">
        <f t="array" ref="E362">_xlfn.IFS(D362=policy_name_clustering!$A$2,policy_name_clustering!$C$2,D362=policy_name_clustering!$A$3,policy_name_clustering!$C$3,D362=policy_name_clustering!$A$4,policy_name_clustering!$C$4,D362=policy_name_clustering!$A$5,policy_name_clustering!$C$5,D362=policy_name_clustering!$A$6,policy_name_clustering!$C$6,D362=policy_name_clustering!$A$7,policy_name_clustering!$C$7,D362=policy_name_clustering!$A$8,policy_name_clustering!$C$8,D362=policy_name_clustering!$A$9,policy_name_clustering!$C$9,D362=policy_name_clustering!$A$10,policy_name_clustering!$C$10,D362=policy_name_clustering!$A$11,policy_name_clustering!$C$11,D362=policy_name_clustering!$A$12,policy_name_clustering!$C$12,D362="-","")</f>
        <v>Tax-based</v>
      </c>
      <c r="F362" s="7">
        <f>policy_contributions_cum!F124</f>
        <v>9518.1125547279207</v>
      </c>
      <c r="G362" s="7">
        <f>solar_cum_cap!C324</f>
        <v>24555.248</v>
      </c>
      <c r="H362" s="7">
        <f>estimated_capacity!C310</f>
        <v>25226.240489878899</v>
      </c>
      <c r="I362" s="7" cm="1">
        <f t="array" ref="I362">_xlfn.IFS(D362= ""," ",D362&lt;&gt; " ",F362*(G362/H362))</f>
        <v>9264.9403848753864</v>
      </c>
      <c r="J362" s="7" cm="1">
        <f t="array" ref="J362">_xlfn.IFS(D362= ""," ",D362&lt;&gt; " ",(H362-F362)*(G362/H362)-$I$345)</f>
        <v>-3606.7732797481876</v>
      </c>
      <c r="K362" s="7" cm="1">
        <f t="array" ref="K362">IF(ISNUMBER(H362),_xlfn.IFS(D362= ""," ",D362&lt;&gt; " ",F362*(G362/H362)),"")</f>
        <v>9264.9403848753864</v>
      </c>
    </row>
    <row r="363" spans="1:11" s="7" customFormat="1" hidden="1" x14ac:dyDescent="0.35">
      <c r="A363" s="7" t="s">
        <v>20</v>
      </c>
      <c r="B363" s="7">
        <v>2023</v>
      </c>
      <c r="C363" s="7" t="s">
        <v>112</v>
      </c>
      <c r="D363" s="7" t="s">
        <v>126</v>
      </c>
      <c r="E363" s="7" t="str" cm="1">
        <f t="array" ref="E363">_xlfn.IFS(D363=policy_name_clustering!$A$2,policy_name_clustering!$C$2,D363=policy_name_clustering!$A$3,policy_name_clustering!$C$3,D363=policy_name_clustering!$A$4,policy_name_clustering!$C$4,D363=policy_name_clustering!$A$5,policy_name_clustering!$C$5,D363=policy_name_clustering!$A$6,policy_name_clustering!$C$6,D363=policy_name_clustering!$A$7,policy_name_clustering!$C$7,D363=policy_name_clustering!$A$8,policy_name_clustering!$C$8,D363=policy_name_clustering!$A$9,policy_name_clustering!$C$9,D363=policy_name_clustering!$A$10,policy_name_clustering!$C$10,D363=policy_name_clustering!$A$11,policy_name_clustering!$C$11,D363=policy_name_clustering!$A$12,policy_name_clustering!$C$12,D363="-","")</f>
        <v>Tax-based</v>
      </c>
      <c r="F363" s="7">
        <f>policy_contributions_cum!F125</f>
        <v>12445.108824254899</v>
      </c>
      <c r="G363" s="7">
        <f>solar_cum_cap!C325</f>
        <v>29351.396000000001</v>
      </c>
      <c r="H363" s="7">
        <f>estimated_capacity!C311</f>
        <v>27836.7988658533</v>
      </c>
      <c r="I363" s="7" cm="1">
        <f t="array" ref="I363">_xlfn.IFS(D363= ""," ",D363&lt;&gt; " ",F363*(G363/H363))</f>
        <v>13122.245812965275</v>
      </c>
      <c r="J363" s="7" cm="1">
        <f t="array" ref="J363">_xlfn.IFS(D363= ""," ",D363&lt;&gt; " ",(H363-F363)*(G363/H363)-$I$345)</f>
        <v>-2667.9307078380753</v>
      </c>
      <c r="K363" s="7" cm="1">
        <f t="array" ref="K363">IF(ISNUMBER(H363),_xlfn.IFS(D363= ""," ",D363&lt;&gt; " ",F363*(G363/H363)),"")</f>
        <v>13122.245812965275</v>
      </c>
    </row>
    <row r="364" spans="1:11" s="7" customFormat="1" hidden="1" x14ac:dyDescent="0.35">
      <c r="A364" s="7" t="s">
        <v>37</v>
      </c>
      <c r="B364" s="7">
        <v>2002</v>
      </c>
      <c r="D364" s="7" t="s">
        <v>73</v>
      </c>
      <c r="E364" s="7" t="str" cm="1">
        <f t="array" ref="E364">_xlfn.IFS(D364=policy_name_clustering!$A$2,policy_name_clustering!$C$2,D364=policy_name_clustering!$A$3,policy_name_clustering!$C$3,D364=policy_name_clustering!$A$4,policy_name_clustering!$C$4,D364=policy_name_clustering!$A$5,policy_name_clustering!$C$5,D364=policy_name_clustering!$A$6,policy_name_clustering!$C$6,D364=policy_name_clustering!$A$7,policy_name_clustering!$C$7,D364=policy_name_clustering!$A$8,policy_name_clustering!$C$8,D364=policy_name_clustering!$A$9,policy_name_clustering!$C$9,D364=policy_name_clustering!$A$10,policy_name_clustering!$C$10,D364=policy_name_clustering!$A$11,policy_name_clustering!$C$11,D364=policy_name_clustering!$A$12,policy_name_clustering!$C$12,D364="-","")</f>
        <v/>
      </c>
      <c r="G364" s="7">
        <f>solar_cum_cap!C327</f>
        <v>0</v>
      </c>
      <c r="H364" s="7">
        <f>estimated_capacity!C312</f>
        <v>-84.011250100076595</v>
      </c>
      <c r="I364" s="7" cm="1">
        <f t="array" ref="I364">_xlfn.IFS(D364= ""," ",D364&lt;&gt; " ",F364*(G364/H364))</f>
        <v>0</v>
      </c>
      <c r="J364" s="7" cm="1">
        <f t="array" ref="J364">_xlfn.IFS(D364= ""," ",D364&lt;&gt; " ",(H364-F364)*(G364/H364))</f>
        <v>0</v>
      </c>
      <c r="K364" s="7" cm="1">
        <f t="array" ref="K364">IF(ISNUMBER(H364),_xlfn.IFS(D364= ""," ",D364&lt;&gt; " ",F364*(G364/H364)),"")</f>
        <v>0</v>
      </c>
    </row>
    <row r="365" spans="1:11" s="7" customFormat="1" hidden="1" x14ac:dyDescent="0.35">
      <c r="A365" s="7" t="s">
        <v>37</v>
      </c>
      <c r="B365" s="7">
        <v>2003</v>
      </c>
      <c r="D365" s="7" t="s">
        <v>73</v>
      </c>
      <c r="E365" s="7" t="str" cm="1">
        <f t="array" ref="E365">_xlfn.IFS(D365=policy_name_clustering!$A$2,policy_name_clustering!$C$2,D365=policy_name_clustering!$A$3,policy_name_clustering!$C$3,D365=policy_name_clustering!$A$4,policy_name_clustering!$C$4,D365=policy_name_clustering!$A$5,policy_name_clustering!$C$5,D365=policy_name_clustering!$A$6,policy_name_clustering!$C$6,D365=policy_name_clustering!$A$7,policy_name_clustering!$C$7,D365=policy_name_clustering!$A$8,policy_name_clustering!$C$8,D365=policy_name_clustering!$A$9,policy_name_clustering!$C$9,D365=policy_name_clustering!$A$10,policy_name_clustering!$C$10,D365=policy_name_clustering!$A$11,policy_name_clustering!$C$11,D365=policy_name_clustering!$A$12,policy_name_clustering!$C$12,D365="-","")</f>
        <v/>
      </c>
      <c r="G365" s="7">
        <f>solar_cum_cap!C328</f>
        <v>0</v>
      </c>
      <c r="H365" s="7">
        <f>estimated_capacity!C313</f>
        <v>-152.31172712054101</v>
      </c>
      <c r="I365" s="7" cm="1">
        <f t="array" ref="I365">_xlfn.IFS(D365= ""," ",D365&lt;&gt; " ",F365*(G365/H365))</f>
        <v>0</v>
      </c>
      <c r="J365" s="7" cm="1">
        <f t="array" ref="J365">_xlfn.IFS(D365= ""," ",D365&lt;&gt; " ",(H365-F365)*(G365/H365))</f>
        <v>0</v>
      </c>
      <c r="K365" s="7" cm="1">
        <f t="array" ref="K365">IF(ISNUMBER(H365),_xlfn.IFS(D365= ""," ",D365&lt;&gt; " ",F365*(G365/H365)),"")</f>
        <v>0</v>
      </c>
    </row>
    <row r="366" spans="1:11" s="7" customFormat="1" hidden="1" x14ac:dyDescent="0.35">
      <c r="A366" s="7" t="s">
        <v>37</v>
      </c>
      <c r="B366" s="7">
        <v>2004</v>
      </c>
      <c r="D366" s="7" t="s">
        <v>73</v>
      </c>
      <c r="E366" s="7" t="str" cm="1">
        <f t="array" ref="E366">_xlfn.IFS(D366=policy_name_clustering!$A$2,policy_name_clustering!$C$2,D366=policy_name_clustering!$A$3,policy_name_clustering!$C$3,D366=policy_name_clustering!$A$4,policy_name_clustering!$C$4,D366=policy_name_clustering!$A$5,policy_name_clustering!$C$5,D366=policy_name_clustering!$A$6,policy_name_clustering!$C$6,D366=policy_name_clustering!$A$7,policy_name_clustering!$C$7,D366=policy_name_clustering!$A$8,policy_name_clustering!$C$8,D366=policy_name_clustering!$A$9,policy_name_clustering!$C$9,D366=policy_name_clustering!$A$10,policy_name_clustering!$C$10,D366=policy_name_clustering!$A$11,policy_name_clustering!$C$11,D366=policy_name_clustering!$A$12,policy_name_clustering!$C$12,D366="-","")</f>
        <v/>
      </c>
      <c r="G366" s="7">
        <f>solar_cum_cap!C329</f>
        <v>0</v>
      </c>
      <c r="H366" s="7">
        <f>estimated_capacity!C314</f>
        <v>-213.09883597638299</v>
      </c>
      <c r="I366" s="7" cm="1">
        <f t="array" ref="I366">_xlfn.IFS(D366= ""," ",D366&lt;&gt; " ",F366*(G366/H366))</f>
        <v>0</v>
      </c>
      <c r="J366" s="7" cm="1">
        <f t="array" ref="J366">_xlfn.IFS(D366= ""," ",D366&lt;&gt; " ",(H366-F366)*(G366/H366))</f>
        <v>0</v>
      </c>
      <c r="K366" s="7" cm="1">
        <f t="array" ref="K366">IF(ISNUMBER(H366),_xlfn.IFS(D366= ""," ",D366&lt;&gt; " ",F366*(G366/H366)),"")</f>
        <v>0</v>
      </c>
    </row>
    <row r="367" spans="1:11" s="7" customFormat="1" hidden="1" x14ac:dyDescent="0.35">
      <c r="A367" s="7" t="s">
        <v>37</v>
      </c>
      <c r="B367" s="7">
        <v>2005</v>
      </c>
      <c r="D367" s="7" t="s">
        <v>73</v>
      </c>
      <c r="E367" s="7" t="str" cm="1">
        <f t="array" ref="E367">_xlfn.IFS(D367=policy_name_clustering!$A$2,policy_name_clustering!$C$2,D367=policy_name_clustering!$A$3,policy_name_clustering!$C$3,D367=policy_name_clustering!$A$4,policy_name_clustering!$C$4,D367=policy_name_clustering!$A$5,policy_name_clustering!$C$5,D367=policy_name_clustering!$A$6,policy_name_clustering!$C$6,D367=policy_name_clustering!$A$7,policy_name_clustering!$C$7,D367=policy_name_clustering!$A$8,policy_name_clustering!$C$8,D367=policy_name_clustering!$A$9,policy_name_clustering!$C$9,D367=policy_name_clustering!$A$10,policy_name_clustering!$C$10,D367=policy_name_clustering!$A$11,policy_name_clustering!$C$11,D367=policy_name_clustering!$A$12,policy_name_clustering!$C$12,D367="-","")</f>
        <v/>
      </c>
      <c r="G367" s="7">
        <f>solar_cum_cap!C330</f>
        <v>0</v>
      </c>
      <c r="H367" s="7">
        <f>estimated_capacity!C315</f>
        <v>-271.93522310703099</v>
      </c>
      <c r="I367" s="7" cm="1">
        <f t="array" ref="I367">_xlfn.IFS(D367= ""," ",D367&lt;&gt; " ",F367*(G367/H367))</f>
        <v>0</v>
      </c>
      <c r="J367" s="7" cm="1">
        <f t="array" ref="J367">_xlfn.IFS(D367= ""," ",D367&lt;&gt; " ",(H367-F367)*(G367/H367))</f>
        <v>0</v>
      </c>
      <c r="K367" s="7" cm="1">
        <f t="array" ref="K367">IF(ISNUMBER(H367),_xlfn.IFS(D367= ""," ",D367&lt;&gt; " ",F367*(G367/H367)),"")</f>
        <v>0</v>
      </c>
    </row>
    <row r="368" spans="1:11" s="7" customFormat="1" hidden="1" x14ac:dyDescent="0.35">
      <c r="A368" s="7" t="s">
        <v>37</v>
      </c>
      <c r="B368" s="7">
        <v>2006</v>
      </c>
      <c r="D368" s="7" t="s">
        <v>73</v>
      </c>
      <c r="E368" s="7" t="str" cm="1">
        <f t="array" ref="E368">_xlfn.IFS(D368=policy_name_clustering!$A$2,policy_name_clustering!$C$2,D368=policy_name_clustering!$A$3,policy_name_clustering!$C$3,D368=policy_name_clustering!$A$4,policy_name_clustering!$C$4,D368=policy_name_clustering!$A$5,policy_name_clustering!$C$5,D368=policy_name_clustering!$A$6,policy_name_clustering!$C$6,D368=policy_name_clustering!$A$7,policy_name_clustering!$C$7,D368=policy_name_clustering!$A$8,policy_name_clustering!$C$8,D368=policy_name_clustering!$A$9,policy_name_clustering!$C$9,D368=policy_name_clustering!$A$10,policy_name_clustering!$C$10,D368=policy_name_clustering!$A$11,policy_name_clustering!$C$11,D368=policy_name_clustering!$A$12,policy_name_clustering!$C$12,D368="-","")</f>
        <v/>
      </c>
      <c r="G368" s="7">
        <f>solar_cum_cap!C331</f>
        <v>0</v>
      </c>
      <c r="H368" s="7">
        <f>estimated_capacity!C316</f>
        <v>-325.27019494887799</v>
      </c>
      <c r="I368" s="7" cm="1">
        <f t="array" ref="I368">_xlfn.IFS(D368= ""," ",D368&lt;&gt; " ",F368*(G368/H368))</f>
        <v>0</v>
      </c>
      <c r="J368" s="7" cm="1">
        <f t="array" ref="J368">_xlfn.IFS(D368= ""," ",D368&lt;&gt; " ",(H368-F368)*(G368/H368))</f>
        <v>0</v>
      </c>
      <c r="K368" s="7" cm="1">
        <f t="array" ref="K368">IF(ISNUMBER(H368),_xlfn.IFS(D368= ""," ",D368&lt;&gt; " ",F368*(G368/H368)),"")</f>
        <v>0</v>
      </c>
    </row>
    <row r="369" spans="1:11" s="7" customFormat="1" hidden="1" x14ac:dyDescent="0.35">
      <c r="A369" s="7" t="s">
        <v>37</v>
      </c>
      <c r="B369" s="7">
        <v>2007</v>
      </c>
      <c r="D369" s="7" t="s">
        <v>73</v>
      </c>
      <c r="E369" s="7" t="str" cm="1">
        <f t="array" ref="E369">_xlfn.IFS(D369=policy_name_clustering!$A$2,policy_name_clustering!$C$2,D369=policy_name_clustering!$A$3,policy_name_clustering!$C$3,D369=policy_name_clustering!$A$4,policy_name_clustering!$C$4,D369=policy_name_clustering!$A$5,policy_name_clustering!$C$5,D369=policy_name_clustering!$A$6,policy_name_clustering!$C$6,D369=policy_name_clustering!$A$7,policy_name_clustering!$C$7,D369=policy_name_clustering!$A$8,policy_name_clustering!$C$8,D369=policy_name_clustering!$A$9,policy_name_clustering!$C$9,D369=policy_name_clustering!$A$10,policy_name_clustering!$C$10,D369=policy_name_clustering!$A$11,policy_name_clustering!$C$11,D369=policy_name_clustering!$A$12,policy_name_clustering!$C$12,D369="-","")</f>
        <v/>
      </c>
      <c r="G369" s="7">
        <f>solar_cum_cap!C332</f>
        <v>0</v>
      </c>
      <c r="H369" s="7">
        <f>estimated_capacity!C317</f>
        <v>-374.32293796601601</v>
      </c>
      <c r="I369" s="7" cm="1">
        <f t="array" ref="I369">_xlfn.IFS(D369= ""," ",D369&lt;&gt; " ",F369*(G369/H369))</f>
        <v>0</v>
      </c>
      <c r="J369" s="7" cm="1">
        <f t="array" ref="J369">_xlfn.IFS(D369= ""," ",D369&lt;&gt; " ",(H369-F369)*(G369/H369))</f>
        <v>0</v>
      </c>
      <c r="K369" s="7" cm="1">
        <f t="array" ref="K369">IF(ISNUMBER(H369),_xlfn.IFS(D369= ""," ",D369&lt;&gt; " ",F369*(G369/H369)),"")</f>
        <v>0</v>
      </c>
    </row>
    <row r="370" spans="1:11" s="7" customFormat="1" hidden="1" x14ac:dyDescent="0.35">
      <c r="A370" s="7" t="s">
        <v>37</v>
      </c>
      <c r="B370" s="7">
        <v>2008</v>
      </c>
      <c r="D370" s="7" t="s">
        <v>73</v>
      </c>
      <c r="E370" s="7" t="str" cm="1">
        <f t="array" ref="E370">_xlfn.IFS(D370=policy_name_clustering!$A$2,policy_name_clustering!$C$2,D370=policy_name_clustering!$A$3,policy_name_clustering!$C$3,D370=policy_name_clustering!$A$4,policy_name_clustering!$C$4,D370=policy_name_clustering!$A$5,policy_name_clustering!$C$5,D370=policy_name_clustering!$A$6,policy_name_clustering!$C$6,D370=policy_name_clustering!$A$7,policy_name_clustering!$C$7,D370=policy_name_clustering!$A$8,policy_name_clustering!$C$8,D370=policy_name_clustering!$A$9,policy_name_clustering!$C$9,D370=policy_name_clustering!$A$10,policy_name_clustering!$C$10,D370=policy_name_clustering!$A$11,policy_name_clustering!$C$11,D370=policy_name_clustering!$A$12,policy_name_clustering!$C$12,D370="-","")</f>
        <v/>
      </c>
      <c r="G370" s="7">
        <f>solar_cum_cap!C333</f>
        <v>0</v>
      </c>
      <c r="H370" s="7">
        <f>estimated_capacity!C318</f>
        <v>-395.666823350551</v>
      </c>
      <c r="I370" s="7" cm="1">
        <f t="array" ref="I370">_xlfn.IFS(D370= ""," ",D370&lt;&gt; " ",F370*(G370/H370))</f>
        <v>0</v>
      </c>
      <c r="J370" s="7" cm="1">
        <f t="array" ref="J370">_xlfn.IFS(D370= ""," ",D370&lt;&gt; " ",(H370-F370)*(G370/H370))</f>
        <v>0</v>
      </c>
      <c r="K370" s="7" cm="1">
        <f t="array" ref="K370">IF(ISNUMBER(H370),_xlfn.IFS(D370= ""," ",D370&lt;&gt; " ",F370*(G370/H370)),"")</f>
        <v>0</v>
      </c>
    </row>
    <row r="371" spans="1:11" s="7" customFormat="1" hidden="1" x14ac:dyDescent="0.35">
      <c r="A371" s="7" t="s">
        <v>37</v>
      </c>
      <c r="B371" s="7">
        <v>2009</v>
      </c>
      <c r="D371" s="7" t="s">
        <v>73</v>
      </c>
      <c r="E371" s="7" t="str" cm="1">
        <f t="array" ref="E371">_xlfn.IFS(D371=policy_name_clustering!$A$2,policy_name_clustering!$C$2,D371=policy_name_clustering!$A$3,policy_name_clustering!$C$3,D371=policy_name_clustering!$A$4,policy_name_clustering!$C$4,D371=policy_name_clustering!$A$5,policy_name_clustering!$C$5,D371=policy_name_clustering!$A$6,policy_name_clustering!$C$6,D371=policy_name_clustering!$A$7,policy_name_clustering!$C$7,D371=policy_name_clustering!$A$8,policy_name_clustering!$C$8,D371=policy_name_clustering!$A$9,policy_name_clustering!$C$9,D371=policy_name_clustering!$A$10,policy_name_clustering!$C$10,D371=policy_name_clustering!$A$11,policy_name_clustering!$C$11,D371=policy_name_clustering!$A$12,policy_name_clustering!$C$12,D371="-","")</f>
        <v/>
      </c>
      <c r="G371" s="7">
        <f>solar_cum_cap!C334</f>
        <v>0</v>
      </c>
      <c r="H371" s="7">
        <f>estimated_capacity!C319</f>
        <v>-317.15763153817301</v>
      </c>
      <c r="I371" s="7" cm="1">
        <f t="array" ref="I371">_xlfn.IFS(D371= ""," ",D371&lt;&gt; " ",F371*(G371/H371))</f>
        <v>0</v>
      </c>
      <c r="J371" s="7" cm="1">
        <f t="array" ref="J371">_xlfn.IFS(D371= ""," ",D371&lt;&gt; " ",(H371-F371)*(G371/H371))</f>
        <v>0</v>
      </c>
      <c r="K371" s="7" cm="1">
        <f t="array" ref="K371">IF(ISNUMBER(H371),_xlfn.IFS(D371= ""," ",D371&lt;&gt; " ",F371*(G371/H371)),"")</f>
        <v>0</v>
      </c>
    </row>
    <row r="372" spans="1:11" s="7" customFormat="1" hidden="1" x14ac:dyDescent="0.35">
      <c r="A372" s="7" t="s">
        <v>37</v>
      </c>
      <c r="B372" s="7">
        <v>2010</v>
      </c>
      <c r="D372" s="7" t="s">
        <v>73</v>
      </c>
      <c r="E372" s="7" t="str" cm="1">
        <f t="array" ref="E372">_xlfn.IFS(D372=policy_name_clustering!$A$2,policy_name_clustering!$C$2,D372=policy_name_clustering!$A$3,policy_name_clustering!$C$3,D372=policy_name_clustering!$A$4,policy_name_clustering!$C$4,D372=policy_name_clustering!$A$5,policy_name_clustering!$C$5,D372=policy_name_clustering!$A$6,policy_name_clustering!$C$6,D372=policy_name_clustering!$A$7,policy_name_clustering!$C$7,D372=policy_name_clustering!$A$8,policy_name_clustering!$C$8,D372=policy_name_clustering!$A$9,policy_name_clustering!$C$9,D372=policy_name_clustering!$A$10,policy_name_clustering!$C$10,D372=policy_name_clustering!$A$11,policy_name_clustering!$C$11,D372=policy_name_clustering!$A$12,policy_name_clustering!$C$12,D372="-","")</f>
        <v/>
      </c>
      <c r="G372" s="7">
        <f>solar_cum_cap!C335</f>
        <v>0</v>
      </c>
      <c r="H372" s="7">
        <f>estimated_capacity!C320</f>
        <v>-283.39327134842199</v>
      </c>
      <c r="I372" s="7" cm="1">
        <f t="array" ref="I372">_xlfn.IFS(D372= ""," ",D372&lt;&gt; " ",F372*(G372/H372))</f>
        <v>0</v>
      </c>
      <c r="J372" s="7" cm="1">
        <f t="array" ref="J372">_xlfn.IFS(D372= ""," ",D372&lt;&gt; " ",(H372-F372)*(G372/H372))</f>
        <v>0</v>
      </c>
      <c r="K372" s="7" cm="1">
        <f t="array" ref="K372">IF(ISNUMBER(H372),_xlfn.IFS(D372= ""," ",D372&lt;&gt; " ",F372*(G372/H372)),"")</f>
        <v>0</v>
      </c>
    </row>
    <row r="373" spans="1:11" s="7" customFormat="1" hidden="1" x14ac:dyDescent="0.35">
      <c r="A373" s="7" t="s">
        <v>37</v>
      </c>
      <c r="B373" s="7">
        <v>2011</v>
      </c>
      <c r="D373" s="7" t="s">
        <v>73</v>
      </c>
      <c r="E373" s="7" t="str" cm="1">
        <f t="array" ref="E373">_xlfn.IFS(D373=policy_name_clustering!$A$2,policy_name_clustering!$C$2,D373=policy_name_clustering!$A$3,policy_name_clustering!$C$3,D373=policy_name_clustering!$A$4,policy_name_clustering!$C$4,D373=policy_name_clustering!$A$5,policy_name_clustering!$C$5,D373=policy_name_clustering!$A$6,policy_name_clustering!$C$6,D373=policy_name_clustering!$A$7,policy_name_clustering!$C$7,D373=policy_name_clustering!$A$8,policy_name_clustering!$C$8,D373=policy_name_clustering!$A$9,policy_name_clustering!$C$9,D373=policy_name_clustering!$A$10,policy_name_clustering!$C$10,D373=policy_name_clustering!$A$11,policy_name_clustering!$C$11,D373=policy_name_clustering!$A$12,policy_name_clustering!$C$12,D373="-","")</f>
        <v/>
      </c>
      <c r="G373" s="7">
        <f>solar_cum_cap!C336</f>
        <v>0</v>
      </c>
      <c r="H373" s="7">
        <f>estimated_capacity!C321</f>
        <v>-216.53013941457701</v>
      </c>
      <c r="I373" s="7" cm="1">
        <f t="array" ref="I373">_xlfn.IFS(D373= ""," ",D373&lt;&gt; " ",F373*(G373/H373))</f>
        <v>0</v>
      </c>
      <c r="J373" s="7" cm="1">
        <f t="array" ref="J373">_xlfn.IFS(D373= ""," ",D373&lt;&gt; " ",(H373-F373)*(G373/H373))</f>
        <v>0</v>
      </c>
      <c r="K373" s="7" cm="1">
        <f t="array" ref="K373">IF(ISNUMBER(H373),_xlfn.IFS(D373= ""," ",D373&lt;&gt; " ",F373*(G373/H373)),"")</f>
        <v>0</v>
      </c>
    </row>
    <row r="374" spans="1:11" s="7" customFormat="1" hidden="1" x14ac:dyDescent="0.35">
      <c r="A374" s="7" t="s">
        <v>37</v>
      </c>
      <c r="B374" s="7">
        <v>2012</v>
      </c>
      <c r="D374" s="7" t="s">
        <v>73</v>
      </c>
      <c r="E374" s="7" t="str" cm="1">
        <f t="array" ref="E374">_xlfn.IFS(D374=policy_name_clustering!$A$2,policy_name_clustering!$C$2,D374=policy_name_clustering!$A$3,policy_name_clustering!$C$3,D374=policy_name_clustering!$A$4,policy_name_clustering!$C$4,D374=policy_name_clustering!$A$5,policy_name_clustering!$C$5,D374=policy_name_clustering!$A$6,policy_name_clustering!$C$6,D374=policy_name_clustering!$A$7,policy_name_clustering!$C$7,D374=policy_name_clustering!$A$8,policy_name_clustering!$C$8,D374=policy_name_clustering!$A$9,policy_name_clustering!$C$9,D374=policy_name_clustering!$A$10,policy_name_clustering!$C$10,D374=policy_name_clustering!$A$11,policy_name_clustering!$C$11,D374=policy_name_clustering!$A$12,policy_name_clustering!$C$12,D374="-","")</f>
        <v/>
      </c>
      <c r="G374" s="7">
        <f>solar_cum_cap!C337</f>
        <v>7</v>
      </c>
      <c r="H374" s="7">
        <f>estimated_capacity!C322</f>
        <v>-94.244256391591705</v>
      </c>
      <c r="I374" s="7" cm="1">
        <f t="array" ref="I374">_xlfn.IFS(D374= ""," ",D374&lt;&gt; " ",F374*(G374/H374))</f>
        <v>0</v>
      </c>
      <c r="J374" s="7" cm="1">
        <f t="array" ref="J374">_xlfn.IFS(D374= ""," ",D374&lt;&gt; " ",(H374-F374)*(G374/H374))</f>
        <v>7.0000000000000009</v>
      </c>
      <c r="K374" s="7" cm="1">
        <f t="array" ref="K374">IF(ISNUMBER(H374),_xlfn.IFS(D374= ""," ",D374&lt;&gt; " ",F374*(G374/H374)),"")</f>
        <v>0</v>
      </c>
    </row>
    <row r="375" spans="1:11" s="7" customFormat="1" hidden="1" x14ac:dyDescent="0.35">
      <c r="A375" s="7" t="s">
        <v>37</v>
      </c>
      <c r="B375" s="7">
        <v>2013</v>
      </c>
      <c r="D375" s="7" t="s">
        <v>73</v>
      </c>
      <c r="E375" s="7" t="str" cm="1">
        <f t="array" ref="E375">_xlfn.IFS(D375=policy_name_clustering!$A$2,policy_name_clustering!$C$2,D375=policy_name_clustering!$A$3,policy_name_clustering!$C$3,D375=policy_name_clustering!$A$4,policy_name_clustering!$C$4,D375=policy_name_clustering!$A$5,policy_name_clustering!$C$5,D375=policy_name_clustering!$A$6,policy_name_clustering!$C$6,D375=policy_name_clustering!$A$7,policy_name_clustering!$C$7,D375=policy_name_clustering!$A$8,policy_name_clustering!$C$8,D375=policy_name_clustering!$A$9,policy_name_clustering!$C$9,D375=policy_name_clustering!$A$10,policy_name_clustering!$C$10,D375=policy_name_clustering!$A$11,policy_name_clustering!$C$11,D375=policy_name_clustering!$A$12,policy_name_clustering!$C$12,D375="-","")</f>
        <v/>
      </c>
      <c r="G375" s="7">
        <f>solar_cum_cap!C338</f>
        <v>68</v>
      </c>
      <c r="H375" s="7">
        <f>estimated_capacity!C323</f>
        <v>65.913708376092401</v>
      </c>
      <c r="I375" s="7" cm="1">
        <f t="array" ref="I375">_xlfn.IFS(D375= ""," ",D375&lt;&gt; " ",F375*(G375/H375))</f>
        <v>0</v>
      </c>
      <c r="J375" s="7" cm="1">
        <f t="array" ref="J375">_xlfn.IFS(D375= ""," ",D375&lt;&gt; " ",(H375-F375)*(G375/H375))</f>
        <v>68</v>
      </c>
      <c r="K375" s="7" cm="1">
        <f t="array" ref="K375">IF(ISNUMBER(H375),_xlfn.IFS(D375= ""," ",D375&lt;&gt; " ",F375*(G375/H375)),"")</f>
        <v>0</v>
      </c>
    </row>
    <row r="376" spans="1:11" s="7" customFormat="1" hidden="1" x14ac:dyDescent="0.35">
      <c r="A376" s="7" t="s">
        <v>37</v>
      </c>
      <c r="B376" s="7">
        <v>2014</v>
      </c>
      <c r="D376" s="7" t="s">
        <v>73</v>
      </c>
      <c r="E376" s="7" t="str" cm="1">
        <f t="array" ref="E376">_xlfn.IFS(D376=policy_name_clustering!$A$2,policy_name_clustering!$C$2,D376=policy_name_clustering!$A$3,policy_name_clustering!$C$3,D376=policy_name_clustering!$A$4,policy_name_clustering!$C$4,D376=policy_name_clustering!$A$5,policy_name_clustering!$C$5,D376=policy_name_clustering!$A$6,policy_name_clustering!$C$6,D376=policy_name_clustering!$A$7,policy_name_clustering!$C$7,D376=policy_name_clustering!$A$8,policy_name_clustering!$C$8,D376=policy_name_clustering!$A$9,policy_name_clustering!$C$9,D376=policy_name_clustering!$A$10,policy_name_clustering!$C$10,D376=policy_name_clustering!$A$11,policy_name_clustering!$C$11,D376=policy_name_clustering!$A$12,policy_name_clustering!$C$12,D376="-","")</f>
        <v/>
      </c>
      <c r="G376" s="7">
        <f>solar_cum_cap!C339</f>
        <v>69</v>
      </c>
      <c r="H376" s="7">
        <f>estimated_capacity!C324</f>
        <v>231.587241710413</v>
      </c>
      <c r="I376" s="7" cm="1">
        <f t="array" ref="I376">_xlfn.IFS(D376= ""," ",D376&lt;&gt; " ",F376*(G376/H376))</f>
        <v>0</v>
      </c>
      <c r="J376" s="7" cm="1">
        <f t="array" ref="J376">_xlfn.IFS(D376= ""," ",D376&lt;&gt; " ",(H376-F376)*(G376/H376))</f>
        <v>69</v>
      </c>
      <c r="K376" s="7" cm="1">
        <f t="array" ref="K376">IF(ISNUMBER(H376),_xlfn.IFS(D376= ""," ",D376&lt;&gt; " ",F376*(G376/H376)),"")</f>
        <v>0</v>
      </c>
    </row>
    <row r="377" spans="1:11" s="7" customFormat="1" hidden="1" x14ac:dyDescent="0.35">
      <c r="A377" s="7" t="s">
        <v>37</v>
      </c>
      <c r="B377" s="7">
        <v>2015</v>
      </c>
      <c r="D377" s="7" t="s">
        <v>73</v>
      </c>
      <c r="E377" s="7" t="str" cm="1">
        <f t="array" ref="E377">_xlfn.IFS(D377=policy_name_clustering!$A$2,policy_name_clustering!$C$2,D377=policy_name_clustering!$A$3,policy_name_clustering!$C$3,D377=policy_name_clustering!$A$4,policy_name_clustering!$C$4,D377=policy_name_clustering!$A$5,policy_name_clustering!$C$5,D377=policy_name_clustering!$A$6,policy_name_clustering!$C$6,D377=policy_name_clustering!$A$7,policy_name_clustering!$C$7,D377=policy_name_clustering!$A$8,policy_name_clustering!$C$8,D377=policy_name_clustering!$A$9,policy_name_clustering!$C$9,D377=policy_name_clustering!$A$10,policy_name_clustering!$C$10,D377=policy_name_clustering!$A$11,policy_name_clustering!$C$11,D377=policy_name_clustering!$A$12,policy_name_clustering!$C$12,D377="-","")</f>
        <v/>
      </c>
      <c r="G377" s="7">
        <f>solar_cum_cap!C340</f>
        <v>69</v>
      </c>
      <c r="H377" s="7">
        <f>estimated_capacity!C325</f>
        <v>345.695160592967</v>
      </c>
      <c r="I377" s="7" cm="1">
        <f t="array" ref="I377">_xlfn.IFS(D377= ""," ",D377&lt;&gt; " ",F377*(G377/H377))</f>
        <v>0</v>
      </c>
      <c r="J377" s="7" cm="1">
        <f t="array" ref="J377">_xlfn.IFS(D377= ""," ",D377&lt;&gt; " ",(H377-F377)*(G377/H377))</f>
        <v>69</v>
      </c>
      <c r="K377" s="7" cm="1">
        <f t="array" ref="K377">IF(ISNUMBER(H377),_xlfn.IFS(D377= ""," ",D377&lt;&gt; " ",F377*(G377/H377)),"")</f>
        <v>0</v>
      </c>
    </row>
    <row r="378" spans="1:11" s="7" customFormat="1" hidden="1" x14ac:dyDescent="0.35">
      <c r="A378" s="7" t="s">
        <v>37</v>
      </c>
      <c r="B378" s="7">
        <v>2016</v>
      </c>
      <c r="D378" s="7" t="s">
        <v>73</v>
      </c>
      <c r="E378" s="7" t="str" cm="1">
        <f t="array" ref="E378">_xlfn.IFS(D378=policy_name_clustering!$A$2,policy_name_clustering!$C$2,D378=policy_name_clustering!$A$3,policy_name_clustering!$C$3,D378=policy_name_clustering!$A$4,policy_name_clustering!$C$4,D378=policy_name_clustering!$A$5,policy_name_clustering!$C$5,D378=policy_name_clustering!$A$6,policy_name_clustering!$C$6,D378=policy_name_clustering!$A$7,policy_name_clustering!$C$7,D378=policy_name_clustering!$A$8,policy_name_clustering!$C$8,D378=policy_name_clustering!$A$9,policy_name_clustering!$C$9,D378=policy_name_clustering!$A$10,policy_name_clustering!$C$10,D378=policy_name_clustering!$A$11,policy_name_clustering!$C$11,D378=policy_name_clustering!$A$12,policy_name_clustering!$C$12,D378="-","")</f>
        <v/>
      </c>
      <c r="G378" s="7">
        <f>solar_cum_cap!C341</f>
        <v>70</v>
      </c>
      <c r="H378" s="7">
        <f>estimated_capacity!C326</f>
        <v>448.81416622999302</v>
      </c>
      <c r="I378" s="7" cm="1">
        <f t="array" ref="I378">_xlfn.IFS(D378= ""," ",D378&lt;&gt; " ",F378*(G378/H378))</f>
        <v>0</v>
      </c>
      <c r="J378" s="7" cm="1">
        <f t="array" ref="J378">_xlfn.IFS(D378= ""," ",D378&lt;&gt; " ",(H378-F378)*(G378/H378))</f>
        <v>70</v>
      </c>
      <c r="K378" s="7" cm="1">
        <f t="array" ref="K378">IF(ISNUMBER(H378),_xlfn.IFS(D378= ""," ",D378&lt;&gt; " ",F378*(G378/H378)),"")</f>
        <v>0</v>
      </c>
    </row>
    <row r="379" spans="1:11" s="7" customFormat="1" hidden="1" x14ac:dyDescent="0.35">
      <c r="A379" s="7" t="s">
        <v>37</v>
      </c>
      <c r="B379" s="7">
        <v>2017</v>
      </c>
      <c r="D379" s="7" t="s">
        <v>73</v>
      </c>
      <c r="E379" s="7" t="str" cm="1">
        <f t="array" ref="E379">_xlfn.IFS(D379=policy_name_clustering!$A$2,policy_name_clustering!$C$2,D379=policy_name_clustering!$A$3,policy_name_clustering!$C$3,D379=policy_name_clustering!$A$4,policy_name_clustering!$C$4,D379=policy_name_clustering!$A$5,policy_name_clustering!$C$5,D379=policy_name_clustering!$A$6,policy_name_clustering!$C$6,D379=policy_name_clustering!$A$7,policy_name_clustering!$C$7,D379=policy_name_clustering!$A$8,policy_name_clustering!$C$8,D379=policy_name_clustering!$A$9,policy_name_clustering!$C$9,D379=policy_name_clustering!$A$10,policy_name_clustering!$C$10,D379=policy_name_clustering!$A$11,policy_name_clustering!$C$11,D379=policy_name_clustering!$A$12,policy_name_clustering!$C$12,D379="-","")</f>
        <v/>
      </c>
      <c r="G379" s="7">
        <f>solar_cum_cap!C342</f>
        <v>71.247</v>
      </c>
      <c r="H379" s="7">
        <f>estimated_capacity!C327</f>
        <v>536.45079796550203</v>
      </c>
      <c r="I379" s="7" cm="1">
        <f t="array" ref="I379">_xlfn.IFS(D379= ""," ",D379&lt;&gt; " ",F379*(G379/H379))</f>
        <v>0</v>
      </c>
      <c r="J379" s="7" cm="1">
        <f t="array" ref="J379">_xlfn.IFS(D379= ""," ",D379&lt;&gt; " ",(H379-F379)*(G379/H379))</f>
        <v>71.247</v>
      </c>
      <c r="K379" s="7" cm="1">
        <f t="array" ref="K379">IF(ISNUMBER(H379),_xlfn.IFS(D379= ""," ",D379&lt;&gt; " ",F379*(G379/H379)),"")</f>
        <v>0</v>
      </c>
    </row>
    <row r="380" spans="1:11" s="7" customFormat="1" hidden="1" x14ac:dyDescent="0.35">
      <c r="A380" s="7" t="s">
        <v>37</v>
      </c>
      <c r="B380" s="7">
        <v>2018</v>
      </c>
      <c r="D380" s="7" t="s">
        <v>73</v>
      </c>
      <c r="E380" s="7" t="str" cm="1">
        <f t="array" ref="E380">_xlfn.IFS(D380=policy_name_clustering!$A$2,policy_name_clustering!$C$2,D380=policy_name_clustering!$A$3,policy_name_clustering!$C$3,D380=policy_name_clustering!$A$4,policy_name_clustering!$C$4,D380=policy_name_clustering!$A$5,policy_name_clustering!$C$5,D380=policy_name_clustering!$A$6,policy_name_clustering!$C$6,D380=policy_name_clustering!$A$7,policy_name_clustering!$C$7,D380=policy_name_clustering!$A$8,policy_name_clustering!$C$8,D380=policy_name_clustering!$A$9,policy_name_clustering!$C$9,D380=policy_name_clustering!$A$10,policy_name_clustering!$C$10,D380=policy_name_clustering!$A$11,policy_name_clustering!$C$11,D380=policy_name_clustering!$A$12,policy_name_clustering!$C$12,D380="-","")</f>
        <v/>
      </c>
      <c r="G380" s="7">
        <f>solar_cum_cap!C343</f>
        <v>79.087000000000003</v>
      </c>
      <c r="H380" s="7">
        <f>estimated_capacity!C328</f>
        <v>649.94806180252499</v>
      </c>
      <c r="I380" s="7" cm="1">
        <f t="array" ref="I380">_xlfn.IFS(D380= ""," ",D380&lt;&gt; " ",F380*(G380/H380))</f>
        <v>0</v>
      </c>
      <c r="J380" s="7" cm="1">
        <f t="array" ref="J380">_xlfn.IFS(D380= ""," ",D380&lt;&gt; " ",(H380-F380)*(G380/H380))</f>
        <v>79.087000000000003</v>
      </c>
      <c r="K380" s="7" cm="1">
        <f t="array" ref="K380">IF(ISNUMBER(H380),_xlfn.IFS(D380= ""," ",D380&lt;&gt; " ",F380*(G380/H380)),"")</f>
        <v>0</v>
      </c>
    </row>
    <row r="381" spans="1:11" s="7" customFormat="1" hidden="1" x14ac:dyDescent="0.35">
      <c r="A381" s="7" t="s">
        <v>37</v>
      </c>
      <c r="B381" s="7">
        <v>2019</v>
      </c>
      <c r="D381" s="7" t="s">
        <v>73</v>
      </c>
      <c r="E381" s="7" t="str" cm="1">
        <f t="array" ref="E381">_xlfn.IFS(D381=policy_name_clustering!$A$2,policy_name_clustering!$C$2,D381=policy_name_clustering!$A$3,policy_name_clustering!$C$3,D381=policy_name_clustering!$A$4,policy_name_clustering!$C$4,D381=policy_name_clustering!$A$5,policy_name_clustering!$C$5,D381=policy_name_clustering!$A$6,policy_name_clustering!$C$6,D381=policy_name_clustering!$A$7,policy_name_clustering!$C$7,D381=policy_name_clustering!$A$8,policy_name_clustering!$C$8,D381=policy_name_clustering!$A$9,policy_name_clustering!$C$9,D381=policy_name_clustering!$A$10,policy_name_clustering!$C$10,D381=policy_name_clustering!$A$11,policy_name_clustering!$C$11,D381=policy_name_clustering!$A$12,policy_name_clustering!$C$12,D381="-","")</f>
        <v/>
      </c>
      <c r="G381" s="7">
        <f>solar_cum_cap!C344</f>
        <v>100.01300000000001</v>
      </c>
      <c r="H381" s="7">
        <f>estimated_capacity!C329</f>
        <v>766.09538195094103</v>
      </c>
      <c r="I381" s="7" cm="1">
        <f t="array" ref="I381">_xlfn.IFS(D381= ""," ",D381&lt;&gt; " ",F381*(G381/H381))</f>
        <v>0</v>
      </c>
      <c r="J381" s="7" cm="1">
        <f t="array" ref="J381">_xlfn.IFS(D381= ""," ",D381&lt;&gt; " ",(H381-F381)*(G381/H381))</f>
        <v>100.01300000000001</v>
      </c>
      <c r="K381" s="7" cm="1">
        <f t="array" ref="K381">IF(ISNUMBER(H381),_xlfn.IFS(D381= ""," ",D381&lt;&gt; " ",F381*(G381/H381)),"")</f>
        <v>0</v>
      </c>
    </row>
    <row r="382" spans="1:11" s="7" customFormat="1" hidden="1" x14ac:dyDescent="0.35">
      <c r="A382" s="7" t="s">
        <v>37</v>
      </c>
      <c r="B382" s="7">
        <v>2020</v>
      </c>
      <c r="D382" s="7" t="s">
        <v>73</v>
      </c>
      <c r="E382" s="7" t="str" cm="1">
        <f t="array" ref="E382">_xlfn.IFS(D382=policy_name_clustering!$A$2,policy_name_clustering!$C$2,D382=policy_name_clustering!$A$3,policy_name_clustering!$C$3,D382=policy_name_clustering!$A$4,policy_name_clustering!$C$4,D382=policy_name_clustering!$A$5,policy_name_clustering!$C$5,D382=policy_name_clustering!$A$6,policy_name_clustering!$C$6,D382=policy_name_clustering!$A$7,policy_name_clustering!$C$7,D382=policy_name_clustering!$A$8,policy_name_clustering!$C$8,D382=policy_name_clustering!$A$9,policy_name_clustering!$C$9,D382=policy_name_clustering!$A$10,policy_name_clustering!$C$10,D382=policy_name_clustering!$A$11,policy_name_clustering!$C$11,D382=policy_name_clustering!$A$12,policy_name_clustering!$C$12,D382="-","")</f>
        <v/>
      </c>
      <c r="G382" s="7">
        <f>solar_cum_cap!C345</f>
        <v>160.495</v>
      </c>
      <c r="H382" s="7">
        <f>estimated_capacity!C330</f>
        <v>873.94362380964401</v>
      </c>
      <c r="I382" s="7" cm="1">
        <f t="array" ref="I382">_xlfn.IFS(D382= ""," ",D382&lt;&gt; " ",F382*(G382/H382))</f>
        <v>0</v>
      </c>
      <c r="J382" s="7" cm="1">
        <f t="array" ref="J382">_xlfn.IFS(D382= ""," ",D382&lt;&gt; " ",(H382-F382)*(G382/H382))</f>
        <v>160.495</v>
      </c>
      <c r="K382" s="7" cm="1">
        <f t="array" ref="K382">IF(ISNUMBER(H382),_xlfn.IFS(D382= ""," ",D382&lt;&gt; " ",F382*(G382/H382)),"")</f>
        <v>0</v>
      </c>
    </row>
    <row r="383" spans="1:11" s="7" customFormat="1" hidden="1" x14ac:dyDescent="0.35">
      <c r="A383" s="7" t="s">
        <v>37</v>
      </c>
      <c r="B383" s="7">
        <v>2021</v>
      </c>
      <c r="D383" s="7" t="s">
        <v>73</v>
      </c>
      <c r="E383" s="7" t="str" cm="1">
        <f t="array" ref="E383">_xlfn.IFS(D383=policy_name_clustering!$A$2,policy_name_clustering!$C$2,D383=policy_name_clustering!$A$3,policy_name_clustering!$C$3,D383=policy_name_clustering!$A$4,policy_name_clustering!$C$4,D383=policy_name_clustering!$A$5,policy_name_clustering!$C$5,D383=policy_name_clustering!$A$6,policy_name_clustering!$C$6,D383=policy_name_clustering!$A$7,policy_name_clustering!$C$7,D383=policy_name_clustering!$A$8,policy_name_clustering!$C$8,D383=policy_name_clustering!$A$9,policy_name_clustering!$C$9,D383=policy_name_clustering!$A$10,policy_name_clustering!$C$10,D383=policy_name_clustering!$A$11,policy_name_clustering!$C$11,D383=policy_name_clustering!$A$12,policy_name_clustering!$C$12,D383="-","")</f>
        <v/>
      </c>
      <c r="G383" s="7">
        <f>solar_cum_cap!C346</f>
        <v>250.881</v>
      </c>
      <c r="H383" s="7">
        <f>estimated_capacity!C331</f>
        <v>993.37445652524195</v>
      </c>
      <c r="I383" s="7" cm="1">
        <f t="array" ref="I383">_xlfn.IFS(D383= ""," ",D383&lt;&gt; " ",F383*(G383/H383))</f>
        <v>0</v>
      </c>
      <c r="J383" s="7" cm="1">
        <f t="array" ref="J383">_xlfn.IFS(D383= ""," ",D383&lt;&gt; " ",(H383-F383)*(G383/H383))</f>
        <v>250.881</v>
      </c>
      <c r="K383" s="7" cm="1">
        <f t="array" ref="K383">IF(ISNUMBER(H383),_xlfn.IFS(D383= ""," ",D383&lt;&gt; " ",F383*(G383/H383)),"")</f>
        <v>0</v>
      </c>
    </row>
    <row r="384" spans="1:11" s="7" customFormat="1" hidden="1" x14ac:dyDescent="0.35">
      <c r="A384" s="7" t="s">
        <v>37</v>
      </c>
      <c r="B384" s="7">
        <v>2022</v>
      </c>
      <c r="D384" s="7" t="s">
        <v>73</v>
      </c>
      <c r="E384" s="7" t="str" cm="1">
        <f t="array" ref="E384">_xlfn.IFS(D384=policy_name_clustering!$A$2,policy_name_clustering!$C$2,D384=policy_name_clustering!$A$3,policy_name_clustering!$C$3,D384=policy_name_clustering!$A$4,policy_name_clustering!$C$4,D384=policy_name_clustering!$A$5,policy_name_clustering!$C$5,D384=policy_name_clustering!$A$6,policy_name_clustering!$C$6,D384=policy_name_clustering!$A$7,policy_name_clustering!$C$7,D384=policy_name_clustering!$A$8,policy_name_clustering!$C$8,D384=policy_name_clustering!$A$9,policy_name_clustering!$C$9,D384=policy_name_clustering!$A$10,policy_name_clustering!$C$10,D384=policy_name_clustering!$A$11,policy_name_clustering!$C$11,D384=policy_name_clustering!$A$12,policy_name_clustering!$C$12,D384="-","")</f>
        <v/>
      </c>
      <c r="G384" s="7">
        <f>solar_cum_cap!C347</f>
        <v>567.46799999999996</v>
      </c>
      <c r="H384" s="7">
        <f>estimated_capacity!C332</f>
        <v>1155.2551276147001</v>
      </c>
      <c r="I384" s="7" cm="1">
        <f t="array" ref="I384">_xlfn.IFS(D384= ""," ",D384&lt;&gt; " ",F384*(G384/H384))</f>
        <v>0</v>
      </c>
      <c r="J384" s="7" cm="1">
        <f t="array" ref="J384">_xlfn.IFS(D384= ""," ",D384&lt;&gt; " ",(H384-F384)*(G384/H384))</f>
        <v>567.46799999999996</v>
      </c>
      <c r="K384" s="7" cm="1">
        <f t="array" ref="K384">IF(ISNUMBER(H384),_xlfn.IFS(D384= ""," ",D384&lt;&gt; " ",F384*(G384/H384)),"")</f>
        <v>0</v>
      </c>
    </row>
    <row r="385" spans="1:11" s="7" customFormat="1" hidden="1" x14ac:dyDescent="0.35">
      <c r="A385" s="7" t="s">
        <v>37</v>
      </c>
      <c r="B385" s="7">
        <v>2023</v>
      </c>
      <c r="D385" s="7" t="s">
        <v>73</v>
      </c>
      <c r="E385" s="7" t="str" cm="1">
        <f t="array" ref="E385">_xlfn.IFS(D385=policy_name_clustering!$A$2,policy_name_clustering!$C$2,D385=policy_name_clustering!$A$3,policy_name_clustering!$C$3,D385=policy_name_clustering!$A$4,policy_name_clustering!$C$4,D385=policy_name_clustering!$A$5,policy_name_clustering!$C$5,D385=policy_name_clustering!$A$6,policy_name_clustering!$C$6,D385=policy_name_clustering!$A$7,policy_name_clustering!$C$7,D385=policy_name_clustering!$A$8,policy_name_clustering!$C$8,D385=policy_name_clustering!$A$9,policy_name_clustering!$C$9,D385=policy_name_clustering!$A$10,policy_name_clustering!$C$10,D385=policy_name_clustering!$A$11,policy_name_clustering!$C$11,D385=policy_name_clustering!$A$12,policy_name_clustering!$C$12,D385="-","")</f>
        <v/>
      </c>
      <c r="G385" s="7">
        <f>solar_cum_cap!C348</f>
        <v>1153</v>
      </c>
      <c r="H385" s="7">
        <f>estimated_capacity!C333</f>
        <v>1464.1094134338</v>
      </c>
      <c r="I385" s="7" cm="1">
        <f t="array" ref="I385">_xlfn.IFS(D385= ""," ",D385&lt;&gt; " ",F385*(G385/H385))</f>
        <v>0</v>
      </c>
      <c r="J385" s="7" cm="1">
        <f t="array" ref="J385">_xlfn.IFS(D385= ""," ",D385&lt;&gt; " ",(H385-F385)*(G385/H385))</f>
        <v>1153</v>
      </c>
      <c r="K385" s="7" cm="1">
        <f t="array" ref="K385">IF(ISNUMBER(H385),_xlfn.IFS(D385= ""," ",D385&lt;&gt; " ",F385*(G385/H385)),"")</f>
        <v>0</v>
      </c>
    </row>
    <row r="386" spans="1:11" s="7" customFormat="1" hidden="1" x14ac:dyDescent="0.35">
      <c r="A386" s="7" t="s">
        <v>23</v>
      </c>
      <c r="B386" s="7">
        <v>2001</v>
      </c>
      <c r="D386" s="7" t="s">
        <v>73</v>
      </c>
      <c r="E386" s="7" t="str" cm="1">
        <f t="array" ref="E386">_xlfn.IFS(D386=policy_name_clustering!$A$2,policy_name_clustering!$C$2,D386=policy_name_clustering!$A$3,policy_name_clustering!$C$3,D386=policy_name_clustering!$A$4,policy_name_clustering!$C$4,D386=policy_name_clustering!$A$5,policy_name_clustering!$C$5,D386=policy_name_clustering!$A$6,policy_name_clustering!$C$6,D386=policy_name_clustering!$A$7,policy_name_clustering!$C$7,D386=policy_name_clustering!$A$8,policy_name_clustering!$C$8,D386=policy_name_clustering!$A$9,policy_name_clustering!$C$9,D386=policy_name_clustering!$A$10,policy_name_clustering!$C$10,D386=policy_name_clustering!$A$11,policy_name_clustering!$C$11,D386=policy_name_clustering!$A$12,policy_name_clustering!$C$12,D386="-","")</f>
        <v/>
      </c>
      <c r="G386" s="7">
        <f>solar_cum_cap!C350</f>
        <v>21</v>
      </c>
      <c r="H386" s="7">
        <f>estimated_capacity!C334</f>
        <v>-6.78199944582855</v>
      </c>
      <c r="I386" s="7" cm="1">
        <f t="array" ref="I386">_xlfn.IFS(D386= ""," ",D386&lt;&gt; " ",F386*(G386/H386))</f>
        <v>0</v>
      </c>
      <c r="J386" s="7" cm="1">
        <f t="array" ref="J386">_xlfn.IFS(D386= ""," ",D386&lt;&gt; " ",(H386-F386)*(G386/H386))</f>
        <v>21</v>
      </c>
      <c r="K386" s="7" cm="1">
        <f t="array" ref="K386">IF(ISNUMBER(H386),_xlfn.IFS(D386= ""," ",D386&lt;&gt; " ",F386*(G386/H386)),"")</f>
        <v>0</v>
      </c>
    </row>
    <row r="387" spans="1:11" s="7" customFormat="1" hidden="1" x14ac:dyDescent="0.35">
      <c r="A387" s="7" t="s">
        <v>23</v>
      </c>
      <c r="B387" s="7">
        <v>2002</v>
      </c>
      <c r="D387" s="7" t="s">
        <v>73</v>
      </c>
      <c r="E387" s="7" t="str" cm="1">
        <f t="array" ref="E387">_xlfn.IFS(D387=policy_name_clustering!$A$2,policy_name_clustering!$C$2,D387=policy_name_clustering!$A$3,policy_name_clustering!$C$3,D387=policy_name_clustering!$A$4,policy_name_clustering!$C$4,D387=policy_name_clustering!$A$5,policy_name_clustering!$C$5,D387=policy_name_clustering!$A$6,policy_name_clustering!$C$6,D387=policy_name_clustering!$A$7,policy_name_clustering!$C$7,D387=policy_name_clustering!$A$8,policy_name_clustering!$C$8,D387=policy_name_clustering!$A$9,policy_name_clustering!$C$9,D387=policy_name_clustering!$A$10,policy_name_clustering!$C$10,D387=policy_name_clustering!$A$11,policy_name_clustering!$C$11,D387=policy_name_clustering!$A$12,policy_name_clustering!$C$12,D387="-","")</f>
        <v/>
      </c>
      <c r="G387" s="7">
        <f>solar_cum_cap!C351</f>
        <v>26</v>
      </c>
      <c r="H387" s="7">
        <f>estimated_capacity!C335</f>
        <v>-20.942982318838599</v>
      </c>
      <c r="I387" s="7" cm="1">
        <f t="array" ref="I387">_xlfn.IFS(D387= ""," ",D387&lt;&gt; " ",F387*(G387/H387))</f>
        <v>0</v>
      </c>
      <c r="J387" s="7" cm="1">
        <f t="array" ref="J387">_xlfn.IFS(D387= ""," ",D387&lt;&gt; " ",(H387-F387)*(G387/H387))</f>
        <v>25.999999999999996</v>
      </c>
      <c r="K387" s="7" cm="1">
        <f t="array" ref="K387">IF(ISNUMBER(H387),_xlfn.IFS(D387= ""," ",D387&lt;&gt; " ",F387*(G387/H387)),"")</f>
        <v>0</v>
      </c>
    </row>
    <row r="388" spans="1:11" s="7" customFormat="1" hidden="1" x14ac:dyDescent="0.35">
      <c r="A388" s="7" t="s">
        <v>23</v>
      </c>
      <c r="B388" s="7">
        <v>2003</v>
      </c>
      <c r="D388" s="7" t="s">
        <v>73</v>
      </c>
      <c r="E388" s="7" t="str" cm="1">
        <f t="array" ref="E388">_xlfn.IFS(D388=policy_name_clustering!$A$2,policy_name_clustering!$C$2,D388=policy_name_clustering!$A$3,policy_name_clustering!$C$3,D388=policy_name_clustering!$A$4,policy_name_clustering!$C$4,D388=policy_name_clustering!$A$5,policy_name_clustering!$C$5,D388=policy_name_clustering!$A$6,policy_name_clustering!$C$6,D388=policy_name_clustering!$A$7,policy_name_clustering!$C$7,D388=policy_name_clustering!$A$8,policy_name_clustering!$C$8,D388=policy_name_clustering!$A$9,policy_name_clustering!$C$9,D388=policy_name_clustering!$A$10,policy_name_clustering!$C$10,D388=policy_name_clustering!$A$11,policy_name_clustering!$C$11,D388=policy_name_clustering!$A$12,policy_name_clustering!$C$12,D388="-","")</f>
        <v/>
      </c>
      <c r="G388" s="7">
        <f>solar_cum_cap!C352</f>
        <v>46</v>
      </c>
      <c r="H388" s="7">
        <f>estimated_capacity!C336</f>
        <v>-21.6224645771292</v>
      </c>
      <c r="I388" s="7" cm="1">
        <f t="array" ref="I388">_xlfn.IFS(D388= ""," ",D388&lt;&gt; " ",F388*(G388/H388))</f>
        <v>0</v>
      </c>
      <c r="J388" s="7" cm="1">
        <f t="array" ref="J388">_xlfn.IFS(D388= ""," ",D388&lt;&gt; " ",(H388-F388)*(G388/H388))</f>
        <v>46</v>
      </c>
      <c r="K388" s="7" cm="1">
        <f t="array" ref="K388">IF(ISNUMBER(H388),_xlfn.IFS(D388= ""," ",D388&lt;&gt; " ",F388*(G388/H388)),"")</f>
        <v>0</v>
      </c>
    </row>
    <row r="389" spans="1:11" s="7" customFormat="1" hidden="1" x14ac:dyDescent="0.35">
      <c r="A389" s="7" t="s">
        <v>23</v>
      </c>
      <c r="B389" s="7">
        <v>2004</v>
      </c>
      <c r="D389" s="7" t="s">
        <v>73</v>
      </c>
      <c r="E389" s="7" t="str" cm="1">
        <f t="array" ref="E389">_xlfn.IFS(D389=policy_name_clustering!$A$2,policy_name_clustering!$C$2,D389=policy_name_clustering!$A$3,policy_name_clustering!$C$3,D389=policy_name_clustering!$A$4,policy_name_clustering!$C$4,D389=policy_name_clustering!$A$5,policy_name_clustering!$C$5,D389=policy_name_clustering!$A$6,policy_name_clustering!$C$6,D389=policy_name_clustering!$A$7,policy_name_clustering!$C$7,D389=policy_name_clustering!$A$8,policy_name_clustering!$C$8,D389=policy_name_clustering!$A$9,policy_name_clustering!$C$9,D389=policy_name_clustering!$A$10,policy_name_clustering!$C$10,D389=policy_name_clustering!$A$11,policy_name_clustering!$C$11,D389=policy_name_clustering!$A$12,policy_name_clustering!$C$12,D389="-","")</f>
        <v/>
      </c>
      <c r="G389" s="7">
        <f>solar_cum_cap!C353</f>
        <v>50</v>
      </c>
      <c r="H389" s="7">
        <f>estimated_capacity!C337</f>
        <v>-1.22008597754069</v>
      </c>
      <c r="I389" s="7" cm="1">
        <f t="array" ref="I389">_xlfn.IFS(D389= ""," ",D389&lt;&gt; " ",F389*(G389/H389))</f>
        <v>0</v>
      </c>
      <c r="J389" s="7" cm="1">
        <f t="array" ref="J389">_xlfn.IFS(D389= ""," ",D389&lt;&gt; " ",(H389-F389)*(G389/H389))</f>
        <v>50</v>
      </c>
      <c r="K389" s="7" cm="1">
        <f t="array" ref="K389">IF(ISNUMBER(H389),_xlfn.IFS(D389= ""," ",D389&lt;&gt; " ",F389*(G389/H389)),"")</f>
        <v>0</v>
      </c>
    </row>
    <row r="390" spans="1:11" s="7" customFormat="1" hidden="1" x14ac:dyDescent="0.35">
      <c r="A390" s="7" t="s">
        <v>23</v>
      </c>
      <c r="B390" s="7">
        <v>2005</v>
      </c>
      <c r="D390" s="7" t="s">
        <v>73</v>
      </c>
      <c r="E390" s="7" t="str" cm="1">
        <f t="array" ref="E390">_xlfn.IFS(D390=policy_name_clustering!$A$2,policy_name_clustering!$C$2,D390=policy_name_clustering!$A$3,policy_name_clustering!$C$3,D390=policy_name_clustering!$A$4,policy_name_clustering!$C$4,D390=policy_name_clustering!$A$5,policy_name_clustering!$C$5,D390=policy_name_clustering!$A$6,policy_name_clustering!$C$6,D390=policy_name_clustering!$A$7,policy_name_clustering!$C$7,D390=policy_name_clustering!$A$8,policy_name_clustering!$C$8,D390=policy_name_clustering!$A$9,policy_name_clustering!$C$9,D390=policy_name_clustering!$A$10,policy_name_clustering!$C$10,D390=policy_name_clustering!$A$11,policy_name_clustering!$C$11,D390=policy_name_clustering!$A$12,policy_name_clustering!$C$12,D390="-","")</f>
        <v/>
      </c>
      <c r="G390" s="7">
        <f>solar_cum_cap!C354</f>
        <v>51</v>
      </c>
      <c r="H390" s="7">
        <f>estimated_capacity!C338</f>
        <v>19.708312700952</v>
      </c>
      <c r="I390" s="7" cm="1">
        <f t="array" ref="I390">_xlfn.IFS(D390= ""," ",D390&lt;&gt; " ",F390*(G390/H390))</f>
        <v>0</v>
      </c>
      <c r="J390" s="7" cm="1">
        <f t="array" ref="J390">_xlfn.IFS(D390= ""," ",D390&lt;&gt; " ",(H390-F390)*(G390/H390))</f>
        <v>51</v>
      </c>
      <c r="K390" s="7" cm="1">
        <f t="array" ref="K390">IF(ISNUMBER(H390),_xlfn.IFS(D390= ""," ",D390&lt;&gt; " ",F390*(G390/H390)),"")</f>
        <v>0</v>
      </c>
    </row>
    <row r="391" spans="1:11" s="7" customFormat="1" hidden="1" x14ac:dyDescent="0.35">
      <c r="A391" s="7" t="s">
        <v>23</v>
      </c>
      <c r="B391" s="7">
        <v>2006</v>
      </c>
      <c r="D391" s="7" t="s">
        <v>73</v>
      </c>
      <c r="E391" s="7" t="str" cm="1">
        <f t="array" ref="E391">_xlfn.IFS(D391=policy_name_clustering!$A$2,policy_name_clustering!$C$2,D391=policy_name_clustering!$A$3,policy_name_clustering!$C$3,D391=policy_name_clustering!$A$4,policy_name_clustering!$C$4,D391=policy_name_clustering!$A$5,policy_name_clustering!$C$5,D391=policy_name_clustering!$A$6,policy_name_clustering!$C$6,D391=policy_name_clustering!$A$7,policy_name_clustering!$C$7,D391=policy_name_clustering!$A$8,policy_name_clustering!$C$8,D391=policy_name_clustering!$A$9,policy_name_clustering!$C$9,D391=policy_name_clustering!$A$10,policy_name_clustering!$C$10,D391=policy_name_clustering!$A$11,policy_name_clustering!$C$11,D391=policy_name_clustering!$A$12,policy_name_clustering!$C$12,D391="-","")</f>
        <v/>
      </c>
      <c r="G391" s="7">
        <f>solar_cum_cap!C355</f>
        <v>53</v>
      </c>
      <c r="H391" s="7">
        <f>estimated_capacity!C339</f>
        <v>45.937129639536501</v>
      </c>
      <c r="I391" s="7" cm="1">
        <f t="array" ref="I391">_xlfn.IFS(D391= ""," ",D391&lt;&gt; " ",F391*(G391/H391))</f>
        <v>0</v>
      </c>
      <c r="J391" s="7" cm="1">
        <f t="array" ref="J391">_xlfn.IFS(D391= ""," ",D391&lt;&gt; " ",(H391-F391)*(G391/H391))</f>
        <v>53</v>
      </c>
      <c r="K391" s="7" cm="1">
        <f t="array" ref="K391">IF(ISNUMBER(H391),_xlfn.IFS(D391= ""," ",D391&lt;&gt; " ",F391*(G391/H391)),"")</f>
        <v>0</v>
      </c>
    </row>
    <row r="392" spans="1:11" s="7" customFormat="1" hidden="1" x14ac:dyDescent="0.35">
      <c r="A392" s="7" t="s">
        <v>23</v>
      </c>
      <c r="B392" s="7">
        <v>2007</v>
      </c>
      <c r="D392" s="7" t="s">
        <v>73</v>
      </c>
      <c r="E392" s="7" t="str" cm="1">
        <f t="array" ref="E392">_xlfn.IFS(D392=policy_name_clustering!$A$2,policy_name_clustering!$C$2,D392=policy_name_clustering!$A$3,policy_name_clustering!$C$3,D392=policy_name_clustering!$A$4,policy_name_clustering!$C$4,D392=policy_name_clustering!$A$5,policy_name_clustering!$C$5,D392=policy_name_clustering!$A$6,policy_name_clustering!$C$6,D392=policy_name_clustering!$A$7,policy_name_clustering!$C$7,D392=policy_name_clustering!$A$8,policy_name_clustering!$C$8,D392=policy_name_clustering!$A$9,policy_name_clustering!$C$9,D392=policy_name_clustering!$A$10,policy_name_clustering!$C$10,D392=policy_name_clustering!$A$11,policy_name_clustering!$C$11,D392=policy_name_clustering!$A$12,policy_name_clustering!$C$12,D392="-","")</f>
        <v/>
      </c>
      <c r="G392" s="7">
        <f>solar_cum_cap!C356</f>
        <v>54</v>
      </c>
      <c r="H392" s="7">
        <f>estimated_capacity!C340</f>
        <v>76.580679238003299</v>
      </c>
      <c r="I392" s="7" cm="1">
        <f t="array" ref="I392">_xlfn.IFS(D392= ""," ",D392&lt;&gt; " ",F392*(G392/H392))</f>
        <v>0</v>
      </c>
      <c r="J392" s="7" cm="1">
        <f t="array" ref="J392">_xlfn.IFS(D392= ""," ",D392&lt;&gt; " ",(H392-F392)*(G392/H392))</f>
        <v>54</v>
      </c>
      <c r="K392" s="7" cm="1">
        <f t="array" ref="K392">IF(ISNUMBER(H392),_xlfn.IFS(D392= ""," ",D392&lt;&gt; " ",F392*(G392/H392)),"")</f>
        <v>0</v>
      </c>
    </row>
    <row r="393" spans="1:11" s="7" customFormat="1" hidden="1" x14ac:dyDescent="0.35">
      <c r="A393" s="7" t="s">
        <v>23</v>
      </c>
      <c r="B393" s="7">
        <v>2008</v>
      </c>
      <c r="D393" s="7" t="s">
        <v>73</v>
      </c>
      <c r="E393" s="7" t="str" cm="1">
        <f t="array" ref="E393">_xlfn.IFS(D393=policy_name_clustering!$A$2,policy_name_clustering!$C$2,D393=policy_name_clustering!$A$3,policy_name_clustering!$C$3,D393=policy_name_clustering!$A$4,policy_name_clustering!$C$4,D393=policy_name_clustering!$A$5,policy_name_clustering!$C$5,D393=policy_name_clustering!$A$6,policy_name_clustering!$C$6,D393=policy_name_clustering!$A$7,policy_name_clustering!$C$7,D393=policy_name_clustering!$A$8,policy_name_clustering!$C$8,D393=policy_name_clustering!$A$9,policy_name_clustering!$C$9,D393=policy_name_clustering!$A$10,policy_name_clustering!$C$10,D393=policy_name_clustering!$A$11,policy_name_clustering!$C$11,D393=policy_name_clustering!$A$12,policy_name_clustering!$C$12,D393="-","")</f>
        <v/>
      </c>
      <c r="G393" s="7">
        <f>solar_cum_cap!C357</f>
        <v>59</v>
      </c>
      <c r="H393" s="7">
        <f>estimated_capacity!C341</f>
        <v>119.048821321815</v>
      </c>
      <c r="I393" s="7" cm="1">
        <f t="array" ref="I393">_xlfn.IFS(D393= ""," ",D393&lt;&gt; " ",F393*(G393/H393))</f>
        <v>0</v>
      </c>
      <c r="J393" s="7" cm="1">
        <f t="array" ref="J393">_xlfn.IFS(D393= ""," ",D393&lt;&gt; " ",(H393-F393)*(G393/H393))</f>
        <v>59</v>
      </c>
      <c r="K393" s="7" cm="1">
        <f t="array" ref="K393">IF(ISNUMBER(H393),_xlfn.IFS(D393= ""," ",D393&lt;&gt; " ",F393*(G393/H393)),"")</f>
        <v>0</v>
      </c>
    </row>
    <row r="394" spans="1:11" s="7" customFormat="1" hidden="1" x14ac:dyDescent="0.35">
      <c r="A394" s="7" t="s">
        <v>23</v>
      </c>
      <c r="B394" s="7">
        <v>2009</v>
      </c>
      <c r="D394" s="7" t="s">
        <v>73</v>
      </c>
      <c r="E394" s="7" t="str" cm="1">
        <f t="array" ref="E394">_xlfn.IFS(D394=policy_name_clustering!$A$2,policy_name_clustering!$C$2,D394=policy_name_clustering!$A$3,policy_name_clustering!$C$3,D394=policy_name_clustering!$A$4,policy_name_clustering!$C$4,D394=policy_name_clustering!$A$5,policy_name_clustering!$C$5,D394=policy_name_clustering!$A$6,policy_name_clustering!$C$6,D394=policy_name_clustering!$A$7,policy_name_clustering!$C$7,D394=policy_name_clustering!$A$8,policy_name_clustering!$C$8,D394=policy_name_clustering!$A$9,policy_name_clustering!$C$9,D394=policy_name_clustering!$A$10,policy_name_clustering!$C$10,D394=policy_name_clustering!$A$11,policy_name_clustering!$C$11,D394=policy_name_clustering!$A$12,policy_name_clustering!$C$12,D394="-","")</f>
        <v/>
      </c>
      <c r="G394" s="7">
        <f>solar_cum_cap!C358</f>
        <v>69</v>
      </c>
      <c r="H394" s="7">
        <f>estimated_capacity!C342</f>
        <v>165.25175007834301</v>
      </c>
      <c r="I394" s="7" cm="1">
        <f t="array" ref="I394">_xlfn.IFS(D394= ""," ",D394&lt;&gt; " ",F394*(G394/H394))</f>
        <v>0</v>
      </c>
      <c r="J394" s="7" cm="1">
        <f t="array" ref="J394">_xlfn.IFS(D394= ""," ",D394&lt;&gt; " ",(H394-F394)*(G394/H394))</f>
        <v>69</v>
      </c>
      <c r="K394" s="7" cm="1">
        <f t="array" ref="K394">IF(ISNUMBER(H394),_xlfn.IFS(D394= ""," ",D394&lt;&gt; " ",F394*(G394/H394)),"")</f>
        <v>0</v>
      </c>
    </row>
    <row r="395" spans="1:11" s="7" customFormat="1" hidden="1" x14ac:dyDescent="0.35">
      <c r="A395" s="7" t="s">
        <v>23</v>
      </c>
      <c r="B395" s="7">
        <v>2010</v>
      </c>
      <c r="D395" s="7" t="s">
        <v>73</v>
      </c>
      <c r="E395" s="7" t="str" cm="1">
        <f t="array" ref="E395">_xlfn.IFS(D395=policy_name_clustering!$A$2,policy_name_clustering!$C$2,D395=policy_name_clustering!$A$3,policy_name_clustering!$C$3,D395=policy_name_clustering!$A$4,policy_name_clustering!$C$4,D395=policy_name_clustering!$A$5,policy_name_clustering!$C$5,D395=policy_name_clustering!$A$6,policy_name_clustering!$C$6,D395=policy_name_clustering!$A$7,policy_name_clustering!$C$7,D395=policy_name_clustering!$A$8,policy_name_clustering!$C$8,D395=policy_name_clustering!$A$9,policy_name_clustering!$C$9,D395=policy_name_clustering!$A$10,policy_name_clustering!$C$10,D395=policy_name_clustering!$A$11,policy_name_clustering!$C$11,D395=policy_name_clustering!$A$12,policy_name_clustering!$C$12,D395="-","")</f>
        <v/>
      </c>
      <c r="G395" s="7">
        <f>solar_cum_cap!C359</f>
        <v>90</v>
      </c>
      <c r="H395" s="7">
        <f>estimated_capacity!C343</f>
        <v>245.97439475135999</v>
      </c>
      <c r="I395" s="7" cm="1">
        <f t="array" ref="I395">_xlfn.IFS(D395= ""," ",D395&lt;&gt; " ",F395*(G395/H395))</f>
        <v>0</v>
      </c>
      <c r="J395" s="7" cm="1">
        <f t="array" ref="J395">_xlfn.IFS(D395= ""," ",D395&lt;&gt; " ",(H395-F395)*(G395/H395))</f>
        <v>90</v>
      </c>
      <c r="K395" s="7" cm="1">
        <f t="array" ref="K395">IF(ISNUMBER(H395),_xlfn.IFS(D395= ""," ",D395&lt;&gt; " ",F395*(G395/H395)),"")</f>
        <v>0</v>
      </c>
    </row>
    <row r="396" spans="1:11" s="7" customFormat="1" hidden="1" x14ac:dyDescent="0.35">
      <c r="A396" s="7" t="s">
        <v>23</v>
      </c>
      <c r="B396" s="7">
        <v>2011</v>
      </c>
      <c r="D396" s="7" t="s">
        <v>73</v>
      </c>
      <c r="E396" s="7" t="str" cm="1">
        <f t="array" ref="E396">_xlfn.IFS(D396=policy_name_clustering!$A$2,policy_name_clustering!$C$2,D396=policy_name_clustering!$A$3,policy_name_clustering!$C$3,D396=policy_name_clustering!$A$4,policy_name_clustering!$C$4,D396=policy_name_clustering!$A$5,policy_name_clustering!$C$5,D396=policy_name_clustering!$A$6,policy_name_clustering!$C$6,D396=policy_name_clustering!$A$7,policy_name_clustering!$C$7,D396=policy_name_clustering!$A$8,policy_name_clustering!$C$8,D396=policy_name_clustering!$A$9,policy_name_clustering!$C$9,D396=policy_name_clustering!$A$10,policy_name_clustering!$C$10,D396=policy_name_clustering!$A$11,policy_name_clustering!$C$11,D396=policy_name_clustering!$A$12,policy_name_clustering!$C$12,D396="-","")</f>
        <v/>
      </c>
      <c r="G396" s="7">
        <f>solar_cum_cap!C360</f>
        <v>149</v>
      </c>
      <c r="H396" s="7">
        <f>estimated_capacity!C344</f>
        <v>368.867992316737</v>
      </c>
      <c r="I396" s="7" cm="1">
        <f t="array" ref="I396">_xlfn.IFS(D396= ""," ",D396&lt;&gt; " ",F396*(G396/H396))</f>
        <v>0</v>
      </c>
      <c r="J396" s="7" cm="1">
        <f t="array" ref="J396">_xlfn.IFS(D396= ""," ",D396&lt;&gt; " ",(H396-F396)*(G396/H396))</f>
        <v>149</v>
      </c>
      <c r="K396" s="7" cm="1">
        <f t="array" ref="K396">IF(ISNUMBER(H396),_xlfn.IFS(D396= ""," ",D396&lt;&gt; " ",F396*(G396/H396)),"")</f>
        <v>0</v>
      </c>
    </row>
    <row r="397" spans="1:11" s="7" customFormat="1" hidden="1" x14ac:dyDescent="0.35">
      <c r="A397" s="7" t="s">
        <v>23</v>
      </c>
      <c r="B397" s="7">
        <v>2012</v>
      </c>
      <c r="D397" s="7" t="s">
        <v>73</v>
      </c>
      <c r="E397" s="7" t="str" cm="1">
        <f t="array" ref="E397">_xlfn.IFS(D397=policy_name_clustering!$A$2,policy_name_clustering!$C$2,D397=policy_name_clustering!$A$3,policy_name_clustering!$C$3,D397=policy_name_clustering!$A$4,policy_name_clustering!$C$4,D397=policy_name_clustering!$A$5,policy_name_clustering!$C$5,D397=policy_name_clustering!$A$6,policy_name_clustering!$C$6,D397=policy_name_clustering!$A$7,policy_name_clustering!$C$7,D397=policy_name_clustering!$A$8,policy_name_clustering!$C$8,D397=policy_name_clustering!$A$9,policy_name_clustering!$C$9,D397=policy_name_clustering!$A$10,policy_name_clustering!$C$10,D397=policy_name_clustering!$A$11,policy_name_clustering!$C$11,D397=policy_name_clustering!$A$12,policy_name_clustering!$C$12,D397="-","")</f>
        <v/>
      </c>
      <c r="G397" s="7">
        <f>solar_cum_cap!C361</f>
        <v>287</v>
      </c>
      <c r="H397" s="7">
        <f>estimated_capacity!C345</f>
        <v>515.61001491755599</v>
      </c>
      <c r="I397" s="7" cm="1">
        <f t="array" ref="I397">_xlfn.IFS(D397= ""," ",D397&lt;&gt; " ",F397*(G397/H397))</f>
        <v>0</v>
      </c>
      <c r="J397" s="7" cm="1">
        <f t="array" ref="J397">_xlfn.IFS(D397= ""," ",D397&lt;&gt; " ",(H397-F397)*(G397/H397))</f>
        <v>287</v>
      </c>
      <c r="K397" s="7" cm="1">
        <f t="array" ref="K397">IF(ISNUMBER(H397),_xlfn.IFS(D397= ""," ",D397&lt;&gt; " ",F397*(G397/H397)),"")</f>
        <v>0</v>
      </c>
    </row>
    <row r="398" spans="1:11" s="7" customFormat="1" x14ac:dyDescent="0.35">
      <c r="A398" s="7" t="s">
        <v>23</v>
      </c>
      <c r="B398" s="7">
        <v>2013</v>
      </c>
      <c r="C398" s="7" t="s">
        <v>122</v>
      </c>
      <c r="D398" s="7" t="s">
        <v>123</v>
      </c>
      <c r="E398" s="7" t="str" cm="1">
        <f t="array" ref="E398">_xlfn.IFS(D398=policy_name_clustering!$A$2,policy_name_clustering!$C$2,D398=policy_name_clustering!$A$3,policy_name_clustering!$C$3,D398=policy_name_clustering!$A$4,policy_name_clustering!$C$4,D398=policy_name_clustering!$A$5,policy_name_clustering!$C$5,D398=policy_name_clustering!$A$6,policy_name_clustering!$C$6,D398=policy_name_clustering!$A$7,policy_name_clustering!$C$7,D398=policy_name_clustering!$A$8,policy_name_clustering!$C$8,D398=policy_name_clustering!$A$9,policy_name_clustering!$C$9,D398=policy_name_clustering!$A$10,policy_name_clustering!$C$10,D398=policy_name_clustering!$A$11,policy_name_clustering!$C$11,D398=policy_name_clustering!$A$12,policy_name_clustering!$C$12,D398="-","")</f>
        <v xml:space="preserve">Policy mix </v>
      </c>
      <c r="F398" s="7">
        <f>policy_contributions_cum!F126</f>
        <v>118.06384775696201</v>
      </c>
      <c r="G398" s="7">
        <f>solar_cum_cap!C362</f>
        <v>650</v>
      </c>
      <c r="H398" s="7">
        <f>estimated_capacity!C346</f>
        <v>852.52498998608303</v>
      </c>
      <c r="I398" s="7" cm="1">
        <f t="array" ref="I398">_xlfn.IFS(D398= ""," ",D398&lt;&gt; " ",F398*(G398/H398))</f>
        <v>90.016717331978811</v>
      </c>
      <c r="J398" s="7" cm="1">
        <f t="array" ref="J398">_xlfn.IFS(D398= ""," ",D398&lt;&gt; " ",(H398-F398)*(G398/H398))</f>
        <v>559.98328266802116</v>
      </c>
      <c r="K398" s="7" cm="1">
        <f t="array" ref="K398">IF(ISNUMBER(H398),_xlfn.IFS(D398= ""," ",D398&lt;&gt; " ",F398*(G398/H398)),"")</f>
        <v>90.016717331978811</v>
      </c>
    </row>
    <row r="399" spans="1:11" s="7" customFormat="1" x14ac:dyDescent="0.35">
      <c r="A399" s="7" t="s">
        <v>23</v>
      </c>
      <c r="B399" s="7">
        <v>2014</v>
      </c>
      <c r="C399" s="7" t="s">
        <v>122</v>
      </c>
      <c r="D399" s="7" t="s">
        <v>123</v>
      </c>
      <c r="E399" s="7" t="str" cm="1">
        <f t="array" ref="E399">_xlfn.IFS(D399=policy_name_clustering!$A$2,policy_name_clustering!$C$2,D399=policy_name_clustering!$A$3,policy_name_clustering!$C$3,D399=policy_name_clustering!$A$4,policy_name_clustering!$C$4,D399=policy_name_clustering!$A$5,policy_name_clustering!$C$5,D399=policy_name_clustering!$A$6,policy_name_clustering!$C$6,D399=policy_name_clustering!$A$7,policy_name_clustering!$C$7,D399=policy_name_clustering!$A$8,policy_name_clustering!$C$8,D399=policy_name_clustering!$A$9,policy_name_clustering!$C$9,D399=policy_name_clustering!$A$10,policy_name_clustering!$C$10,D399=policy_name_clustering!$A$11,policy_name_clustering!$C$11,D399=policy_name_clustering!$A$12,policy_name_clustering!$C$12,D399="-","")</f>
        <v xml:space="preserve">Policy mix </v>
      </c>
      <c r="F399" s="7">
        <f>policy_contributions_cum!F127</f>
        <v>384.03555411030402</v>
      </c>
      <c r="G399" s="7">
        <f>solar_cum_cap!C363</f>
        <v>1007</v>
      </c>
      <c r="H399" s="7">
        <f>estimated_capacity!C347</f>
        <v>1345.12909884087</v>
      </c>
      <c r="I399" s="7" cm="1">
        <f t="array" ref="I399">_xlfn.IFS(D399= ""," ",D399&lt;&gt; " ",F399*(G399/H399))</f>
        <v>287.49939565081542</v>
      </c>
      <c r="J399" s="7" cm="1">
        <f t="array" ref="J399">_xlfn.IFS(D399= ""," ",D399&lt;&gt; " ",(H399-F399)*(G399/H399))</f>
        <v>719.50060434918453</v>
      </c>
      <c r="K399" s="7" cm="1">
        <f t="array" ref="K399">IF(ISNUMBER(H399),_xlfn.IFS(D399= ""," ",D399&lt;&gt; " ",F399*(G399/H399)),"")</f>
        <v>287.49939565081542</v>
      </c>
    </row>
    <row r="400" spans="1:11" s="7" customFormat="1" x14ac:dyDescent="0.35">
      <c r="A400" s="7" t="s">
        <v>23</v>
      </c>
      <c r="B400" s="7">
        <v>2015</v>
      </c>
      <c r="C400" s="7" t="s">
        <v>122</v>
      </c>
      <c r="D400" s="7" t="s">
        <v>123</v>
      </c>
      <c r="E400" s="7" t="str" cm="1">
        <f t="array" ref="E400">_xlfn.IFS(D400=policy_name_clustering!$A$2,policy_name_clustering!$C$2,D400=policy_name_clustering!$A$3,policy_name_clustering!$C$3,D400=policy_name_clustering!$A$4,policy_name_clustering!$C$4,D400=policy_name_clustering!$A$5,policy_name_clustering!$C$5,D400=policy_name_clustering!$A$6,policy_name_clustering!$C$6,D400=policy_name_clustering!$A$7,policy_name_clustering!$C$7,D400=policy_name_clustering!$A$8,policy_name_clustering!$C$8,D400=policy_name_clustering!$A$9,policy_name_clustering!$C$9,D400=policy_name_clustering!$A$10,policy_name_clustering!$C$10,D400=policy_name_clustering!$A$11,policy_name_clustering!$C$11,D400=policy_name_clustering!$A$12,policy_name_clustering!$C$12,D400="-","")</f>
        <v xml:space="preserve">Policy mix </v>
      </c>
      <c r="F400" s="7">
        <f>policy_contributions_cum!F128</f>
        <v>796.23942750153299</v>
      </c>
      <c r="G400" s="7">
        <f>solar_cum_cap!C364</f>
        <v>1526.259</v>
      </c>
      <c r="H400" s="7">
        <f>estimated_capacity!C348</f>
        <v>1944.61114001756</v>
      </c>
      <c r="I400" s="7" cm="1">
        <f t="array" ref="I400">_xlfn.IFS(D400= ""," ",D400&lt;&gt; " ",F400*(G400/H400))</f>
        <v>624.94118611708063</v>
      </c>
      <c r="J400" s="7" cm="1">
        <f t="array" ref="J400">_xlfn.IFS(D400= ""," ",D400&lt;&gt; " ",(H400-F400)*(G400/H400))</f>
        <v>901.31781388291938</v>
      </c>
      <c r="K400" s="7" cm="1">
        <f t="array" ref="K400">IF(ISNUMBER(H400),_xlfn.IFS(D400= ""," ",D400&lt;&gt; " ",F400*(G400/H400)),"")</f>
        <v>624.94118611708063</v>
      </c>
    </row>
    <row r="401" spans="1:11" s="7" customFormat="1" x14ac:dyDescent="0.35">
      <c r="A401" s="7" t="s">
        <v>23</v>
      </c>
      <c r="B401" s="7">
        <v>2016</v>
      </c>
      <c r="C401" s="7" t="s">
        <v>122</v>
      </c>
      <c r="D401" s="7" t="s">
        <v>123</v>
      </c>
      <c r="E401" s="7" t="str" cm="1">
        <f t="array" ref="E401">_xlfn.IFS(D401=policy_name_clustering!$A$2,policy_name_clustering!$C$2,D401=policy_name_clustering!$A$3,policy_name_clustering!$C$3,D401=policy_name_clustering!$A$4,policy_name_clustering!$C$4,D401=policy_name_clustering!$A$5,policy_name_clustering!$C$5,D401=policy_name_clustering!$A$6,policy_name_clustering!$C$6,D401=policy_name_clustering!$A$7,policy_name_clustering!$C$7,D401=policy_name_clustering!$A$8,policy_name_clustering!$C$8,D401=policy_name_clustering!$A$9,policy_name_clustering!$C$9,D401=policy_name_clustering!$A$10,policy_name_clustering!$C$10,D401=policy_name_clustering!$A$11,policy_name_clustering!$C$11,D401=policy_name_clustering!$A$12,policy_name_clustering!$C$12,D401="-","")</f>
        <v xml:space="preserve">Policy mix </v>
      </c>
      <c r="F401" s="7">
        <f>policy_contributions_cum!F129</f>
        <v>1390.8532520691299</v>
      </c>
      <c r="G401" s="7">
        <f>solar_cum_cap!C365</f>
        <v>2135.0210000000002</v>
      </c>
      <c r="H401" s="7">
        <f>estimated_capacity!C349</f>
        <v>2710.4362215431502</v>
      </c>
      <c r="I401" s="7" cm="1">
        <f t="array" ref="I401">_xlfn.IFS(D401= ""," ",D401&lt;&gt; " ",F401*(G401/H401))</f>
        <v>1095.5804373789106</v>
      </c>
      <c r="J401" s="7" cm="1">
        <f t="array" ref="J401">_xlfn.IFS(D401= ""," ",D401&lt;&gt; " ",(H401-F401)*(G401/H401))</f>
        <v>1039.4405626210896</v>
      </c>
      <c r="K401" s="7" cm="1">
        <f t="array" ref="K401">IF(ISNUMBER(H401),_xlfn.IFS(D401= ""," ",D401&lt;&gt; " ",F401*(G401/H401)),"")</f>
        <v>1095.5804373789106</v>
      </c>
    </row>
    <row r="402" spans="1:11" s="7" customFormat="1" x14ac:dyDescent="0.35">
      <c r="A402" s="7" t="s">
        <v>23</v>
      </c>
      <c r="B402" s="7">
        <v>2017</v>
      </c>
      <c r="C402" s="7" t="s">
        <v>122</v>
      </c>
      <c r="D402" s="7" t="s">
        <v>123</v>
      </c>
      <c r="E402" s="7" t="str" cm="1">
        <f t="array" ref="E402">_xlfn.IFS(D402=policy_name_clustering!$A$2,policy_name_clustering!$C$2,D402=policy_name_clustering!$A$3,policy_name_clustering!$C$3,D402=policy_name_clustering!$A$4,policy_name_clustering!$C$4,D402=policy_name_clustering!$A$5,policy_name_clustering!$C$5,D402=policy_name_clustering!$A$6,policy_name_clustering!$C$6,D402=policy_name_clustering!$A$7,policy_name_clustering!$C$7,D402=policy_name_clustering!$A$8,policy_name_clustering!$C$8,D402=policy_name_clustering!$A$9,policy_name_clustering!$C$9,D402=policy_name_clustering!$A$10,policy_name_clustering!$C$10,D402=policy_name_clustering!$A$11,policy_name_clustering!$C$11,D402=policy_name_clustering!$A$12,policy_name_clustering!$C$12,D402="-","")</f>
        <v xml:space="preserve">Policy mix </v>
      </c>
      <c r="F402" s="7">
        <f>policy_contributions_cum!F130</f>
        <v>2303.4447008768998</v>
      </c>
      <c r="G402" s="7">
        <f>solar_cum_cap!C366</f>
        <v>2910.8919999999998</v>
      </c>
      <c r="H402" s="7">
        <f>estimated_capacity!C350</f>
        <v>3840.65938000607</v>
      </c>
      <c r="I402" s="7" cm="1">
        <f t="array" ref="I402">_xlfn.IFS(D402= ""," ",D402&lt;&gt; " ",F402*(G402/H402))</f>
        <v>1745.8144784019778</v>
      </c>
      <c r="J402" s="7" cm="1">
        <f t="array" ref="J402">_xlfn.IFS(D402= ""," ",D402&lt;&gt; " ",(H402-F402)*(G402/H402))</f>
        <v>1165.0775215980223</v>
      </c>
      <c r="K402" s="7" cm="1">
        <f t="array" ref="K402">IF(ISNUMBER(H402),_xlfn.IFS(D402= ""," ",D402&lt;&gt; " ",F402*(G402/H402)),"")</f>
        <v>1745.8144784019778</v>
      </c>
    </row>
    <row r="403" spans="1:11" s="7" customFormat="1" x14ac:dyDescent="0.35">
      <c r="A403" s="7" t="s">
        <v>23</v>
      </c>
      <c r="B403" s="7">
        <v>2018</v>
      </c>
      <c r="C403" s="7" t="s">
        <v>122</v>
      </c>
      <c r="D403" s="7" t="s">
        <v>123</v>
      </c>
      <c r="E403" s="7" t="str" cm="1">
        <f t="array" ref="E403">_xlfn.IFS(D403=policy_name_clustering!$A$2,policy_name_clustering!$C$2,D403=policy_name_clustering!$A$3,policy_name_clustering!$C$3,D403=policy_name_clustering!$A$4,policy_name_clustering!$C$4,D403=policy_name_clustering!$A$5,policy_name_clustering!$C$5,D403=policy_name_clustering!$A$6,policy_name_clustering!$C$6,D403=policy_name_clustering!$A$7,policy_name_clustering!$C$7,D403=policy_name_clustering!$A$8,policy_name_clustering!$C$8,D403=policy_name_clustering!$A$9,policy_name_clustering!$C$9,D403=policy_name_clustering!$A$10,policy_name_clustering!$C$10,D403=policy_name_clustering!$A$11,policy_name_clustering!$C$11,D403=policy_name_clustering!$A$12,policy_name_clustering!$C$12,D403="-","")</f>
        <v xml:space="preserve">Policy mix </v>
      </c>
      <c r="F403" s="7">
        <f>policy_contributions_cum!F131</f>
        <v>3630.3477609165998</v>
      </c>
      <c r="G403" s="7">
        <f>solar_cum_cap!C367</f>
        <v>4608</v>
      </c>
      <c r="H403" s="7">
        <f>estimated_capacity!C351</f>
        <v>5426.5219524207796</v>
      </c>
      <c r="I403" s="7" cm="1">
        <f t="array" ref="I403">_xlfn.IFS(D403= ""," ",D403&lt;&gt; " ",F403*(G403/H403))</f>
        <v>3082.7558847045702</v>
      </c>
      <c r="J403" s="7" cm="1">
        <f t="array" ref="J403">_xlfn.IFS(D403= ""," ",D403&lt;&gt; " ",(H403-F403)*(G403/H403))</f>
        <v>1525.2441152954298</v>
      </c>
      <c r="K403" s="7" cm="1">
        <f t="array" ref="K403">IF(ISNUMBER(H403),_xlfn.IFS(D403= ""," ",D403&lt;&gt; " ",F403*(G403/H403)),"")</f>
        <v>3082.7558847045702</v>
      </c>
    </row>
    <row r="404" spans="1:11" s="7" customFormat="1" x14ac:dyDescent="0.35">
      <c r="A404" s="7" t="s">
        <v>23</v>
      </c>
      <c r="B404" s="7">
        <v>2019</v>
      </c>
      <c r="C404" s="7" t="s">
        <v>122</v>
      </c>
      <c r="D404" s="7" t="s">
        <v>123</v>
      </c>
      <c r="E404" s="7" t="str" cm="1">
        <f t="array" ref="E404">_xlfn.IFS(D404=policy_name_clustering!$A$2,policy_name_clustering!$C$2,D404=policy_name_clustering!$A$3,policy_name_clustering!$C$3,D404=policy_name_clustering!$A$4,policy_name_clustering!$C$4,D404=policy_name_clustering!$A$5,policy_name_clustering!$C$5,D404=policy_name_clustering!$A$6,policy_name_clustering!$C$6,D404=policy_name_clustering!$A$7,policy_name_clustering!$C$7,D404=policy_name_clustering!$A$8,policy_name_clustering!$C$8,D404=policy_name_clustering!$A$9,policy_name_clustering!$C$9,D404=policy_name_clustering!$A$10,policy_name_clustering!$C$10,D404=policy_name_clustering!$A$11,policy_name_clustering!$C$11,D404=policy_name_clustering!$A$12,policy_name_clustering!$C$12,D404="-","")</f>
        <v xml:space="preserve">Policy mix </v>
      </c>
      <c r="F404" s="7">
        <f>policy_contributions_cum!F132</f>
        <v>5155.7860958563897</v>
      </c>
      <c r="G404" s="7">
        <f>solar_cum_cap!C368</f>
        <v>7227.5950000000003</v>
      </c>
      <c r="H404" s="7">
        <f>estimated_capacity!C352</f>
        <v>7138.1008175837496</v>
      </c>
      <c r="I404" s="7" cm="1">
        <f t="array" ref="I404">_xlfn.IFS(D404= ""," ",D404&lt;&gt; " ",F404*(G404/H404))</f>
        <v>5220.4269398502311</v>
      </c>
      <c r="J404" s="7" cm="1">
        <f t="array" ref="J404">_xlfn.IFS(D404= ""," ",D404&lt;&gt; " ",(H404-F404)*(G404/H404))</f>
        <v>2007.1680601497696</v>
      </c>
      <c r="K404" s="7" cm="1">
        <f t="array" ref="K404">IF(ISNUMBER(H404),_xlfn.IFS(D404= ""," ",D404&lt;&gt; " ",F404*(G404/H404)),"")</f>
        <v>5220.4269398502311</v>
      </c>
    </row>
    <row r="405" spans="1:11" s="7" customFormat="1" x14ac:dyDescent="0.35">
      <c r="A405" s="7" t="s">
        <v>23</v>
      </c>
      <c r="B405" s="7">
        <v>2020</v>
      </c>
      <c r="C405" s="7" t="s">
        <v>122</v>
      </c>
      <c r="D405" s="7" t="s">
        <v>123</v>
      </c>
      <c r="E405" s="7" t="str" cm="1">
        <f t="array" ref="E405">_xlfn.IFS(D405=policy_name_clustering!$A$2,policy_name_clustering!$C$2,D405=policy_name_clustering!$A$3,policy_name_clustering!$C$3,D405=policy_name_clustering!$A$4,policy_name_clustering!$C$4,D405=policy_name_clustering!$A$5,policy_name_clustering!$C$5,D405=policy_name_clustering!$A$6,policy_name_clustering!$C$6,D405=policy_name_clustering!$A$7,policy_name_clustering!$C$7,D405=policy_name_clustering!$A$8,policy_name_clustering!$C$8,D405=policy_name_clustering!$A$9,policy_name_clustering!$C$9,D405=policy_name_clustering!$A$10,policy_name_clustering!$C$10,D405=policy_name_clustering!$A$11,policy_name_clustering!$C$11,D405=policy_name_clustering!$A$12,policy_name_clustering!$C$12,D405="-","")</f>
        <v xml:space="preserve">Policy mix </v>
      </c>
      <c r="F405" s="7">
        <f>policy_contributions_cum!F133</f>
        <v>6963.7454266468703</v>
      </c>
      <c r="G405" s="7">
        <f>solar_cum_cap!C369</f>
        <v>11110.022000000001</v>
      </c>
      <c r="H405" s="7">
        <f>estimated_capacity!C353</f>
        <v>9090.2287379671598</v>
      </c>
      <c r="I405" s="7" cm="1">
        <f t="array" ref="I405">_xlfn.IFS(D405= ""," ",D405&lt;&gt; " ",F405*(G405/H405))</f>
        <v>8511.0470949213686</v>
      </c>
      <c r="J405" s="7" cm="1">
        <f t="array" ref="J405">_xlfn.IFS(D405= ""," ",D405&lt;&gt; " ",(H405-F405)*(G405/H405))</f>
        <v>2598.9749050786336</v>
      </c>
      <c r="K405" s="7" cm="1">
        <f t="array" ref="K405">IF(ISNUMBER(H405),_xlfn.IFS(D405= ""," ",D405&lt;&gt; " ",F405*(G405/H405)),"")</f>
        <v>8511.0470949213686</v>
      </c>
    </row>
    <row r="406" spans="1:11" s="7" customFormat="1" x14ac:dyDescent="0.35">
      <c r="A406" s="7" t="s">
        <v>23</v>
      </c>
      <c r="B406" s="7">
        <v>2021</v>
      </c>
      <c r="C406" s="7" t="s">
        <v>122</v>
      </c>
      <c r="D406" s="7" t="s">
        <v>123</v>
      </c>
      <c r="E406" s="7" t="str" cm="1">
        <f t="array" ref="E406">_xlfn.IFS(D406=policy_name_clustering!$A$2,policy_name_clustering!$C$2,D406=policy_name_clustering!$A$3,policy_name_clustering!$C$3,D406=policy_name_clustering!$A$4,policy_name_clustering!$C$4,D406=policy_name_clustering!$A$5,policy_name_clustering!$C$5,D406=policy_name_clustering!$A$6,policy_name_clustering!$C$6,D406=policy_name_clustering!$A$7,policy_name_clustering!$C$7,D406=policy_name_clustering!$A$8,policy_name_clustering!$C$8,D406=policy_name_clustering!$A$9,policy_name_clustering!$C$9,D406=policy_name_clustering!$A$10,policy_name_clustering!$C$10,D406=policy_name_clustering!$A$11,policy_name_clustering!$C$11,D406=policy_name_clustering!$A$12,policy_name_clustering!$C$12,D406="-","")</f>
        <v xml:space="preserve">Policy mix </v>
      </c>
      <c r="F406" s="7">
        <f>policy_contributions_cum!F134</f>
        <v>9404.4253412620401</v>
      </c>
      <c r="G406" s="7">
        <f>solar_cum_cap!C370</f>
        <v>14822.88</v>
      </c>
      <c r="H406" s="7">
        <f>estimated_capacity!C354</f>
        <v>11701.5162193825</v>
      </c>
      <c r="I406" s="7" cm="1">
        <f t="array" ref="I406">_xlfn.IFS(D406= ""," ",D406&lt;&gt; " ",F406*(G406/H406))</f>
        <v>11913.043206450606</v>
      </c>
      <c r="J406" s="7" cm="1">
        <f t="array" ref="J406">_xlfn.IFS(D406= ""," ",D406&lt;&gt; " ",(H406-F406)*(G406/H406))</f>
        <v>2909.8367935493943</v>
      </c>
      <c r="K406" s="7" cm="1">
        <f t="array" ref="K406">IF(ISNUMBER(H406),_xlfn.IFS(D406= ""," ",D406&lt;&gt; " ",F406*(G406/H406)),"")</f>
        <v>11913.043206450606</v>
      </c>
    </row>
    <row r="407" spans="1:11" s="7" customFormat="1" x14ac:dyDescent="0.35">
      <c r="A407" s="7" t="s">
        <v>23</v>
      </c>
      <c r="B407" s="7">
        <v>2022</v>
      </c>
      <c r="C407" s="7" t="s">
        <v>122</v>
      </c>
      <c r="D407" s="7" t="s">
        <v>123</v>
      </c>
      <c r="E407" s="7" t="str" cm="1">
        <f t="array" ref="E407">_xlfn.IFS(D407=policy_name_clustering!$A$2,policy_name_clustering!$C$2,D407=policy_name_clustering!$A$3,policy_name_clustering!$C$3,D407=policy_name_clustering!$A$4,policy_name_clustering!$C$4,D407=policy_name_clustering!$A$5,policy_name_clustering!$C$5,D407=policy_name_clustering!$A$6,policy_name_clustering!$C$6,D407=policy_name_clustering!$A$7,policy_name_clustering!$C$7,D407=policy_name_clustering!$A$8,policy_name_clustering!$C$8,D407=policy_name_clustering!$A$9,policy_name_clustering!$C$9,D407=policy_name_clustering!$A$10,policy_name_clustering!$C$10,D407=policy_name_clustering!$A$11,policy_name_clustering!$C$11,D407=policy_name_clustering!$A$12,policy_name_clustering!$C$12,D407="-","")</f>
        <v xml:space="preserve">Policy mix </v>
      </c>
      <c r="F407" s="7">
        <f>policy_contributions_cum!F135</f>
        <v>13663.1990667482</v>
      </c>
      <c r="G407" s="7">
        <f>solar_cum_cap!C371</f>
        <v>17356.464</v>
      </c>
      <c r="H407" s="7">
        <f>estimated_capacity!C355</f>
        <v>16315.974484017899</v>
      </c>
      <c r="I407" s="7" cm="1">
        <f t="array" ref="I407">_xlfn.IFS(D407= ""," ",D407&lt;&gt; " ",F407*(G407/H407))</f>
        <v>14534.517871374515</v>
      </c>
      <c r="J407" s="7" cm="1">
        <f t="array" ref="J407">_xlfn.IFS(D407= ""," ",D407&lt;&gt; " ",(H407-F407)*(G407/H407))</f>
        <v>2821.946128625485</v>
      </c>
      <c r="K407" s="7" cm="1">
        <f t="array" ref="K407">IF(ISNUMBER(H407),_xlfn.IFS(D407= ""," ",D407&lt;&gt; " ",F407*(G407/H407)),"")</f>
        <v>14534.517871374515</v>
      </c>
    </row>
    <row r="408" spans="1:11" s="7" customFormat="1" x14ac:dyDescent="0.35">
      <c r="A408" s="7" t="s">
        <v>23</v>
      </c>
      <c r="B408" s="7">
        <v>2023</v>
      </c>
      <c r="C408" s="7" t="s">
        <v>122</v>
      </c>
      <c r="D408" s="7" t="s">
        <v>123</v>
      </c>
      <c r="E408" s="7" t="str" cm="1">
        <f t="array" ref="E408">_xlfn.IFS(D408=policy_name_clustering!$A$2,policy_name_clustering!$C$2,D408=policy_name_clustering!$A$3,policy_name_clustering!$C$3,D408=policy_name_clustering!$A$4,policy_name_clustering!$C$4,D408=policy_name_clustering!$A$5,policy_name_clustering!$C$5,D408=policy_name_clustering!$A$6,policy_name_clustering!$C$6,D408=policy_name_clustering!$A$7,policy_name_clustering!$C$7,D408=policy_name_clustering!$A$8,policy_name_clustering!$C$8,D408=policy_name_clustering!$A$9,policy_name_clustering!$C$9,D408=policy_name_clustering!$A$10,policy_name_clustering!$C$10,D408=policy_name_clustering!$A$11,policy_name_clustering!$C$11,D408=policy_name_clustering!$A$12,policy_name_clustering!$C$12,D408="-","")</f>
        <v xml:space="preserve">Policy mix </v>
      </c>
      <c r="F408" s="7">
        <f>policy_contributions_cum!F136</f>
        <v>19888.3208733475</v>
      </c>
      <c r="G408" s="7">
        <f>solar_cum_cap!C372</f>
        <v>21274.636999999999</v>
      </c>
      <c r="H408" s="7">
        <f>estimated_capacity!C356</f>
        <v>23007.3140027794</v>
      </c>
      <c r="I408" s="7" cm="1">
        <f t="array" ref="I408">_xlfn.IFS(D408= ""," ",D408&lt;&gt; " ",F408*(G408/H408))</f>
        <v>18390.534725995236</v>
      </c>
      <c r="J408" s="7" cm="1">
        <f t="array" ref="J408">_xlfn.IFS(D408= ""," ",D408&lt;&gt; " ",(H408-F408)*(G408/H408))</f>
        <v>2884.102274004762</v>
      </c>
      <c r="K408" s="7" cm="1">
        <f t="array" ref="K408">IF(ISNUMBER(H408),_xlfn.IFS(D408= ""," ",D408&lt;&gt; " ",F408*(G408/H408)),"")</f>
        <v>18390.534725995236</v>
      </c>
    </row>
    <row r="409" spans="1:11" s="7" customFormat="1" hidden="1" x14ac:dyDescent="0.35">
      <c r="A409" s="7" t="s">
        <v>25</v>
      </c>
      <c r="B409" s="7">
        <v>2001</v>
      </c>
      <c r="D409" s="7" t="s">
        <v>73</v>
      </c>
      <c r="E409" s="7" t="str" cm="1">
        <f t="array" ref="E409">_xlfn.IFS(D409=policy_name_clustering!$A$2,policy_name_clustering!$C$2,D409=policy_name_clustering!$A$3,policy_name_clustering!$C$3,D409=policy_name_clustering!$A$4,policy_name_clustering!$C$4,D409=policy_name_clustering!$A$5,policy_name_clustering!$C$5,D409=policy_name_clustering!$A$6,policy_name_clustering!$C$6,D409=policy_name_clustering!$A$7,policy_name_clustering!$C$7,D409=policy_name_clustering!$A$8,policy_name_clustering!$C$8,D409=policy_name_clustering!$A$9,policy_name_clustering!$C$9,D409=policy_name_clustering!$A$10,policy_name_clustering!$C$10,D409=policy_name_clustering!$A$11,policy_name_clustering!$C$11,D409=policy_name_clustering!$A$12,policy_name_clustering!$C$12,D409="-","")</f>
        <v/>
      </c>
      <c r="G409" s="7">
        <f>solar_cum_cap!C374</f>
        <v>0</v>
      </c>
      <c r="H409" s="7">
        <f>estimated_capacity!C357</f>
        <v>-38.356414526312903</v>
      </c>
      <c r="I409" s="7" cm="1">
        <f t="array" ref="I409">_xlfn.IFS(D409= ""," ",D409&lt;&gt; " ",F409*(G409/H409))</f>
        <v>0</v>
      </c>
      <c r="J409" s="7" cm="1">
        <f t="array" ref="J409">_xlfn.IFS(D409= ""," ",D409&lt;&gt; " ",(H409-F409)*(G409/H409))</f>
        <v>0</v>
      </c>
      <c r="K409" s="7" cm="1">
        <f t="array" ref="K409">IF(ISNUMBER(H409),_xlfn.IFS(D409= ""," ",D409&lt;&gt; " ",F409*(G409/H409)),"")</f>
        <v>0</v>
      </c>
    </row>
    <row r="410" spans="1:11" s="7" customFormat="1" hidden="1" x14ac:dyDescent="0.35">
      <c r="A410" s="7" t="s">
        <v>25</v>
      </c>
      <c r="B410" s="7">
        <v>2002</v>
      </c>
      <c r="D410" s="7" t="s">
        <v>73</v>
      </c>
      <c r="E410" s="7" t="str" cm="1">
        <f t="array" ref="E410">_xlfn.IFS(D410=policy_name_clustering!$A$2,policy_name_clustering!$C$2,D410=policy_name_clustering!$A$3,policy_name_clustering!$C$3,D410=policy_name_clustering!$A$4,policy_name_clustering!$C$4,D410=policy_name_clustering!$A$5,policy_name_clustering!$C$5,D410=policy_name_clustering!$A$6,policy_name_clustering!$C$6,D410=policy_name_clustering!$A$7,policy_name_clustering!$C$7,D410=policy_name_clustering!$A$8,policy_name_clustering!$C$8,D410=policy_name_clustering!$A$9,policy_name_clustering!$C$9,D410=policy_name_clustering!$A$10,policy_name_clustering!$C$10,D410=policy_name_clustering!$A$11,policy_name_clustering!$C$11,D410=policy_name_clustering!$A$12,policy_name_clustering!$C$12,D410="-","")</f>
        <v/>
      </c>
      <c r="G410" s="7">
        <f>solar_cum_cap!C375</f>
        <v>0</v>
      </c>
      <c r="H410" s="7">
        <f>estimated_capacity!C358</f>
        <v>-108.71590699618299</v>
      </c>
      <c r="I410" s="7" cm="1">
        <f t="array" ref="I410">_xlfn.IFS(D410= ""," ",D410&lt;&gt; " ",F410*(G410/H410))</f>
        <v>0</v>
      </c>
      <c r="J410" s="7" cm="1">
        <f t="array" ref="J410">_xlfn.IFS(D410= ""," ",D410&lt;&gt; " ",(H410-F410)*(G410/H410))</f>
        <v>0</v>
      </c>
      <c r="K410" s="7" cm="1">
        <f t="array" ref="K410">IF(ISNUMBER(H410),_xlfn.IFS(D410= ""," ",D410&lt;&gt; " ",F410*(G410/H410)),"")</f>
        <v>0</v>
      </c>
    </row>
    <row r="411" spans="1:11" s="7" customFormat="1" hidden="1" x14ac:dyDescent="0.35">
      <c r="A411" s="7" t="s">
        <v>25</v>
      </c>
      <c r="B411" s="7">
        <v>2003</v>
      </c>
      <c r="D411" s="7" t="s">
        <v>73</v>
      </c>
      <c r="E411" s="7" t="str" cm="1">
        <f t="array" ref="E411">_xlfn.IFS(D411=policy_name_clustering!$A$2,policy_name_clustering!$C$2,D411=policy_name_clustering!$A$3,policy_name_clustering!$C$3,D411=policy_name_clustering!$A$4,policy_name_clustering!$C$4,D411=policy_name_clustering!$A$5,policy_name_clustering!$C$5,D411=policy_name_clustering!$A$6,policy_name_clustering!$C$6,D411=policy_name_clustering!$A$7,policy_name_clustering!$C$7,D411=policy_name_clustering!$A$8,policy_name_clustering!$C$8,D411=policy_name_clustering!$A$9,policy_name_clustering!$C$9,D411=policy_name_clustering!$A$10,policy_name_clustering!$C$10,D411=policy_name_clustering!$A$11,policy_name_clustering!$C$11,D411=policy_name_clustering!$A$12,policy_name_clustering!$C$12,D411="-","")</f>
        <v/>
      </c>
      <c r="G411" s="7">
        <f>solar_cum_cap!C376</f>
        <v>0</v>
      </c>
      <c r="H411" s="7">
        <f>estimated_capacity!C359</f>
        <v>-172.424664068059</v>
      </c>
      <c r="I411" s="7" cm="1">
        <f t="array" ref="I411">_xlfn.IFS(D411= ""," ",D411&lt;&gt; " ",F411*(G411/H411))</f>
        <v>0</v>
      </c>
      <c r="J411" s="7" cm="1">
        <f t="array" ref="J411">_xlfn.IFS(D411= ""," ",D411&lt;&gt; " ",(H411-F411)*(G411/H411))</f>
        <v>0</v>
      </c>
      <c r="K411" s="7" cm="1">
        <f t="array" ref="K411">IF(ISNUMBER(H411),_xlfn.IFS(D411= ""," ",D411&lt;&gt; " ",F411*(G411/H411)),"")</f>
        <v>0</v>
      </c>
    </row>
    <row r="412" spans="1:11" s="7" customFormat="1" hidden="1" x14ac:dyDescent="0.35">
      <c r="A412" s="7" t="s">
        <v>25</v>
      </c>
      <c r="B412" s="7">
        <v>2004</v>
      </c>
      <c r="D412" s="7" t="s">
        <v>73</v>
      </c>
      <c r="E412" s="7" t="str" cm="1">
        <f t="array" ref="E412">_xlfn.IFS(D412=policy_name_clustering!$A$2,policy_name_clustering!$C$2,D412=policy_name_clustering!$A$3,policy_name_clustering!$C$3,D412=policy_name_clustering!$A$4,policy_name_clustering!$C$4,D412=policy_name_clustering!$A$5,policy_name_clustering!$C$5,D412=policy_name_clustering!$A$6,policy_name_clustering!$C$6,D412=policy_name_clustering!$A$7,policy_name_clustering!$C$7,D412=policy_name_clustering!$A$8,policy_name_clustering!$C$8,D412=policy_name_clustering!$A$9,policy_name_clustering!$C$9,D412=policy_name_clustering!$A$10,policy_name_clustering!$C$10,D412=policy_name_clustering!$A$11,policy_name_clustering!$C$11,D412=policy_name_clustering!$A$12,policy_name_clustering!$C$12,D412="-","")</f>
        <v/>
      </c>
      <c r="G412" s="7">
        <f>solar_cum_cap!C377</f>
        <v>0</v>
      </c>
      <c r="H412" s="7">
        <f>estimated_capacity!C360</f>
        <v>-204.97486877441301</v>
      </c>
      <c r="I412" s="7" cm="1">
        <f t="array" ref="I412">_xlfn.IFS(D412= ""," ",D412&lt;&gt; " ",F412*(G412/H412))</f>
        <v>0</v>
      </c>
      <c r="J412" s="7" cm="1">
        <f t="array" ref="J412">_xlfn.IFS(D412= ""," ",D412&lt;&gt; " ",(H412-F412)*(G412/H412))</f>
        <v>0</v>
      </c>
      <c r="K412" s="7" cm="1">
        <f t="array" ref="K412">IF(ISNUMBER(H412),_xlfn.IFS(D412= ""," ",D412&lt;&gt; " ",F412*(G412/H412)),"")</f>
        <v>0</v>
      </c>
    </row>
    <row r="413" spans="1:11" s="7" customFormat="1" hidden="1" x14ac:dyDescent="0.35">
      <c r="A413" s="7" t="s">
        <v>25</v>
      </c>
      <c r="B413" s="7">
        <v>2005</v>
      </c>
      <c r="D413" s="7" t="s">
        <v>73</v>
      </c>
      <c r="E413" s="7" t="str" cm="1">
        <f t="array" ref="E413">_xlfn.IFS(D413=policy_name_clustering!$A$2,policy_name_clustering!$C$2,D413=policy_name_clustering!$A$3,policy_name_clustering!$C$3,D413=policy_name_clustering!$A$4,policy_name_clustering!$C$4,D413=policy_name_clustering!$A$5,policy_name_clustering!$C$5,D413=policy_name_clustering!$A$6,policy_name_clustering!$C$6,D413=policy_name_clustering!$A$7,policy_name_clustering!$C$7,D413=policy_name_clustering!$A$8,policy_name_clustering!$C$8,D413=policy_name_clustering!$A$9,policy_name_clustering!$C$9,D413=policy_name_clustering!$A$10,policy_name_clustering!$C$10,D413=policy_name_clustering!$A$11,policy_name_clustering!$C$11,D413=policy_name_clustering!$A$12,policy_name_clustering!$C$12,D413="-","")</f>
        <v/>
      </c>
      <c r="G413" s="7">
        <f>solar_cum_cap!C378</f>
        <v>0</v>
      </c>
      <c r="H413" s="7">
        <f>estimated_capacity!C361</f>
        <v>-245.24231121877199</v>
      </c>
      <c r="I413" s="7" cm="1">
        <f t="array" ref="I413">_xlfn.IFS(D413= ""," ",D413&lt;&gt; " ",F413*(G413/H413))</f>
        <v>0</v>
      </c>
      <c r="J413" s="7" cm="1">
        <f t="array" ref="J413">_xlfn.IFS(D413= ""," ",D413&lt;&gt; " ",(H413-F413)*(G413/H413))</f>
        <v>0</v>
      </c>
      <c r="K413" s="7" cm="1">
        <f t="array" ref="K413">IF(ISNUMBER(H413),_xlfn.IFS(D413= ""," ",D413&lt;&gt; " ",F413*(G413/H413)),"")</f>
        <v>0</v>
      </c>
    </row>
    <row r="414" spans="1:11" s="7" customFormat="1" hidden="1" x14ac:dyDescent="0.35">
      <c r="A414" s="7" t="s">
        <v>25</v>
      </c>
      <c r="B414" s="7">
        <v>2006</v>
      </c>
      <c r="D414" s="7" t="s">
        <v>73</v>
      </c>
      <c r="E414" s="7" t="str" cm="1">
        <f t="array" ref="E414">_xlfn.IFS(D414=policy_name_clustering!$A$2,policy_name_clustering!$C$2,D414=policy_name_clustering!$A$3,policy_name_clustering!$C$3,D414=policy_name_clustering!$A$4,policy_name_clustering!$C$4,D414=policy_name_clustering!$A$5,policy_name_clustering!$C$5,D414=policy_name_clustering!$A$6,policy_name_clustering!$C$6,D414=policy_name_clustering!$A$7,policy_name_clustering!$C$7,D414=policy_name_clustering!$A$8,policy_name_clustering!$C$8,D414=policy_name_clustering!$A$9,policy_name_clustering!$C$9,D414=policy_name_clustering!$A$10,policy_name_clustering!$C$10,D414=policy_name_clustering!$A$11,policy_name_clustering!$C$11,D414=policy_name_clustering!$A$12,policy_name_clustering!$C$12,D414="-","")</f>
        <v/>
      </c>
      <c r="G414" s="7">
        <f>solar_cum_cap!C379</f>
        <v>0</v>
      </c>
      <c r="H414" s="7">
        <f>estimated_capacity!C362</f>
        <v>-287.54243222477601</v>
      </c>
      <c r="I414" s="7" cm="1">
        <f t="array" ref="I414">_xlfn.IFS(D414= ""," ",D414&lt;&gt; " ",F414*(G414/H414))</f>
        <v>0</v>
      </c>
      <c r="J414" s="7" cm="1">
        <f t="array" ref="J414">_xlfn.IFS(D414= ""," ",D414&lt;&gt; " ",(H414-F414)*(G414/H414))</f>
        <v>0</v>
      </c>
      <c r="K414" s="7" cm="1">
        <f t="array" ref="K414">IF(ISNUMBER(H414),_xlfn.IFS(D414= ""," ",D414&lt;&gt; " ",F414*(G414/H414)),"")</f>
        <v>0</v>
      </c>
    </row>
    <row r="415" spans="1:11" s="7" customFormat="1" hidden="1" x14ac:dyDescent="0.35">
      <c r="A415" s="7" t="s">
        <v>25</v>
      </c>
      <c r="B415" s="7">
        <v>2007</v>
      </c>
      <c r="D415" s="7" t="s">
        <v>73</v>
      </c>
      <c r="E415" s="7" t="str" cm="1">
        <f t="array" ref="E415">_xlfn.IFS(D415=policy_name_clustering!$A$2,policy_name_clustering!$C$2,D415=policy_name_clustering!$A$3,policy_name_clustering!$C$3,D415=policy_name_clustering!$A$4,policy_name_clustering!$C$4,D415=policy_name_clustering!$A$5,policy_name_clustering!$C$5,D415=policy_name_clustering!$A$6,policy_name_clustering!$C$6,D415=policy_name_clustering!$A$7,policy_name_clustering!$C$7,D415=policy_name_clustering!$A$8,policy_name_clustering!$C$8,D415=policy_name_clustering!$A$9,policy_name_clustering!$C$9,D415=policy_name_clustering!$A$10,policy_name_clustering!$C$10,D415=policy_name_clustering!$A$11,policy_name_clustering!$C$11,D415=policy_name_clustering!$A$12,policy_name_clustering!$C$12,D415="-","")</f>
        <v/>
      </c>
      <c r="G415" s="7">
        <f>solar_cum_cap!C380</f>
        <v>0</v>
      </c>
      <c r="H415" s="7">
        <f>estimated_capacity!C363</f>
        <v>-329.44047107991099</v>
      </c>
      <c r="I415" s="7" cm="1">
        <f t="array" ref="I415">_xlfn.IFS(D415= ""," ",D415&lt;&gt; " ",F415*(G415/H415))</f>
        <v>0</v>
      </c>
      <c r="J415" s="7" cm="1">
        <f t="array" ref="J415">_xlfn.IFS(D415= ""," ",D415&lt;&gt; " ",(H415-F415)*(G415/H415))</f>
        <v>0</v>
      </c>
      <c r="K415" s="7" cm="1">
        <f t="array" ref="K415">IF(ISNUMBER(H415),_xlfn.IFS(D415= ""," ",D415&lt;&gt; " ",F415*(G415/H415)),"")</f>
        <v>0</v>
      </c>
    </row>
    <row r="416" spans="1:11" s="7" customFormat="1" hidden="1" x14ac:dyDescent="0.35">
      <c r="A416" s="7" t="s">
        <v>25</v>
      </c>
      <c r="B416" s="7">
        <v>2008</v>
      </c>
      <c r="D416" s="7" t="s">
        <v>73</v>
      </c>
      <c r="E416" s="7" t="str" cm="1">
        <f t="array" ref="E416">_xlfn.IFS(D416=policy_name_clustering!$A$2,policy_name_clustering!$C$2,D416=policy_name_clustering!$A$3,policy_name_clustering!$C$3,D416=policy_name_clustering!$A$4,policy_name_clustering!$C$4,D416=policy_name_clustering!$A$5,policy_name_clustering!$C$5,D416=policy_name_clustering!$A$6,policy_name_clustering!$C$6,D416=policy_name_clustering!$A$7,policy_name_clustering!$C$7,D416=policy_name_clustering!$A$8,policy_name_clustering!$C$8,D416=policy_name_clustering!$A$9,policy_name_clustering!$C$9,D416=policy_name_clustering!$A$10,policy_name_clustering!$C$10,D416=policy_name_clustering!$A$11,policy_name_clustering!$C$11,D416=policy_name_clustering!$A$12,policy_name_clustering!$C$12,D416="-","")</f>
        <v/>
      </c>
      <c r="G416" s="7">
        <f>solar_cum_cap!C381</f>
        <v>0</v>
      </c>
      <c r="H416" s="7">
        <f>estimated_capacity!C364</f>
        <v>-351.38960564963099</v>
      </c>
      <c r="I416" s="7" cm="1">
        <f t="array" ref="I416">_xlfn.IFS(D416= ""," ",D416&lt;&gt; " ",F416*(G416/H416))</f>
        <v>0</v>
      </c>
      <c r="J416" s="7" cm="1">
        <f t="array" ref="J416">_xlfn.IFS(D416= ""," ",D416&lt;&gt; " ",(H416-F416)*(G416/H416))</f>
        <v>0</v>
      </c>
      <c r="K416" s="7" cm="1">
        <f t="array" ref="K416">IF(ISNUMBER(H416),_xlfn.IFS(D416= ""," ",D416&lt;&gt; " ",F416*(G416/H416)),"")</f>
        <v>0</v>
      </c>
    </row>
    <row r="417" spans="1:11" s="7" customFormat="1" hidden="1" x14ac:dyDescent="0.35">
      <c r="A417" s="7" t="s">
        <v>25</v>
      </c>
      <c r="B417" s="7">
        <v>2009</v>
      </c>
      <c r="D417" s="7" t="s">
        <v>73</v>
      </c>
      <c r="E417" s="7" t="str" cm="1">
        <f t="array" ref="E417">_xlfn.IFS(D417=policy_name_clustering!$A$2,policy_name_clustering!$C$2,D417=policy_name_clustering!$A$3,policy_name_clustering!$C$3,D417=policy_name_clustering!$A$4,policy_name_clustering!$C$4,D417=policy_name_clustering!$A$5,policy_name_clustering!$C$5,D417=policy_name_clustering!$A$6,policy_name_clustering!$C$6,D417=policy_name_clustering!$A$7,policy_name_clustering!$C$7,D417=policy_name_clustering!$A$8,policy_name_clustering!$C$8,D417=policy_name_clustering!$A$9,policy_name_clustering!$C$9,D417=policy_name_clustering!$A$10,policy_name_clustering!$C$10,D417=policy_name_clustering!$A$11,policy_name_clustering!$C$11,D417=policy_name_clustering!$A$12,policy_name_clustering!$C$12,D417="-","")</f>
        <v/>
      </c>
      <c r="G417" s="7">
        <f>solar_cum_cap!C382</f>
        <v>0</v>
      </c>
      <c r="H417" s="7">
        <f>estimated_capacity!C365</f>
        <v>-358.16240030019901</v>
      </c>
      <c r="I417" s="7" cm="1">
        <f t="array" ref="I417">_xlfn.IFS(D417= ""," ",D417&lt;&gt; " ",F417*(G417/H417))</f>
        <v>0</v>
      </c>
      <c r="J417" s="7" cm="1">
        <f t="array" ref="J417">_xlfn.IFS(D417= ""," ",D417&lt;&gt; " ",(H417-F417)*(G417/H417))</f>
        <v>0</v>
      </c>
      <c r="K417" s="7" cm="1">
        <f t="array" ref="K417">IF(ISNUMBER(H417),_xlfn.IFS(D417= ""," ",D417&lt;&gt; " ",F417*(G417/H417)),"")</f>
        <v>0</v>
      </c>
    </row>
    <row r="418" spans="1:11" s="7" customFormat="1" hidden="1" x14ac:dyDescent="0.35">
      <c r="A418" s="7" t="s">
        <v>25</v>
      </c>
      <c r="B418" s="7">
        <v>2010</v>
      </c>
      <c r="D418" s="7" t="s">
        <v>73</v>
      </c>
      <c r="E418" s="7" t="str" cm="1">
        <f t="array" ref="E418">_xlfn.IFS(D418=policy_name_clustering!$A$2,policy_name_clustering!$C$2,D418=policy_name_clustering!$A$3,policy_name_clustering!$C$3,D418=policy_name_clustering!$A$4,policy_name_clustering!$C$4,D418=policy_name_clustering!$A$5,policy_name_clustering!$C$5,D418=policy_name_clustering!$A$6,policy_name_clustering!$C$6,D418=policy_name_clustering!$A$7,policy_name_clustering!$C$7,D418=policy_name_clustering!$A$8,policy_name_clustering!$C$8,D418=policy_name_clustering!$A$9,policy_name_clustering!$C$9,D418=policy_name_clustering!$A$10,policy_name_clustering!$C$10,D418=policy_name_clustering!$A$11,policy_name_clustering!$C$11,D418=policy_name_clustering!$A$12,policy_name_clustering!$C$12,D418="-","")</f>
        <v/>
      </c>
      <c r="G418" s="7">
        <f>solar_cum_cap!C383</f>
        <v>0</v>
      </c>
      <c r="H418" s="7">
        <f>estimated_capacity!C366</f>
        <v>-322.237947923805</v>
      </c>
      <c r="I418" s="7" cm="1">
        <f t="array" ref="I418">_xlfn.IFS(D418= ""," ",D418&lt;&gt; " ",F418*(G418/H418))</f>
        <v>0</v>
      </c>
      <c r="J418" s="7" cm="1">
        <f t="array" ref="J418">_xlfn.IFS(D418= ""," ",D418&lt;&gt; " ",(H418-F418)*(G418/H418))</f>
        <v>0</v>
      </c>
      <c r="K418" s="7" cm="1">
        <f t="array" ref="K418">IF(ISNUMBER(H418),_xlfn.IFS(D418= ""," ",D418&lt;&gt; " ",F418*(G418/H418)),"")</f>
        <v>0</v>
      </c>
    </row>
    <row r="419" spans="1:11" s="7" customFormat="1" hidden="1" x14ac:dyDescent="0.35">
      <c r="A419" s="7" t="s">
        <v>25</v>
      </c>
      <c r="B419" s="7">
        <v>2011</v>
      </c>
      <c r="D419" s="7" t="s">
        <v>73</v>
      </c>
      <c r="E419" s="7" t="str" cm="1">
        <f t="array" ref="E419">_xlfn.IFS(D419=policy_name_clustering!$A$2,policy_name_clustering!$C$2,D419=policy_name_clustering!$A$3,policy_name_clustering!$C$3,D419=policy_name_clustering!$A$4,policy_name_clustering!$C$4,D419=policy_name_clustering!$A$5,policy_name_clustering!$C$5,D419=policy_name_clustering!$A$6,policy_name_clustering!$C$6,D419=policy_name_clustering!$A$7,policy_name_clustering!$C$7,D419=policy_name_clustering!$A$8,policy_name_clustering!$C$8,D419=policy_name_clustering!$A$9,policy_name_clustering!$C$9,D419=policy_name_clustering!$A$10,policy_name_clustering!$C$10,D419=policy_name_clustering!$A$11,policy_name_clustering!$C$11,D419=policy_name_clustering!$A$12,policy_name_clustering!$C$12,D419="-","")</f>
        <v/>
      </c>
      <c r="G419" s="7">
        <f>solar_cum_cap!C384</f>
        <v>1.1100000000000001</v>
      </c>
      <c r="H419" s="7">
        <f>estimated_capacity!C367</f>
        <v>-243.418319809727</v>
      </c>
      <c r="I419" s="7" cm="1">
        <f t="array" ref="I419">_xlfn.IFS(D419= ""," ",D419&lt;&gt; " ",F419*(G419/H419))</f>
        <v>0</v>
      </c>
      <c r="J419" s="7" cm="1">
        <f t="array" ref="J419">_xlfn.IFS(D419= ""," ",D419&lt;&gt; " ",(H419-F419)*(G419/H419))</f>
        <v>1.1100000000000001</v>
      </c>
      <c r="K419" s="7" cm="1">
        <f t="array" ref="K419">IF(ISNUMBER(H419),_xlfn.IFS(D419= ""," ",D419&lt;&gt; " ",F419*(G419/H419)),"")</f>
        <v>0</v>
      </c>
    </row>
    <row r="420" spans="1:11" s="7" customFormat="1" hidden="1" x14ac:dyDescent="0.35">
      <c r="A420" s="7" t="s">
        <v>25</v>
      </c>
      <c r="B420" s="7">
        <v>2012</v>
      </c>
      <c r="D420" s="7" t="s">
        <v>73</v>
      </c>
      <c r="E420" s="7" t="str" cm="1">
        <f t="array" ref="E420">_xlfn.IFS(D420=policy_name_clustering!$A$2,policy_name_clustering!$C$2,D420=policy_name_clustering!$A$3,policy_name_clustering!$C$3,D420=policy_name_clustering!$A$4,policy_name_clustering!$C$4,D420=policy_name_clustering!$A$5,policy_name_clustering!$C$5,D420=policy_name_clustering!$A$6,policy_name_clustering!$C$6,D420=policy_name_clustering!$A$7,policy_name_clustering!$C$7,D420=policy_name_clustering!$A$8,policy_name_clustering!$C$8,D420=policy_name_clustering!$A$9,policy_name_clustering!$C$9,D420=policy_name_clustering!$A$10,policy_name_clustering!$C$10,D420=policy_name_clustering!$A$11,policy_name_clustering!$C$11,D420=policy_name_clustering!$A$12,policy_name_clustering!$C$12,D420="-","")</f>
        <v/>
      </c>
      <c r="G420" s="7">
        <f>solar_cum_cap!C385</f>
        <v>1.3</v>
      </c>
      <c r="H420" s="7">
        <f>estimated_capacity!C368</f>
        <v>-121.73954026843001</v>
      </c>
      <c r="I420" s="7" cm="1">
        <f t="array" ref="I420">_xlfn.IFS(D420= ""," ",D420&lt;&gt; " ",F420*(G420/H420))</f>
        <v>0</v>
      </c>
      <c r="J420" s="7" cm="1">
        <f t="array" ref="J420">_xlfn.IFS(D420= ""," ",D420&lt;&gt; " ",(H420-F420)*(G420/H420))</f>
        <v>1.3</v>
      </c>
      <c r="K420" s="7" cm="1">
        <f t="array" ref="K420">IF(ISNUMBER(H420),_xlfn.IFS(D420= ""," ",D420&lt;&gt; " ",F420*(G420/H420)),"")</f>
        <v>0</v>
      </c>
    </row>
    <row r="421" spans="1:11" s="7" customFormat="1" hidden="1" x14ac:dyDescent="0.35">
      <c r="A421" s="7" t="s">
        <v>25</v>
      </c>
      <c r="B421" s="7">
        <v>2013</v>
      </c>
      <c r="D421" s="7" t="s">
        <v>73</v>
      </c>
      <c r="E421" s="7" t="str" cm="1">
        <f t="array" ref="E421">_xlfn.IFS(D421=policy_name_clustering!$A$2,policy_name_clustering!$C$2,D421=policy_name_clustering!$A$3,policy_name_clustering!$C$3,D421=policy_name_clustering!$A$4,policy_name_clustering!$C$4,D421=policy_name_clustering!$A$5,policy_name_clustering!$C$5,D421=policy_name_clustering!$A$6,policy_name_clustering!$C$6,D421=policy_name_clustering!$A$7,policy_name_clustering!$C$7,D421=policy_name_clustering!$A$8,policy_name_clustering!$C$8,D421=policy_name_clustering!$A$9,policy_name_clustering!$C$9,D421=policy_name_clustering!$A$10,policy_name_clustering!$C$10,D421=policy_name_clustering!$A$11,policy_name_clustering!$C$11,D421=policy_name_clustering!$A$12,policy_name_clustering!$C$12,D421="-","")</f>
        <v/>
      </c>
      <c r="G421" s="7">
        <f>solar_cum_cap!C386</f>
        <v>2.3929999999999998</v>
      </c>
      <c r="H421" s="7">
        <f>estimated_capacity!C369</f>
        <v>36.5166981760581</v>
      </c>
      <c r="I421" s="7" cm="1">
        <f t="array" ref="I421">_xlfn.IFS(D421= ""," ",D421&lt;&gt; " ",F421*(G421/H421))</f>
        <v>0</v>
      </c>
      <c r="J421" s="7" cm="1">
        <f t="array" ref="J421">_xlfn.IFS(D421= ""," ",D421&lt;&gt; " ",(H421-F421)*(G421/H421))</f>
        <v>2.3929999999999993</v>
      </c>
      <c r="K421" s="7" cm="1">
        <f t="array" ref="K421">IF(ISNUMBER(H421),_xlfn.IFS(D421= ""," ",D421&lt;&gt; " ",F421*(G421/H421)),"")</f>
        <v>0</v>
      </c>
    </row>
    <row r="422" spans="1:11" s="7" customFormat="1" hidden="1" x14ac:dyDescent="0.35">
      <c r="A422" s="7" t="s">
        <v>25</v>
      </c>
      <c r="B422" s="7">
        <v>2014</v>
      </c>
      <c r="D422" s="7" t="s">
        <v>73</v>
      </c>
      <c r="E422" s="7" t="str" cm="1">
        <f t="array" ref="E422">_xlfn.IFS(D422=policy_name_clustering!$A$2,policy_name_clustering!$C$2,D422=policy_name_clustering!$A$3,policy_name_clustering!$C$3,D422=policy_name_clustering!$A$4,policy_name_clustering!$C$4,D422=policy_name_clustering!$A$5,policy_name_clustering!$C$5,D422=policy_name_clustering!$A$6,policy_name_clustering!$C$6,D422=policy_name_clustering!$A$7,policy_name_clustering!$C$7,D422=policy_name_clustering!$A$8,policy_name_clustering!$C$8,D422=policy_name_clustering!$A$9,policy_name_clustering!$C$9,D422=policy_name_clustering!$A$10,policy_name_clustering!$C$10,D422=policy_name_clustering!$A$11,policy_name_clustering!$C$11,D422=policy_name_clustering!$A$12,policy_name_clustering!$C$12,D422="-","")</f>
        <v/>
      </c>
      <c r="G422" s="7">
        <f>solar_cum_cap!C387</f>
        <v>27.15</v>
      </c>
      <c r="H422" s="7">
        <f>estimated_capacity!C370</f>
        <v>218.76407715524499</v>
      </c>
      <c r="I422" s="7" cm="1">
        <f t="array" ref="I422">_xlfn.IFS(D422= ""," ",D422&lt;&gt; " ",F422*(G422/H422))</f>
        <v>0</v>
      </c>
      <c r="J422" s="7" cm="1">
        <f t="array" ref="J422">_xlfn.IFS(D422= ""," ",D422&lt;&gt; " ",(H422-F422)*(G422/H422))</f>
        <v>27.15</v>
      </c>
      <c r="K422" s="7" cm="1">
        <f t="array" ref="K422">IF(ISNUMBER(H422),_xlfn.IFS(D422= ""," ",D422&lt;&gt; " ",F422*(G422/H422)),"")</f>
        <v>0</v>
      </c>
    </row>
    <row r="423" spans="1:11" s="7" customFormat="1" hidden="1" x14ac:dyDescent="0.35">
      <c r="A423" s="7" t="s">
        <v>25</v>
      </c>
      <c r="B423" s="7">
        <v>2015</v>
      </c>
      <c r="D423" s="7" t="s">
        <v>73</v>
      </c>
      <c r="E423" s="7" t="str" cm="1">
        <f t="array" ref="E423">_xlfn.IFS(D423=policy_name_clustering!$A$2,policy_name_clustering!$C$2,D423=policy_name_clustering!$A$3,policy_name_clustering!$C$3,D423=policy_name_clustering!$A$4,policy_name_clustering!$C$4,D423=policy_name_clustering!$A$5,policy_name_clustering!$C$5,D423=policy_name_clustering!$A$6,policy_name_clustering!$C$6,D423=policy_name_clustering!$A$7,policy_name_clustering!$C$7,D423=policy_name_clustering!$A$8,policy_name_clustering!$C$8,D423=policy_name_clustering!$A$9,policy_name_clustering!$C$9,D423=policy_name_clustering!$A$10,policy_name_clustering!$C$10,D423=policy_name_clustering!$A$11,policy_name_clustering!$C$11,D423=policy_name_clustering!$A$12,policy_name_clustering!$C$12,D423="-","")</f>
        <v/>
      </c>
      <c r="G423" s="7">
        <f>solar_cum_cap!C388</f>
        <v>107.777</v>
      </c>
      <c r="H423" s="7">
        <f>estimated_capacity!C371</f>
        <v>382.81607082811098</v>
      </c>
      <c r="I423" s="7" cm="1">
        <f t="array" ref="I423">_xlfn.IFS(D423= ""," ",D423&lt;&gt; " ",F423*(G423/H423))</f>
        <v>0</v>
      </c>
      <c r="J423" s="7" cm="1">
        <f t="array" ref="J423">_xlfn.IFS(D423= ""," ",D423&lt;&gt; " ",(H423-F423)*(G423/H423))</f>
        <v>107.77700000000002</v>
      </c>
      <c r="K423" s="7" cm="1">
        <f t="array" ref="K423">IF(ISNUMBER(H423),_xlfn.IFS(D423= ""," ",D423&lt;&gt; " ",F423*(G423/H423)),"")</f>
        <v>0</v>
      </c>
    </row>
    <row r="424" spans="1:11" s="7" customFormat="1" hidden="1" x14ac:dyDescent="0.35">
      <c r="A424" s="7" t="s">
        <v>25</v>
      </c>
      <c r="B424" s="7">
        <v>2016</v>
      </c>
      <c r="D424" s="7" t="s">
        <v>73</v>
      </c>
      <c r="E424" s="7" t="str" cm="1">
        <f t="array" ref="E424">_xlfn.IFS(D424=policy_name_clustering!$A$2,policy_name_clustering!$C$2,D424=policy_name_clustering!$A$3,policy_name_clustering!$C$3,D424=policy_name_clustering!$A$4,policy_name_clustering!$C$4,D424=policy_name_clustering!$A$5,policy_name_clustering!$C$5,D424=policy_name_clustering!$A$6,policy_name_clustering!$C$6,D424=policy_name_clustering!$A$7,policy_name_clustering!$C$7,D424=policy_name_clustering!$A$8,policy_name_clustering!$C$8,D424=policy_name_clustering!$A$9,policy_name_clustering!$C$9,D424=policy_name_clustering!$A$10,policy_name_clustering!$C$10,D424=policy_name_clustering!$A$11,policy_name_clustering!$C$11,D424=policy_name_clustering!$A$12,policy_name_clustering!$C$12,D424="-","")</f>
        <v/>
      </c>
      <c r="G424" s="7">
        <f>solar_cum_cap!C389</f>
        <v>187.24700000000001</v>
      </c>
      <c r="H424" s="7">
        <f>estimated_capacity!C372</f>
        <v>576.75321491991201</v>
      </c>
      <c r="I424" s="7" cm="1">
        <f t="array" ref="I424">_xlfn.IFS(D424= ""," ",D424&lt;&gt; " ",F424*(G424/H424))</f>
        <v>0</v>
      </c>
      <c r="J424" s="7" cm="1">
        <f t="array" ref="J424">_xlfn.IFS(D424= ""," ",D424&lt;&gt; " ",(H424-F424)*(G424/H424))</f>
        <v>187.24700000000001</v>
      </c>
      <c r="K424" s="7" cm="1">
        <f t="array" ref="K424">IF(ISNUMBER(H424),_xlfn.IFS(D424= ""," ",D424&lt;&gt; " ",F424*(G424/H424)),"")</f>
        <v>0</v>
      </c>
    </row>
    <row r="425" spans="1:11" s="7" customFormat="1" hidden="1" x14ac:dyDescent="0.35">
      <c r="A425" s="7" t="s">
        <v>25</v>
      </c>
      <c r="B425" s="7">
        <v>2017</v>
      </c>
      <c r="D425" s="7" t="s">
        <v>73</v>
      </c>
      <c r="E425" s="7" t="str" cm="1">
        <f t="array" ref="E425">_xlfn.IFS(D425=policy_name_clustering!$A$2,policy_name_clustering!$C$2,D425=policy_name_clustering!$A$3,policy_name_clustering!$C$3,D425=policy_name_clustering!$A$4,policy_name_clustering!$C$4,D425=policy_name_clustering!$A$5,policy_name_clustering!$C$5,D425=policy_name_clustering!$A$6,policy_name_clustering!$C$6,D425=policy_name_clustering!$A$7,policy_name_clustering!$C$7,D425=policy_name_clustering!$A$8,policy_name_clustering!$C$8,D425=policy_name_clustering!$A$9,policy_name_clustering!$C$9,D425=policy_name_clustering!$A$10,policy_name_clustering!$C$10,D425=policy_name_clustering!$A$11,policy_name_clustering!$C$11,D425=policy_name_clustering!$A$12,policy_name_clustering!$C$12,D425="-","")</f>
        <v/>
      </c>
      <c r="G425" s="7">
        <f>solar_cum_cap!C390</f>
        <v>287.09100000000001</v>
      </c>
      <c r="H425" s="7">
        <f>estimated_capacity!C373</f>
        <v>817.40024503485301</v>
      </c>
      <c r="I425" s="7" cm="1">
        <f t="array" ref="I425">_xlfn.IFS(D425= ""," ",D425&lt;&gt; " ",F425*(G425/H425))</f>
        <v>0</v>
      </c>
      <c r="J425" s="7" cm="1">
        <f t="array" ref="J425">_xlfn.IFS(D425= ""," ",D425&lt;&gt; " ",(H425-F425)*(G425/H425))</f>
        <v>287.09100000000001</v>
      </c>
      <c r="K425" s="7" cm="1">
        <f t="array" ref="K425">IF(ISNUMBER(H425),_xlfn.IFS(D425= ""," ",D425&lt;&gt; " ",F425*(G425/H425)),"")</f>
        <v>0</v>
      </c>
    </row>
    <row r="426" spans="1:11" s="7" customFormat="1" hidden="1" x14ac:dyDescent="0.35">
      <c r="A426" s="7" t="s">
        <v>25</v>
      </c>
      <c r="B426" s="7">
        <v>2018</v>
      </c>
      <c r="C426" s="7" t="s">
        <v>139</v>
      </c>
      <c r="D426" s="7" t="s">
        <v>128</v>
      </c>
      <c r="E426" s="7" t="str" cm="1">
        <f t="array" ref="E426">_xlfn.IFS(D426=policy_name_clustering!$A$2,policy_name_clustering!$C$2,D426=policy_name_clustering!$A$3,policy_name_clustering!$C$3,D426=policy_name_clustering!$A$4,policy_name_clustering!$C$4,D426=policy_name_clustering!$A$5,policy_name_clustering!$C$5,D426=policy_name_clustering!$A$6,policy_name_clustering!$C$6,D426=policy_name_clustering!$A$7,policy_name_clustering!$C$7,D426=policy_name_clustering!$A$8,policy_name_clustering!$C$8,D426=policy_name_clustering!$A$9,policy_name_clustering!$C$9,D426=policy_name_clustering!$A$10,policy_name_clustering!$C$10,D426=policy_name_clustering!$A$11,policy_name_clustering!$C$11,D426=policy_name_clustering!$A$12,policy_name_clustering!$C$12,D426="-","")</f>
        <v>Tender-based</v>
      </c>
      <c r="F426" s="7">
        <f>policy_contributions_cum!F137</f>
        <v>284.854511719877</v>
      </c>
      <c r="G426" s="7">
        <f>solar_cum_cap!C391</f>
        <v>561.976</v>
      </c>
      <c r="H426" s="7">
        <f>estimated_capacity!C374</f>
        <v>1370.94245895259</v>
      </c>
      <c r="I426" s="7" cm="1">
        <f t="array" ref="I426">_xlfn.IFS(D426= ""," ",D426&lt;&gt; " ",F426*(G426/H426))</f>
        <v>116.7674091884155</v>
      </c>
      <c r="J426" s="7" cm="1">
        <f t="array" ref="J426">_xlfn.IFS(D426= ""," ",D426&lt;&gt; " ",(H426-F426)*(G426/H426))</f>
        <v>445.20859081158449</v>
      </c>
      <c r="K426" s="7" cm="1">
        <f t="array" ref="K426">IF(ISNUMBER(H426),_xlfn.IFS(D426= ""," ",D426&lt;&gt; " ",F426*(G426/H426)),"")</f>
        <v>116.7674091884155</v>
      </c>
    </row>
    <row r="427" spans="1:11" s="7" customFormat="1" hidden="1" x14ac:dyDescent="0.35">
      <c r="A427" s="7" t="s">
        <v>25</v>
      </c>
      <c r="B427" s="7">
        <v>2019</v>
      </c>
      <c r="C427" s="7" t="s">
        <v>139</v>
      </c>
      <c r="D427" s="7" t="s">
        <v>128</v>
      </c>
      <c r="E427" s="7" t="str" cm="1">
        <f t="array" ref="E427">_xlfn.IFS(D427=policy_name_clustering!$A$2,policy_name_clustering!$C$2,D427=policy_name_clustering!$A$3,policy_name_clustering!$C$3,D427=policy_name_clustering!$A$4,policy_name_clustering!$C$4,D427=policy_name_clustering!$A$5,policy_name_clustering!$C$5,D427=policy_name_clustering!$A$6,policy_name_clustering!$C$6,D427=policy_name_clustering!$A$7,policy_name_clustering!$C$7,D427=policy_name_clustering!$A$8,policy_name_clustering!$C$8,D427=policy_name_clustering!$A$9,policy_name_clustering!$C$9,D427=policy_name_clustering!$A$10,policy_name_clustering!$C$10,D427=policy_name_clustering!$A$11,policy_name_clustering!$C$11,D427=policy_name_clustering!$A$12,policy_name_clustering!$C$12,D427="-","")</f>
        <v>Tender-based</v>
      </c>
      <c r="F427" s="7">
        <f>policy_contributions_cum!F138</f>
        <v>953.67449733355795</v>
      </c>
      <c r="G427" s="7">
        <f>solar_cum_cap!C392</f>
        <v>1539.259</v>
      </c>
      <c r="H427" s="7">
        <f>estimated_capacity!C375</f>
        <v>2275.7871479454402</v>
      </c>
      <c r="I427" s="7" cm="1">
        <f t="array" ref="I427">_xlfn.IFS(D427= ""," ",D427&lt;&gt; " ",F427*(G427/H427))</f>
        <v>645.03046975039331</v>
      </c>
      <c r="J427" s="7" cm="1">
        <f t="array" ref="J427">_xlfn.IFS(D427= ""," ",D427&lt;&gt; " ",(H427-F427)*(G427/H427))</f>
        <v>894.22853024960671</v>
      </c>
      <c r="K427" s="7" cm="1">
        <f t="array" ref="K427">IF(ISNUMBER(H427),_xlfn.IFS(D427= ""," ",D427&lt;&gt; " ",F427*(G427/H427)),"")</f>
        <v>645.03046975039331</v>
      </c>
    </row>
    <row r="428" spans="1:11" s="7" customFormat="1" hidden="1" x14ac:dyDescent="0.35">
      <c r="A428" s="7" t="s">
        <v>25</v>
      </c>
      <c r="B428" s="7">
        <v>2020</v>
      </c>
      <c r="C428" s="7" t="s">
        <v>140</v>
      </c>
      <c r="D428" s="7" t="s">
        <v>128</v>
      </c>
      <c r="E428" s="7" t="str" cm="1">
        <f t="array" ref="E428">_xlfn.IFS(D428=policy_name_clustering!$A$2,policy_name_clustering!$C$2,D428=policy_name_clustering!$A$3,policy_name_clustering!$C$3,D428=policy_name_clustering!$A$4,policy_name_clustering!$C$4,D428=policy_name_clustering!$A$5,policy_name_clustering!$C$5,D428=policy_name_clustering!$A$6,policy_name_clustering!$C$6,D428=policy_name_clustering!$A$7,policy_name_clustering!$C$7,D428=policy_name_clustering!$A$8,policy_name_clustering!$C$8,D428=policy_name_clustering!$A$9,policy_name_clustering!$C$9,D428=policy_name_clustering!$A$10,policy_name_clustering!$C$10,D428=policy_name_clustering!$A$11,policy_name_clustering!$C$11,D428=policy_name_clustering!$A$12,policy_name_clustering!$C$12,D428="-","")</f>
        <v>Tender-based</v>
      </c>
      <c r="F428" s="7">
        <f>policy_contributions_cum!F139</f>
        <v>2107.1340501366099</v>
      </c>
      <c r="G428" s="7">
        <f>solar_cum_cap!C393</f>
        <v>3954.9630000000002</v>
      </c>
      <c r="H428" s="7">
        <f>estimated_capacity!C376</f>
        <v>3617.2234389271698</v>
      </c>
      <c r="I428" s="7" cm="1">
        <f t="array" ref="I428">_xlfn.IFS(D428= ""," ",D428&lt;&gt; " ",F428*(G428/H428))</f>
        <v>2303.8768118792536</v>
      </c>
      <c r="J428" s="7" cm="1">
        <f t="array" ref="J428">_xlfn.IFS(D428= ""," ",D428&lt;&gt; " ",(H428-F428)*(G428/H428))</f>
        <v>1651.0861881207468</v>
      </c>
      <c r="K428" s="7" cm="1">
        <f t="array" ref="K428">IF(ISNUMBER(H428),_xlfn.IFS(D428= ""," ",D428&lt;&gt; " ",F428*(G428/H428)),"")</f>
        <v>2303.8768118792536</v>
      </c>
    </row>
    <row r="429" spans="1:11" s="7" customFormat="1" hidden="1" x14ac:dyDescent="0.35">
      <c r="A429" s="7" t="s">
        <v>25</v>
      </c>
      <c r="B429" s="7">
        <v>2021</v>
      </c>
      <c r="C429" s="7" t="s">
        <v>141</v>
      </c>
      <c r="D429" s="7" t="s">
        <v>128</v>
      </c>
      <c r="E429" s="7" t="str" cm="1">
        <f t="array" ref="E429">_xlfn.IFS(D429=policy_name_clustering!$A$2,policy_name_clustering!$C$2,D429=policy_name_clustering!$A$3,policy_name_clustering!$C$3,D429=policy_name_clustering!$A$4,policy_name_clustering!$C$4,D429=policy_name_clustering!$A$5,policy_name_clustering!$C$5,D429=policy_name_clustering!$A$6,policy_name_clustering!$C$6,D429=policy_name_clustering!$A$7,policy_name_clustering!$C$7,D429=policy_name_clustering!$A$8,policy_name_clustering!$C$8,D429=policy_name_clustering!$A$9,policy_name_clustering!$C$9,D429=policy_name_clustering!$A$10,policy_name_clustering!$C$10,D429=policy_name_clustering!$A$11,policy_name_clustering!$C$11,D429=policy_name_clustering!$A$12,policy_name_clustering!$C$12,D429="-","")</f>
        <v>Tender-based</v>
      </c>
      <c r="F429" s="7">
        <f>policy_contributions_cum!F140</f>
        <v>4231.98935044891</v>
      </c>
      <c r="G429" s="7">
        <f>solar_cum_cap!C394</f>
        <v>7415.518</v>
      </c>
      <c r="H429" s="7">
        <f>estimated_capacity!C377</f>
        <v>5972.3695161576898</v>
      </c>
      <c r="I429" s="7" cm="1">
        <f t="array" ref="I429">_xlfn.IFS(D429= ""," ",D429&lt;&gt; " ",F429*(G429/H429))</f>
        <v>5254.5967089209835</v>
      </c>
      <c r="J429" s="7" cm="1">
        <f t="array" ref="J429">_xlfn.IFS(D429= ""," ",D429&lt;&gt; " ",(H429-F429)*(G429/H429))</f>
        <v>2160.921291079017</v>
      </c>
      <c r="K429" s="7" cm="1">
        <f t="array" ref="K429">IF(ISNUMBER(H429),_xlfn.IFS(D429= ""," ",D429&lt;&gt; " ",F429*(G429/H429)),"")</f>
        <v>5254.5967089209835</v>
      </c>
    </row>
    <row r="430" spans="1:11" s="7" customFormat="1" hidden="1" x14ac:dyDescent="0.35">
      <c r="A430" s="7" t="s">
        <v>25</v>
      </c>
      <c r="B430" s="7">
        <v>2022</v>
      </c>
      <c r="C430" s="7" t="s">
        <v>142</v>
      </c>
      <c r="D430" s="7" t="s">
        <v>128</v>
      </c>
      <c r="E430" s="7" t="str" cm="1">
        <f t="array" ref="E430">_xlfn.IFS(D430=policy_name_clustering!$A$2,policy_name_clustering!$C$2,D430=policy_name_clustering!$A$3,policy_name_clustering!$C$3,D430=policy_name_clustering!$A$4,policy_name_clustering!$C$4,D430=policy_name_clustering!$A$5,policy_name_clustering!$C$5,D430=policy_name_clustering!$A$6,policy_name_clustering!$C$6,D430=policy_name_clustering!$A$7,policy_name_clustering!$C$7,D430=policy_name_clustering!$A$8,policy_name_clustering!$C$8,D430=policy_name_clustering!$A$9,policy_name_clustering!$C$9,D430=policy_name_clustering!$A$10,policy_name_clustering!$C$10,D430=policy_name_clustering!$A$11,policy_name_clustering!$C$11,D430=policy_name_clustering!$A$12,policy_name_clustering!$C$12,D430="-","")</f>
        <v>Tender-based</v>
      </c>
      <c r="F430" s="7">
        <f>policy_contributions_cum!F141</f>
        <v>8797.5269968845696</v>
      </c>
      <c r="G430" s="7">
        <f>solar_cum_cap!C395</f>
        <v>12170.392</v>
      </c>
      <c r="H430" s="7">
        <f>estimated_capacity!C378</f>
        <v>10950.2549707046</v>
      </c>
      <c r="I430" s="7" cm="1">
        <f t="array" ref="I430">_xlfn.IFS(D430= ""," ",D430&lt;&gt; " ",F430*(G430/H430))</f>
        <v>9777.7953544563497</v>
      </c>
      <c r="J430" s="7" cm="1">
        <f t="array" ref="J430">_xlfn.IFS(D430= ""," ",D430&lt;&gt; " ",(H430-F430)*(G430/H430))</f>
        <v>2392.5966455436501</v>
      </c>
      <c r="K430" s="7" cm="1">
        <f t="array" ref="K430">IF(ISNUMBER(H430),_xlfn.IFS(D430= ""," ",D430&lt;&gt; " ",F430*(G430/H430)),"")</f>
        <v>9777.7953544563497</v>
      </c>
    </row>
    <row r="431" spans="1:11" s="7" customFormat="1" hidden="1" x14ac:dyDescent="0.35">
      <c r="A431" s="7" t="s">
        <v>25</v>
      </c>
      <c r="B431" s="7">
        <v>2023</v>
      </c>
      <c r="C431" s="7" t="s">
        <v>143</v>
      </c>
      <c r="D431" s="7" t="s">
        <v>128</v>
      </c>
      <c r="E431" s="7" t="str" cm="1">
        <f t="array" ref="E431">_xlfn.IFS(D431=policy_name_clustering!$A$2,policy_name_clustering!$C$2,D431=policy_name_clustering!$A$3,policy_name_clustering!$C$3,D431=policy_name_clustering!$A$4,policy_name_clustering!$C$4,D431=policy_name_clustering!$A$5,policy_name_clustering!$C$5,D431=policy_name_clustering!$A$6,policy_name_clustering!$C$6,D431=policy_name_clustering!$A$7,policy_name_clustering!$C$7,D431=policy_name_clustering!$A$8,policy_name_clustering!$C$8,D431=policy_name_clustering!$A$9,policy_name_clustering!$C$9,D431=policy_name_clustering!$A$10,policy_name_clustering!$C$10,D431=policy_name_clustering!$A$11,policy_name_clustering!$C$11,D431=policy_name_clustering!$A$12,policy_name_clustering!$C$12,D431="-","")</f>
        <v>Tender-based</v>
      </c>
      <c r="F431" s="7">
        <f>policy_contributions_cum!F142</f>
        <v>16025.4683108095</v>
      </c>
      <c r="G431" s="7">
        <f>solar_cum_cap!C396</f>
        <v>16427.526000000002</v>
      </c>
      <c r="H431" s="7">
        <f>estimated_capacity!C379</f>
        <v>18599.269061537401</v>
      </c>
      <c r="I431" s="7" cm="1">
        <f t="array" ref="I431">_xlfn.IFS(D431= ""," ",D431&lt;&gt; " ",F431*(G431/H431))</f>
        <v>14154.255012225647</v>
      </c>
      <c r="J431" s="7" cm="1">
        <f t="array" ref="J431">_xlfn.IFS(D431= ""," ",D431&lt;&gt; " ",(H431-F431)*(G431/H431))</f>
        <v>2273.270987774355</v>
      </c>
      <c r="K431" s="7" cm="1">
        <f t="array" ref="K431">IF(ISNUMBER(H431),_xlfn.IFS(D431= ""," ",D431&lt;&gt; " ",F431*(G431/H431)),"")</f>
        <v>14154.255012225647</v>
      </c>
    </row>
    <row r="432" spans="1:11" s="7" customFormat="1" hidden="1" x14ac:dyDescent="0.35">
      <c r="A432" s="7" t="s">
        <v>38</v>
      </c>
      <c r="B432" s="7">
        <v>2001</v>
      </c>
      <c r="D432" s="7" t="s">
        <v>73</v>
      </c>
      <c r="E432" s="7" t="str" cm="1">
        <f t="array" ref="E432">_xlfn.IFS(D432=policy_name_clustering!$A$2,policy_name_clustering!$C$2,D432=policy_name_clustering!$A$3,policy_name_clustering!$C$3,D432=policy_name_clustering!$A$4,policy_name_clustering!$C$4,D432=policy_name_clustering!$A$5,policy_name_clustering!$C$5,D432=policy_name_clustering!$A$6,policy_name_clustering!$C$6,D432=policy_name_clustering!$A$7,policy_name_clustering!$C$7,D432=policy_name_clustering!$A$8,policy_name_clustering!$C$8,D432=policy_name_clustering!$A$9,policy_name_clustering!$C$9,D432=policy_name_clustering!$A$10,policy_name_clustering!$C$10,D432=policy_name_clustering!$A$11,policy_name_clustering!$C$11,D432=policy_name_clustering!$A$12,policy_name_clustering!$C$12,D432="-","")</f>
        <v/>
      </c>
      <c r="G432" s="7">
        <f>solar_cum_cap!C398</f>
        <v>1</v>
      </c>
      <c r="H432" s="7">
        <f>estimated_capacity!C380</f>
        <v>-33.471179038953899</v>
      </c>
      <c r="I432" s="7" cm="1">
        <f t="array" ref="I432">_xlfn.IFS(D432= ""," ",D432&lt;&gt; " ",F432*(G432/H432))</f>
        <v>0</v>
      </c>
      <c r="J432" s="7" cm="1">
        <f t="array" ref="J432">_xlfn.IFS(D432= ""," ",D432&lt;&gt; " ",(H432-F432)*(G432/H432))</f>
        <v>1</v>
      </c>
      <c r="K432" s="7" cm="1">
        <f t="array" ref="K432">IF(ISNUMBER(H432),_xlfn.IFS(D432= ""," ",D432&lt;&gt; " ",F432*(G432/H432)),"")</f>
        <v>0</v>
      </c>
    </row>
    <row r="433" spans="1:11" s="7" customFormat="1" hidden="1" x14ac:dyDescent="0.35">
      <c r="A433" s="7" t="s">
        <v>38</v>
      </c>
      <c r="B433" s="7">
        <v>2002</v>
      </c>
      <c r="D433" s="7" t="s">
        <v>73</v>
      </c>
      <c r="E433" s="7" t="str" cm="1">
        <f t="array" ref="E433">_xlfn.IFS(D433=policy_name_clustering!$A$2,policy_name_clustering!$C$2,D433=policy_name_clustering!$A$3,policy_name_clustering!$C$3,D433=policy_name_clustering!$A$4,policy_name_clustering!$C$4,D433=policy_name_clustering!$A$5,policy_name_clustering!$C$5,D433=policy_name_clustering!$A$6,policy_name_clustering!$C$6,D433=policy_name_clustering!$A$7,policy_name_clustering!$C$7,D433=policy_name_clustering!$A$8,policy_name_clustering!$C$8,D433=policy_name_clustering!$A$9,policy_name_clustering!$C$9,D433=policy_name_clustering!$A$10,policy_name_clustering!$C$10,D433=policy_name_clustering!$A$11,policy_name_clustering!$C$11,D433=policy_name_clustering!$A$12,policy_name_clustering!$C$12,D433="-","")</f>
        <v/>
      </c>
      <c r="G433" s="7">
        <f>solar_cum_cap!C399</f>
        <v>1</v>
      </c>
      <c r="H433" s="7">
        <f>estimated_capacity!C381</f>
        <v>-74.838600460079704</v>
      </c>
      <c r="I433" s="7" cm="1">
        <f t="array" ref="I433">_xlfn.IFS(D433= ""," ",D433&lt;&gt; " ",F433*(G433/H433))</f>
        <v>0</v>
      </c>
      <c r="J433" s="7" cm="1">
        <f t="array" ref="J433">_xlfn.IFS(D433= ""," ",D433&lt;&gt; " ",(H433-F433)*(G433/H433))</f>
        <v>1</v>
      </c>
      <c r="K433" s="7" cm="1">
        <f t="array" ref="K433">IF(ISNUMBER(H433),_xlfn.IFS(D433= ""," ",D433&lt;&gt; " ",F433*(G433/H433)),"")</f>
        <v>0</v>
      </c>
    </row>
    <row r="434" spans="1:11" s="7" customFormat="1" hidden="1" x14ac:dyDescent="0.35">
      <c r="A434" s="7" t="s">
        <v>38</v>
      </c>
      <c r="B434" s="7">
        <v>2003</v>
      </c>
      <c r="D434" s="7" t="s">
        <v>73</v>
      </c>
      <c r="E434" s="7" t="str" cm="1">
        <f t="array" ref="E434">_xlfn.IFS(D434=policy_name_clustering!$A$2,policy_name_clustering!$C$2,D434=policy_name_clustering!$A$3,policy_name_clustering!$C$3,D434=policy_name_clustering!$A$4,policy_name_clustering!$C$4,D434=policy_name_clustering!$A$5,policy_name_clustering!$C$5,D434=policy_name_clustering!$A$6,policy_name_clustering!$C$6,D434=policy_name_clustering!$A$7,policy_name_clustering!$C$7,D434=policy_name_clustering!$A$8,policy_name_clustering!$C$8,D434=policy_name_clustering!$A$9,policy_name_clustering!$C$9,D434=policy_name_clustering!$A$10,policy_name_clustering!$C$10,D434=policy_name_clustering!$A$11,policy_name_clustering!$C$11,D434=policy_name_clustering!$A$12,policy_name_clustering!$C$12,D434="-","")</f>
        <v/>
      </c>
      <c r="G434" s="7">
        <f>solar_cum_cap!C400</f>
        <v>2</v>
      </c>
      <c r="H434" s="7">
        <f>estimated_capacity!C382</f>
        <v>-104.088085527153</v>
      </c>
      <c r="I434" s="7" cm="1">
        <f t="array" ref="I434">_xlfn.IFS(D434= ""," ",D434&lt;&gt; " ",F434*(G434/H434))</f>
        <v>0</v>
      </c>
      <c r="J434" s="7" cm="1">
        <f t="array" ref="J434">_xlfn.IFS(D434= ""," ",D434&lt;&gt; " ",(H434-F434)*(G434/H434))</f>
        <v>2</v>
      </c>
      <c r="K434" s="7" cm="1">
        <f t="array" ref="K434">IF(ISNUMBER(H434),_xlfn.IFS(D434= ""," ",D434&lt;&gt; " ",F434*(G434/H434)),"")</f>
        <v>0</v>
      </c>
    </row>
    <row r="435" spans="1:11" s="7" customFormat="1" hidden="1" x14ac:dyDescent="0.35">
      <c r="A435" s="7" t="s">
        <v>38</v>
      </c>
      <c r="B435" s="7">
        <v>2004</v>
      </c>
      <c r="D435" s="7" t="s">
        <v>73</v>
      </c>
      <c r="E435" s="7" t="str" cm="1">
        <f t="array" ref="E435">_xlfn.IFS(D435=policy_name_clustering!$A$2,policy_name_clustering!$C$2,D435=policy_name_clustering!$A$3,policy_name_clustering!$C$3,D435=policy_name_clustering!$A$4,policy_name_clustering!$C$4,D435=policy_name_clustering!$A$5,policy_name_clustering!$C$5,D435=policy_name_clustering!$A$6,policy_name_clustering!$C$6,D435=policy_name_clustering!$A$7,policy_name_clustering!$C$7,D435=policy_name_clustering!$A$8,policy_name_clustering!$C$8,D435=policy_name_clustering!$A$9,policy_name_clustering!$C$9,D435=policy_name_clustering!$A$10,policy_name_clustering!$C$10,D435=policy_name_clustering!$A$11,policy_name_clustering!$C$11,D435=policy_name_clustering!$A$12,policy_name_clustering!$C$12,D435="-","")</f>
        <v/>
      </c>
      <c r="G435" s="7">
        <f>solar_cum_cap!C401</f>
        <v>2</v>
      </c>
      <c r="H435" s="7">
        <f>estimated_capacity!C383</f>
        <v>-116.021362605486</v>
      </c>
      <c r="I435" s="7" cm="1">
        <f t="array" ref="I435">_xlfn.IFS(D435= ""," ",D435&lt;&gt; " ",F435*(G435/H435))</f>
        <v>0</v>
      </c>
      <c r="J435" s="7" cm="1">
        <f t="array" ref="J435">_xlfn.IFS(D435= ""," ",D435&lt;&gt; " ",(H435-F435)*(G435/H435))</f>
        <v>2</v>
      </c>
      <c r="K435" s="7" cm="1">
        <f t="array" ref="K435">IF(ISNUMBER(H435),_xlfn.IFS(D435= ""," ",D435&lt;&gt; " ",F435*(G435/H435)),"")</f>
        <v>0</v>
      </c>
    </row>
    <row r="436" spans="1:11" s="7" customFormat="1" hidden="1" x14ac:dyDescent="0.35">
      <c r="A436" s="7" t="s">
        <v>38</v>
      </c>
      <c r="B436" s="7">
        <v>2005</v>
      </c>
      <c r="D436" s="7" t="s">
        <v>73</v>
      </c>
      <c r="E436" s="7" t="str" cm="1">
        <f t="array" ref="E436">_xlfn.IFS(D436=policy_name_clustering!$A$2,policy_name_clustering!$C$2,D436=policy_name_clustering!$A$3,policy_name_clustering!$C$3,D436=policy_name_clustering!$A$4,policy_name_clustering!$C$4,D436=policy_name_clustering!$A$5,policy_name_clustering!$C$5,D436=policy_name_clustering!$A$6,policy_name_clustering!$C$6,D436=policy_name_clustering!$A$7,policy_name_clustering!$C$7,D436=policy_name_clustering!$A$8,policy_name_clustering!$C$8,D436=policy_name_clustering!$A$9,policy_name_clustering!$C$9,D436=policy_name_clustering!$A$10,policy_name_clustering!$C$10,D436=policy_name_clustering!$A$11,policy_name_clustering!$C$11,D436=policy_name_clustering!$A$12,policy_name_clustering!$C$12,D436="-","")</f>
        <v/>
      </c>
      <c r="G436" s="7">
        <f>solar_cum_cap!C402</f>
        <v>2</v>
      </c>
      <c r="H436" s="7">
        <f>estimated_capacity!C384</f>
        <v>-127.94614716522101</v>
      </c>
      <c r="I436" s="7" cm="1">
        <f t="array" ref="I436">_xlfn.IFS(D436= ""," ",D436&lt;&gt; " ",F436*(G436/H436))</f>
        <v>0</v>
      </c>
      <c r="J436" s="7" cm="1">
        <f t="array" ref="J436">_xlfn.IFS(D436= ""," ",D436&lt;&gt; " ",(H436-F436)*(G436/H436))</f>
        <v>2</v>
      </c>
      <c r="K436" s="7" cm="1">
        <f t="array" ref="K436">IF(ISNUMBER(H436),_xlfn.IFS(D436= ""," ",D436&lt;&gt; " ",F436*(G436/H436)),"")</f>
        <v>0</v>
      </c>
    </row>
    <row r="437" spans="1:11" s="7" customFormat="1" hidden="1" x14ac:dyDescent="0.35">
      <c r="A437" s="7" t="s">
        <v>38</v>
      </c>
      <c r="B437" s="7">
        <v>2006</v>
      </c>
      <c r="D437" s="7" t="s">
        <v>73</v>
      </c>
      <c r="E437" s="7" t="str" cm="1">
        <f t="array" ref="E437">_xlfn.IFS(D437=policy_name_clustering!$A$2,policy_name_clustering!$C$2,D437=policy_name_clustering!$A$3,policy_name_clustering!$C$3,D437=policy_name_clustering!$A$4,policy_name_clustering!$C$4,D437=policy_name_clustering!$A$5,policy_name_clustering!$C$5,D437=policy_name_clustering!$A$6,policy_name_clustering!$C$6,D437=policy_name_clustering!$A$7,policy_name_clustering!$C$7,D437=policy_name_clustering!$A$8,policy_name_clustering!$C$8,D437=policy_name_clustering!$A$9,policy_name_clustering!$C$9,D437=policy_name_clustering!$A$10,policy_name_clustering!$C$10,D437=policy_name_clustering!$A$11,policy_name_clustering!$C$11,D437=policy_name_clustering!$A$12,policy_name_clustering!$C$12,D437="-","")</f>
        <v/>
      </c>
      <c r="G437" s="7">
        <f>solar_cum_cap!C403</f>
        <v>3</v>
      </c>
      <c r="H437" s="7">
        <f>estimated_capacity!C385</f>
        <v>-133.844192035791</v>
      </c>
      <c r="I437" s="7" cm="1">
        <f t="array" ref="I437">_xlfn.IFS(D437= ""," ",D437&lt;&gt; " ",F437*(G437/H437))</f>
        <v>0</v>
      </c>
      <c r="J437" s="7" cm="1">
        <f t="array" ref="J437">_xlfn.IFS(D437= ""," ",D437&lt;&gt; " ",(H437-F437)*(G437/H437))</f>
        <v>3</v>
      </c>
      <c r="K437" s="7" cm="1">
        <f t="array" ref="K437">IF(ISNUMBER(H437),_xlfn.IFS(D437= ""," ",D437&lt;&gt; " ",F437*(G437/H437)),"")</f>
        <v>0</v>
      </c>
    </row>
    <row r="438" spans="1:11" s="7" customFormat="1" hidden="1" x14ac:dyDescent="0.35">
      <c r="A438" s="7" t="s">
        <v>38</v>
      </c>
      <c r="B438" s="7">
        <v>2007</v>
      </c>
      <c r="D438" s="7" t="s">
        <v>73</v>
      </c>
      <c r="E438" s="7" t="str" cm="1">
        <f t="array" ref="E438">_xlfn.IFS(D438=policy_name_clustering!$A$2,policy_name_clustering!$C$2,D438=policy_name_clustering!$A$3,policy_name_clustering!$C$3,D438=policy_name_clustering!$A$4,policy_name_clustering!$C$4,D438=policy_name_clustering!$A$5,policy_name_clustering!$C$5,D438=policy_name_clustering!$A$6,policy_name_clustering!$C$6,D438=policy_name_clustering!$A$7,policy_name_clustering!$C$7,D438=policy_name_clustering!$A$8,policy_name_clustering!$C$8,D438=policy_name_clustering!$A$9,policy_name_clustering!$C$9,D438=policy_name_clustering!$A$10,policy_name_clustering!$C$10,D438=policy_name_clustering!$A$11,policy_name_clustering!$C$11,D438=policy_name_clustering!$A$12,policy_name_clustering!$C$12,D438="-","")</f>
        <v/>
      </c>
      <c r="G438" s="7">
        <f>solar_cum_cap!C404</f>
        <v>24</v>
      </c>
      <c r="H438" s="7">
        <f>estimated_capacity!C386</f>
        <v>-136.39371954625801</v>
      </c>
      <c r="I438" s="7" cm="1">
        <f t="array" ref="I438">_xlfn.IFS(D438= ""," ",D438&lt;&gt; " ",F438*(G438/H438))</f>
        <v>0</v>
      </c>
      <c r="J438" s="7" cm="1">
        <f t="array" ref="J438">_xlfn.IFS(D438= ""," ",D438&lt;&gt; " ",(H438-F438)*(G438/H438))</f>
        <v>24</v>
      </c>
      <c r="K438" s="7" cm="1">
        <f t="array" ref="K438">IF(ISNUMBER(H438),_xlfn.IFS(D438= ""," ",D438&lt;&gt; " ",F438*(G438/H438)),"")</f>
        <v>0</v>
      </c>
    </row>
    <row r="439" spans="1:11" s="7" customFormat="1" hidden="1" x14ac:dyDescent="0.35">
      <c r="A439" s="7" t="s">
        <v>38</v>
      </c>
      <c r="B439" s="7">
        <v>2008</v>
      </c>
      <c r="D439" s="7" t="s">
        <v>73</v>
      </c>
      <c r="E439" s="7" t="str" cm="1">
        <f t="array" ref="E439">_xlfn.IFS(D439=policy_name_clustering!$A$2,policy_name_clustering!$C$2,D439=policy_name_clustering!$A$3,policy_name_clustering!$C$3,D439=policy_name_clustering!$A$4,policy_name_clustering!$C$4,D439=policy_name_clustering!$A$5,policy_name_clustering!$C$5,D439=policy_name_clustering!$A$6,policy_name_clustering!$C$6,D439=policy_name_clustering!$A$7,policy_name_clustering!$C$7,D439=policy_name_clustering!$A$8,policy_name_clustering!$C$8,D439=policy_name_clustering!$A$9,policy_name_clustering!$C$9,D439=policy_name_clustering!$A$10,policy_name_clustering!$C$10,D439=policy_name_clustering!$A$11,policy_name_clustering!$C$11,D439=policy_name_clustering!$A$12,policy_name_clustering!$C$12,D439="-","")</f>
        <v/>
      </c>
      <c r="G439" s="7">
        <f>solar_cum_cap!C405</f>
        <v>59</v>
      </c>
      <c r="H439" s="7">
        <f>estimated_capacity!C387</f>
        <v>-125.13923941339399</v>
      </c>
      <c r="I439" s="7" cm="1">
        <f t="array" ref="I439">_xlfn.IFS(D439= ""," ",D439&lt;&gt; " ",F439*(G439/H439))</f>
        <v>0</v>
      </c>
      <c r="J439" s="7" cm="1">
        <f t="array" ref="J439">_xlfn.IFS(D439= ""," ",D439&lt;&gt; " ",(H439-F439)*(G439/H439))</f>
        <v>59</v>
      </c>
      <c r="K439" s="7" cm="1">
        <f t="array" ref="K439">IF(ISNUMBER(H439),_xlfn.IFS(D439= ""," ",D439&lt;&gt; " ",F439*(G439/H439)),"")</f>
        <v>0</v>
      </c>
    </row>
    <row r="440" spans="1:11" s="7" customFormat="1" hidden="1" x14ac:dyDescent="0.35">
      <c r="A440" s="7" t="s">
        <v>38</v>
      </c>
      <c r="B440" s="7">
        <v>2009</v>
      </c>
      <c r="D440" s="7" t="s">
        <v>73</v>
      </c>
      <c r="E440" s="7" t="str" cm="1">
        <f t="array" ref="E440">_xlfn.IFS(D440=policy_name_clustering!$A$2,policy_name_clustering!$C$2,D440=policy_name_clustering!$A$3,policy_name_clustering!$C$3,D440=policy_name_clustering!$A$4,policy_name_clustering!$C$4,D440=policy_name_clustering!$A$5,policy_name_clustering!$C$5,D440=policy_name_clustering!$A$6,policy_name_clustering!$C$6,D440=policy_name_clustering!$A$7,policy_name_clustering!$C$7,D440=policy_name_clustering!$A$8,policy_name_clustering!$C$8,D440=policy_name_clustering!$A$9,policy_name_clustering!$C$9,D440=policy_name_clustering!$A$10,policy_name_clustering!$C$10,D440=policy_name_clustering!$A$11,policy_name_clustering!$C$11,D440=policy_name_clustering!$A$12,policy_name_clustering!$C$12,D440="-","")</f>
        <v/>
      </c>
      <c r="G440" s="7">
        <f>solar_cum_cap!C406</f>
        <v>115</v>
      </c>
      <c r="H440" s="7">
        <f>estimated_capacity!C388</f>
        <v>-105.491798114288</v>
      </c>
      <c r="I440" s="7" cm="1">
        <f t="array" ref="I440">_xlfn.IFS(D440= ""," ",D440&lt;&gt; " ",F440*(G440/H440))</f>
        <v>0</v>
      </c>
      <c r="J440" s="7" cm="1">
        <f t="array" ref="J440">_xlfn.IFS(D440= ""," ",D440&lt;&gt; " ",(H440-F440)*(G440/H440))</f>
        <v>115</v>
      </c>
      <c r="K440" s="7" cm="1">
        <f t="array" ref="K440">IF(ISNUMBER(H440),_xlfn.IFS(D440= ""," ",D440&lt;&gt; " ",F440*(G440/H440)),"")</f>
        <v>0</v>
      </c>
    </row>
    <row r="441" spans="1:11" s="7" customFormat="1" hidden="1" x14ac:dyDescent="0.35">
      <c r="A441" s="7" t="s">
        <v>38</v>
      </c>
      <c r="B441" s="7">
        <v>2010</v>
      </c>
      <c r="D441" s="7" t="s">
        <v>73</v>
      </c>
      <c r="E441" s="7" t="str" cm="1">
        <f t="array" ref="E441">_xlfn.IFS(D441=policy_name_clustering!$A$2,policy_name_clustering!$C$2,D441=policy_name_clustering!$A$3,policy_name_clustering!$C$3,D441=policy_name_clustering!$A$4,policy_name_clustering!$C$4,D441=policy_name_clustering!$A$5,policy_name_clustering!$C$5,D441=policy_name_clustering!$A$6,policy_name_clustering!$C$6,D441=policy_name_clustering!$A$7,policy_name_clustering!$C$7,D441=policy_name_clustering!$A$8,policy_name_clustering!$C$8,D441=policy_name_clustering!$A$9,policy_name_clustering!$C$9,D441=policy_name_clustering!$A$10,policy_name_clustering!$C$10,D441=policy_name_clustering!$A$11,policy_name_clustering!$C$11,D441=policy_name_clustering!$A$12,policy_name_clustering!$C$12,D441="-","")</f>
        <v/>
      </c>
      <c r="G441" s="7">
        <f>solar_cum_cap!C407</f>
        <v>134</v>
      </c>
      <c r="H441" s="7">
        <f>estimated_capacity!C389</f>
        <v>-9.2163336888456193</v>
      </c>
      <c r="I441" s="7" cm="1">
        <f t="array" ref="I441">_xlfn.IFS(D441= ""," ",D441&lt;&gt; " ",F441*(G441/H441))</f>
        <v>0</v>
      </c>
      <c r="J441" s="7" cm="1">
        <f t="array" ref="J441">_xlfn.IFS(D441= ""," ",D441&lt;&gt; " ",(H441-F441)*(G441/H441))</f>
        <v>134</v>
      </c>
      <c r="K441" s="7" cm="1">
        <f t="array" ref="K441">IF(ISNUMBER(H441),_xlfn.IFS(D441= ""," ",D441&lt;&gt; " ",F441*(G441/H441)),"")</f>
        <v>0</v>
      </c>
    </row>
    <row r="442" spans="1:11" s="7" customFormat="1" hidden="1" x14ac:dyDescent="0.35">
      <c r="A442" s="7" t="s">
        <v>38</v>
      </c>
      <c r="B442" s="7">
        <v>2011</v>
      </c>
      <c r="D442" s="7" t="s">
        <v>73</v>
      </c>
      <c r="E442" s="7" t="str" cm="1">
        <f t="array" ref="E442">_xlfn.IFS(D442=policy_name_clustering!$A$2,policy_name_clustering!$C$2,D442=policy_name_clustering!$A$3,policy_name_clustering!$C$3,D442=policy_name_clustering!$A$4,policy_name_clustering!$C$4,D442=policy_name_clustering!$A$5,policy_name_clustering!$C$5,D442=policy_name_clustering!$A$6,policy_name_clustering!$C$6,D442=policy_name_clustering!$A$7,policy_name_clustering!$C$7,D442=policy_name_clustering!$A$8,policy_name_clustering!$C$8,D442=policy_name_clustering!$A$9,policy_name_clustering!$C$9,D442=policy_name_clustering!$A$10,policy_name_clustering!$C$10,D442=policy_name_clustering!$A$11,policy_name_clustering!$C$11,D442=policy_name_clustering!$A$12,policy_name_clustering!$C$12,D442="-","")</f>
        <v/>
      </c>
      <c r="G442" s="7">
        <f>solar_cum_cap!C408</f>
        <v>172</v>
      </c>
      <c r="H442" s="7">
        <f>estimated_capacity!C390</f>
        <v>218.18874831601599</v>
      </c>
      <c r="I442" s="7" cm="1">
        <f t="array" ref="I442">_xlfn.IFS(D442= ""," ",D442&lt;&gt; " ",F442*(G442/H442))</f>
        <v>0</v>
      </c>
      <c r="J442" s="7" cm="1">
        <f t="array" ref="J442">_xlfn.IFS(D442= ""," ",D442&lt;&gt; " ",(H442-F442)*(G442/H442))</f>
        <v>172</v>
      </c>
      <c r="K442" s="7" cm="1">
        <f t="array" ref="K442">IF(ISNUMBER(H442),_xlfn.IFS(D442= ""," ",D442&lt;&gt; " ",F442*(G442/H442)),"")</f>
        <v>0</v>
      </c>
    </row>
    <row r="443" spans="1:11" s="7" customFormat="1" hidden="1" x14ac:dyDescent="0.35">
      <c r="A443" s="7" t="s">
        <v>38</v>
      </c>
      <c r="B443" s="7">
        <v>2012</v>
      </c>
      <c r="D443" s="7" t="s">
        <v>73</v>
      </c>
      <c r="E443" s="7" t="str" cm="1">
        <f t="array" ref="E443">_xlfn.IFS(D443=policy_name_clustering!$A$2,policy_name_clustering!$C$2,D443=policy_name_clustering!$A$3,policy_name_clustering!$C$3,D443=policy_name_clustering!$A$4,policy_name_clustering!$C$4,D443=policy_name_clustering!$A$5,policy_name_clustering!$C$5,D443=policy_name_clustering!$A$6,policy_name_clustering!$C$6,D443=policy_name_clustering!$A$7,policy_name_clustering!$C$7,D443=policy_name_clustering!$A$8,policy_name_clustering!$C$8,D443=policy_name_clustering!$A$9,policy_name_clustering!$C$9,D443=policy_name_clustering!$A$10,policy_name_clustering!$C$10,D443=policy_name_clustering!$A$11,policy_name_clustering!$C$11,D443=policy_name_clustering!$A$12,policy_name_clustering!$C$12,D443="-","")</f>
        <v/>
      </c>
      <c r="G443" s="7">
        <f>solar_cum_cap!C409</f>
        <v>238</v>
      </c>
      <c r="H443" s="7">
        <f>estimated_capacity!C391</f>
        <v>537.35161164625094</v>
      </c>
      <c r="I443" s="7" cm="1">
        <f t="array" ref="I443">_xlfn.IFS(D443= ""," ",D443&lt;&gt; " ",F443*(G443/H443))</f>
        <v>0</v>
      </c>
      <c r="J443" s="7" cm="1">
        <f t="array" ref="J443">_xlfn.IFS(D443= ""," ",D443&lt;&gt; " ",(H443-F443)*(G443/H443))</f>
        <v>238</v>
      </c>
      <c r="K443" s="7" cm="1">
        <f t="array" ref="K443">IF(ISNUMBER(H443),_xlfn.IFS(D443= ""," ",D443&lt;&gt; " ",F443*(G443/H443)),"")</f>
        <v>0</v>
      </c>
    </row>
    <row r="444" spans="1:11" s="7" customFormat="1" hidden="1" x14ac:dyDescent="0.35">
      <c r="A444" s="7" t="s">
        <v>38</v>
      </c>
      <c r="B444" s="7">
        <v>2013</v>
      </c>
      <c r="D444" s="7" t="s">
        <v>73</v>
      </c>
      <c r="E444" s="7" t="str" cm="1">
        <f t="array" ref="E444">_xlfn.IFS(D444=policy_name_clustering!$A$2,policy_name_clustering!$C$2,D444=policy_name_clustering!$A$3,policy_name_clustering!$C$3,D444=policy_name_clustering!$A$4,policy_name_clustering!$C$4,D444=policy_name_clustering!$A$5,policy_name_clustering!$C$5,D444=policy_name_clustering!$A$6,policy_name_clustering!$C$6,D444=policy_name_clustering!$A$7,policy_name_clustering!$C$7,D444=policy_name_clustering!$A$8,policy_name_clustering!$C$8,D444=policy_name_clustering!$A$9,policy_name_clustering!$C$9,D444=policy_name_clustering!$A$10,policy_name_clustering!$C$10,D444=policy_name_clustering!$A$11,policy_name_clustering!$C$11,D444=policy_name_clustering!$A$12,policy_name_clustering!$C$12,D444="-","")</f>
        <v/>
      </c>
      <c r="G444" s="7">
        <f>solar_cum_cap!C410</f>
        <v>296</v>
      </c>
      <c r="H444" s="7">
        <f>estimated_capacity!C392</f>
        <v>848.09401687330705</v>
      </c>
      <c r="I444" s="7" cm="1">
        <f t="array" ref="I444">_xlfn.IFS(D444= ""," ",D444&lt;&gt; " ",F444*(G444/H444))</f>
        <v>0</v>
      </c>
      <c r="J444" s="7" cm="1">
        <f t="array" ref="J444">_xlfn.IFS(D444= ""," ",D444&lt;&gt; " ",(H444-F444)*(G444/H444))</f>
        <v>296</v>
      </c>
      <c r="K444" s="7" cm="1">
        <f t="array" ref="K444">IF(ISNUMBER(H444),_xlfn.IFS(D444= ""," ",D444&lt;&gt; " ",F444*(G444/H444)),"")</f>
        <v>0</v>
      </c>
    </row>
    <row r="445" spans="1:11" s="7" customFormat="1" hidden="1" x14ac:dyDescent="0.35">
      <c r="A445" s="7" t="s">
        <v>38</v>
      </c>
      <c r="B445" s="7">
        <v>2014</v>
      </c>
      <c r="D445" s="7" t="s">
        <v>73</v>
      </c>
      <c r="E445" s="7" t="str" cm="1">
        <f t="array" ref="E445">_xlfn.IFS(D445=policy_name_clustering!$A$2,policy_name_clustering!$C$2,D445=policy_name_clustering!$A$3,policy_name_clustering!$C$3,D445=policy_name_clustering!$A$4,policy_name_clustering!$C$4,D445=policy_name_clustering!$A$5,policy_name_clustering!$C$5,D445=policy_name_clustering!$A$6,policy_name_clustering!$C$6,D445=policy_name_clustering!$A$7,policy_name_clustering!$C$7,D445=policy_name_clustering!$A$8,policy_name_clustering!$C$8,D445=policy_name_clustering!$A$9,policy_name_clustering!$C$9,D445=policy_name_clustering!$A$10,policy_name_clustering!$C$10,D445=policy_name_clustering!$A$11,policy_name_clustering!$C$11,D445=policy_name_clustering!$A$12,policy_name_clustering!$C$12,D445="-","")</f>
        <v/>
      </c>
      <c r="G445" s="7">
        <f>solar_cum_cap!C411</f>
        <v>415</v>
      </c>
      <c r="H445" s="7">
        <f>estimated_capacity!C393</f>
        <v>1126.9301617486999</v>
      </c>
      <c r="I445" s="7" cm="1">
        <f t="array" ref="I445">_xlfn.IFS(D445= ""," ",D445&lt;&gt; " ",F445*(G445/H445))</f>
        <v>0</v>
      </c>
      <c r="J445" s="7" cm="1">
        <f t="array" ref="J445">_xlfn.IFS(D445= ""," ",D445&lt;&gt; " ",(H445-F445)*(G445/H445))</f>
        <v>415</v>
      </c>
      <c r="K445" s="7" cm="1">
        <f t="array" ref="K445">IF(ISNUMBER(H445),_xlfn.IFS(D445= ""," ",D445&lt;&gt; " ",F445*(G445/H445)),"")</f>
        <v>0</v>
      </c>
    </row>
    <row r="446" spans="1:11" s="7" customFormat="1" hidden="1" x14ac:dyDescent="0.35">
      <c r="A446" s="7" t="s">
        <v>38</v>
      </c>
      <c r="B446" s="7">
        <v>2015</v>
      </c>
      <c r="D446" s="7" t="s">
        <v>73</v>
      </c>
      <c r="E446" s="7" t="str" cm="1">
        <f t="array" ref="E446">_xlfn.IFS(D446=policy_name_clustering!$A$2,policy_name_clustering!$C$2,D446=policy_name_clustering!$A$3,policy_name_clustering!$C$3,D446=policy_name_clustering!$A$4,policy_name_clustering!$C$4,D446=policy_name_clustering!$A$5,policy_name_clustering!$C$5,D446=policy_name_clustering!$A$6,policy_name_clustering!$C$6,D446=policy_name_clustering!$A$7,policy_name_clustering!$C$7,D446=policy_name_clustering!$A$8,policy_name_clustering!$C$8,D446=policy_name_clustering!$A$9,policy_name_clustering!$C$9,D446=policy_name_clustering!$A$10,policy_name_clustering!$C$10,D446=policy_name_clustering!$A$11,policy_name_clustering!$C$11,D446=policy_name_clustering!$A$12,policy_name_clustering!$C$12,D446="-","")</f>
        <v/>
      </c>
      <c r="G446" s="7">
        <f>solar_cum_cap!C412</f>
        <v>447</v>
      </c>
      <c r="H446" s="7">
        <f>estimated_capacity!C394</f>
        <v>1357.4585920555</v>
      </c>
      <c r="I446" s="7" cm="1">
        <f t="array" ref="I446">_xlfn.IFS(D446= ""," ",D446&lt;&gt; " ",F446*(G446/H446))</f>
        <v>0</v>
      </c>
      <c r="J446" s="7" cm="1">
        <f t="array" ref="J446">_xlfn.IFS(D446= ""," ",D446&lt;&gt; " ",(H446-F446)*(G446/H446))</f>
        <v>446.99999999999994</v>
      </c>
      <c r="K446" s="7" cm="1">
        <f t="array" ref="K446">IF(ISNUMBER(H446),_xlfn.IFS(D446= ""," ",D446&lt;&gt; " ",F446*(G446/H446)),"")</f>
        <v>0</v>
      </c>
    </row>
    <row r="447" spans="1:11" s="7" customFormat="1" hidden="1" x14ac:dyDescent="0.35">
      <c r="A447" s="7" t="s">
        <v>38</v>
      </c>
      <c r="B447" s="7">
        <v>2016</v>
      </c>
      <c r="D447" s="7" t="s">
        <v>73</v>
      </c>
      <c r="E447" s="7" t="str" cm="1">
        <f t="array" ref="E447">_xlfn.IFS(D447=policy_name_clustering!$A$2,policy_name_clustering!$C$2,D447=policy_name_clustering!$A$3,policy_name_clustering!$C$3,D447=policy_name_clustering!$A$4,policy_name_clustering!$C$4,D447=policy_name_clustering!$A$5,policy_name_clustering!$C$5,D447=policy_name_clustering!$A$6,policy_name_clustering!$C$6,D447=policy_name_clustering!$A$7,policy_name_clustering!$C$7,D447=policy_name_clustering!$A$8,policy_name_clustering!$C$8,D447=policy_name_clustering!$A$9,policy_name_clustering!$C$9,D447=policy_name_clustering!$A$10,policy_name_clustering!$C$10,D447=policy_name_clustering!$A$11,policy_name_clustering!$C$11,D447=policy_name_clustering!$A$12,policy_name_clustering!$C$12,D447="-","")</f>
        <v/>
      </c>
      <c r="G447" s="7">
        <f>solar_cum_cap!C413</f>
        <v>512.82399999999996</v>
      </c>
      <c r="H447" s="7">
        <f>estimated_capacity!C395</f>
        <v>1645.0521307541601</v>
      </c>
      <c r="I447" s="7" cm="1">
        <f t="array" ref="I447">_xlfn.IFS(D447= ""," ",D447&lt;&gt; " ",F447*(G447/H447))</f>
        <v>0</v>
      </c>
      <c r="J447" s="7" cm="1">
        <f t="array" ref="J447">_xlfn.IFS(D447= ""," ",D447&lt;&gt; " ",(H447-F447)*(G447/H447))</f>
        <v>512.82399999999996</v>
      </c>
      <c r="K447" s="7" cm="1">
        <f t="array" ref="K447">IF(ISNUMBER(H447),_xlfn.IFS(D447= ""," ",D447&lt;&gt; " ",F447*(G447/H447)),"")</f>
        <v>0</v>
      </c>
    </row>
    <row r="448" spans="1:11" s="7" customFormat="1" hidden="1" x14ac:dyDescent="0.35">
      <c r="A448" s="7" t="s">
        <v>38</v>
      </c>
      <c r="B448" s="7">
        <v>2017</v>
      </c>
      <c r="D448" s="7" t="s">
        <v>73</v>
      </c>
      <c r="E448" s="7" t="str" cm="1">
        <f t="array" ref="E448">_xlfn.IFS(D448=policy_name_clustering!$A$2,policy_name_clustering!$C$2,D448=policy_name_clustering!$A$3,policy_name_clustering!$C$3,D448=policy_name_clustering!$A$4,policy_name_clustering!$C$4,D448=policy_name_clustering!$A$5,policy_name_clustering!$C$5,D448=policy_name_clustering!$A$6,policy_name_clustering!$C$6,D448=policy_name_clustering!$A$7,policy_name_clustering!$C$7,D448=policy_name_clustering!$A$8,policy_name_clustering!$C$8,D448=policy_name_clustering!$A$9,policy_name_clustering!$C$9,D448=policy_name_clustering!$A$10,policy_name_clustering!$C$10,D448=policy_name_clustering!$A$11,policy_name_clustering!$C$11,D448=policy_name_clustering!$A$12,policy_name_clustering!$C$12,D448="-","")</f>
        <v/>
      </c>
      <c r="G448" s="7">
        <f>solar_cum_cap!C414</f>
        <v>579.23599999999999</v>
      </c>
      <c r="H448" s="7">
        <f>estimated_capacity!C396</f>
        <v>1958.84182081683</v>
      </c>
      <c r="I448" s="7" cm="1">
        <f t="array" ref="I448">_xlfn.IFS(D448= ""," ",D448&lt;&gt; " ",F448*(G448/H448))</f>
        <v>0</v>
      </c>
      <c r="J448" s="7" cm="1">
        <f t="array" ref="J448">_xlfn.IFS(D448= ""," ",D448&lt;&gt; " ",(H448-F448)*(G448/H448))</f>
        <v>579.23599999999999</v>
      </c>
      <c r="K448" s="7" cm="1">
        <f t="array" ref="K448">IF(ISNUMBER(H448),_xlfn.IFS(D448= ""," ",D448&lt;&gt; " ",F448*(G448/H448)),"")</f>
        <v>0</v>
      </c>
    </row>
    <row r="449" spans="1:11" s="7" customFormat="1" hidden="1" x14ac:dyDescent="0.35">
      <c r="A449" s="7" t="s">
        <v>38</v>
      </c>
      <c r="B449" s="7">
        <v>2018</v>
      </c>
      <c r="D449" s="7" t="s">
        <v>73</v>
      </c>
      <c r="E449" s="7" t="str" cm="1">
        <f t="array" ref="E449">_xlfn.IFS(D449=policy_name_clustering!$A$2,policy_name_clustering!$C$2,D449=policy_name_clustering!$A$3,policy_name_clustering!$C$3,D449=policy_name_clustering!$A$4,policy_name_clustering!$C$4,D449=policy_name_clustering!$A$5,policy_name_clustering!$C$5,D449=policy_name_clustering!$A$6,policy_name_clustering!$C$6,D449=policy_name_clustering!$A$7,policy_name_clustering!$C$7,D449=policy_name_clustering!$A$8,policy_name_clustering!$C$8,D449=policy_name_clustering!$A$9,policy_name_clustering!$C$9,D449=policy_name_clustering!$A$10,policy_name_clustering!$C$10,D449=policy_name_clustering!$A$11,policy_name_clustering!$C$11,D449=policy_name_clustering!$A$12,policy_name_clustering!$C$12,D449="-","")</f>
        <v/>
      </c>
      <c r="G449" s="7">
        <f>solar_cum_cap!C415</f>
        <v>667.43100000000004</v>
      </c>
      <c r="H449" s="7">
        <f>estimated_capacity!C397</f>
        <v>2244.8159556352398</v>
      </c>
      <c r="I449" s="7" cm="1">
        <f t="array" ref="I449">_xlfn.IFS(D449= ""," ",D449&lt;&gt; " ",F449*(G449/H449))</f>
        <v>0</v>
      </c>
      <c r="J449" s="7" cm="1">
        <f t="array" ref="J449">_xlfn.IFS(D449= ""," ",D449&lt;&gt; " ",(H449-F449)*(G449/H449))</f>
        <v>667.43100000000004</v>
      </c>
      <c r="K449" s="7" cm="1">
        <f t="array" ref="K449">IF(ISNUMBER(H449),_xlfn.IFS(D449= ""," ",D449&lt;&gt; " ",F449*(G449/H449)),"")</f>
        <v>0</v>
      </c>
    </row>
    <row r="450" spans="1:11" s="7" customFormat="1" hidden="1" x14ac:dyDescent="0.35">
      <c r="A450" s="7" t="s">
        <v>38</v>
      </c>
      <c r="B450" s="7">
        <v>2019</v>
      </c>
      <c r="D450" s="7" t="s">
        <v>73</v>
      </c>
      <c r="E450" s="7" t="str" cm="1">
        <f t="array" ref="E450">_xlfn.IFS(D450=policy_name_clustering!$A$2,policy_name_clustering!$C$2,D450=policy_name_clustering!$A$3,policy_name_clustering!$C$3,D450=policy_name_clustering!$A$4,policy_name_clustering!$C$4,D450=policy_name_clustering!$A$5,policy_name_clustering!$C$5,D450=policy_name_clustering!$A$6,policy_name_clustering!$C$6,D450=policy_name_clustering!$A$7,policy_name_clustering!$C$7,D450=policy_name_clustering!$A$8,policy_name_clustering!$C$8,D450=policy_name_clustering!$A$9,policy_name_clustering!$C$9,D450=policy_name_clustering!$A$10,policy_name_clustering!$C$10,D450=policy_name_clustering!$A$11,policy_name_clustering!$C$11,D450=policy_name_clustering!$A$12,policy_name_clustering!$C$12,D450="-","")</f>
        <v/>
      </c>
      <c r="G450" s="7">
        <f>solar_cum_cap!C416</f>
        <v>901.43799999999999</v>
      </c>
      <c r="H450" s="7">
        <f>estimated_capacity!C398</f>
        <v>2463.4258848240702</v>
      </c>
      <c r="I450" s="7" cm="1">
        <f t="array" ref="I450">_xlfn.IFS(D450= ""," ",D450&lt;&gt; " ",F450*(G450/H450))</f>
        <v>0</v>
      </c>
      <c r="J450" s="7" cm="1">
        <f t="array" ref="J450">_xlfn.IFS(D450= ""," ",D450&lt;&gt; " ",(H450-F450)*(G450/H450))</f>
        <v>901.43799999999987</v>
      </c>
      <c r="K450" s="7" cm="1">
        <f t="array" ref="K450">IF(ISNUMBER(H450),_xlfn.IFS(D450= ""," ",D450&lt;&gt; " ",F450*(G450/H450)),"")</f>
        <v>0</v>
      </c>
    </row>
    <row r="451" spans="1:11" s="7" customFormat="1" hidden="1" x14ac:dyDescent="0.35">
      <c r="A451" s="7" t="s">
        <v>38</v>
      </c>
      <c r="B451" s="7">
        <v>2020</v>
      </c>
      <c r="D451" s="7" t="s">
        <v>73</v>
      </c>
      <c r="E451" s="7" t="str" cm="1">
        <f t="array" ref="E451">_xlfn.IFS(D451=policy_name_clustering!$A$2,policy_name_clustering!$C$2,D451=policy_name_clustering!$A$3,policy_name_clustering!$C$3,D451=policy_name_clustering!$A$4,policy_name_clustering!$C$4,D451=policy_name_clustering!$A$5,policy_name_clustering!$C$5,D451=policy_name_clustering!$A$6,policy_name_clustering!$C$6,D451=policy_name_clustering!$A$7,policy_name_clustering!$C$7,D451=policy_name_clustering!$A$8,policy_name_clustering!$C$8,D451=policy_name_clustering!$A$9,policy_name_clustering!$C$9,D451=policy_name_clustering!$A$10,policy_name_clustering!$C$10,D451=policy_name_clustering!$A$11,policy_name_clustering!$C$11,D451=policy_name_clustering!$A$12,policy_name_clustering!$C$12,D451="-","")</f>
        <v/>
      </c>
      <c r="G451" s="7">
        <f>solar_cum_cap!C417</f>
        <v>1100.2919999999999</v>
      </c>
      <c r="H451" s="7">
        <f>estimated_capacity!C399</f>
        <v>2643.0292018761702</v>
      </c>
      <c r="I451" s="7" cm="1">
        <f t="array" ref="I451">_xlfn.IFS(D451= ""," ",D451&lt;&gt; " ",F451*(G451/H451))</f>
        <v>0</v>
      </c>
      <c r="J451" s="7" cm="1">
        <f t="array" ref="J451">_xlfn.IFS(D451= ""," ",D451&lt;&gt; " ",(H451-F451)*(G451/H451))</f>
        <v>1100.2919999999999</v>
      </c>
      <c r="K451" s="7" cm="1">
        <f t="array" ref="K451">IF(ISNUMBER(H451),_xlfn.IFS(D451= ""," ",D451&lt;&gt; " ",F451*(G451/H451)),"")</f>
        <v>0</v>
      </c>
    </row>
    <row r="452" spans="1:11" s="7" customFormat="1" hidden="1" x14ac:dyDescent="0.35">
      <c r="A452" s="7" t="s">
        <v>38</v>
      </c>
      <c r="B452" s="7">
        <v>2021</v>
      </c>
      <c r="D452" s="7" t="s">
        <v>73</v>
      </c>
      <c r="E452" s="7" t="str" cm="1">
        <f t="array" ref="E452">_xlfn.IFS(D452=policy_name_clustering!$A$2,policy_name_clustering!$C$2,D452=policy_name_clustering!$A$3,policy_name_clustering!$C$3,D452=policy_name_clustering!$A$4,policy_name_clustering!$C$4,D452=policy_name_clustering!$A$5,policy_name_clustering!$C$5,D452=policy_name_clustering!$A$6,policy_name_clustering!$C$6,D452=policy_name_clustering!$A$7,policy_name_clustering!$C$7,D452=policy_name_clustering!$A$8,policy_name_clustering!$C$8,D452=policy_name_clustering!$A$9,policy_name_clustering!$C$9,D452=policy_name_clustering!$A$10,policy_name_clustering!$C$10,D452=policy_name_clustering!$A$11,policy_name_clustering!$C$11,D452=policy_name_clustering!$A$12,policy_name_clustering!$C$12,D452="-","")</f>
        <v/>
      </c>
      <c r="G452" s="7">
        <f>solar_cum_cap!C418</f>
        <v>1645.9939999999999</v>
      </c>
      <c r="H452" s="7">
        <f>estimated_capacity!C400</f>
        <v>2826.3599122838</v>
      </c>
      <c r="I452" s="7" cm="1">
        <f t="array" ref="I452">_xlfn.IFS(D452= ""," ",D452&lt;&gt; " ",F452*(G452/H452))</f>
        <v>0</v>
      </c>
      <c r="J452" s="7" cm="1">
        <f t="array" ref="J452">_xlfn.IFS(D452= ""," ",D452&lt;&gt; " ",(H452-F452)*(G452/H452))</f>
        <v>1645.9939999999999</v>
      </c>
      <c r="K452" s="7" cm="1">
        <f t="array" ref="K452">IF(ISNUMBER(H452),_xlfn.IFS(D452= ""," ",D452&lt;&gt; " ",F452*(G452/H452)),"")</f>
        <v>0</v>
      </c>
    </row>
    <row r="453" spans="1:11" s="7" customFormat="1" hidden="1" x14ac:dyDescent="0.35">
      <c r="A453" s="7" t="s">
        <v>38</v>
      </c>
      <c r="B453" s="7">
        <v>2022</v>
      </c>
      <c r="D453" s="7" t="s">
        <v>73</v>
      </c>
      <c r="E453" s="7" t="str" cm="1">
        <f t="array" ref="E453">_xlfn.IFS(D453=policy_name_clustering!$A$2,policy_name_clustering!$C$2,D453=policy_name_clustering!$A$3,policy_name_clustering!$C$3,D453=policy_name_clustering!$A$4,policy_name_clustering!$C$4,D453=policy_name_clustering!$A$5,policy_name_clustering!$C$5,D453=policy_name_clustering!$A$6,policy_name_clustering!$C$6,D453=policy_name_clustering!$A$7,policy_name_clustering!$C$7,D453=policy_name_clustering!$A$8,policy_name_clustering!$C$8,D453=policy_name_clustering!$A$9,policy_name_clustering!$C$9,D453=policy_name_clustering!$A$10,policy_name_clustering!$C$10,D453=policy_name_clustering!$A$11,policy_name_clustering!$C$11,D453=policy_name_clustering!$A$12,policy_name_clustering!$C$12,D453="-","")</f>
        <v/>
      </c>
      <c r="G453" s="7">
        <f>solar_cum_cap!C419</f>
        <v>2646.2570000000001</v>
      </c>
      <c r="H453" s="7">
        <f>estimated_capacity!C401</f>
        <v>3165.2980594740402</v>
      </c>
      <c r="I453" s="7" cm="1">
        <f t="array" ref="I453">_xlfn.IFS(D453= ""," ",D453&lt;&gt; " ",F453*(G453/H453))</f>
        <v>0</v>
      </c>
      <c r="J453" s="7" cm="1">
        <f t="array" ref="J453">_xlfn.IFS(D453= ""," ",D453&lt;&gt; " ",(H453-F453)*(G453/H453))</f>
        <v>2646.2570000000001</v>
      </c>
      <c r="K453" s="7" cm="1">
        <f t="array" ref="K453">IF(ISNUMBER(H453),_xlfn.IFS(D453= ""," ",D453&lt;&gt; " ",F453*(G453/H453)),"")</f>
        <v>0</v>
      </c>
    </row>
    <row r="454" spans="1:11" s="7" customFormat="1" hidden="1" x14ac:dyDescent="0.35">
      <c r="A454" s="7" t="s">
        <v>38</v>
      </c>
      <c r="B454" s="7">
        <v>2023</v>
      </c>
      <c r="D454" s="7" t="s">
        <v>73</v>
      </c>
      <c r="E454" s="7" t="str" cm="1">
        <f t="array" ref="E454">_xlfn.IFS(D454=policy_name_clustering!$A$2,policy_name_clustering!$C$2,D454=policy_name_clustering!$A$3,policy_name_clustering!$C$3,D454=policy_name_clustering!$A$4,policy_name_clustering!$C$4,D454=policy_name_clustering!$A$5,policy_name_clustering!$C$5,D454=policy_name_clustering!$A$6,policy_name_clustering!$C$6,D454=policy_name_clustering!$A$7,policy_name_clustering!$C$7,D454=policy_name_clustering!$A$8,policy_name_clustering!$C$8,D454=policy_name_clustering!$A$9,policy_name_clustering!$C$9,D454=policy_name_clustering!$A$10,policy_name_clustering!$C$10,D454=policy_name_clustering!$A$11,policy_name_clustering!$C$11,D454=policy_name_clustering!$A$12,policy_name_clustering!$C$12,D454="-","")</f>
        <v/>
      </c>
      <c r="G454" s="7">
        <f>solar_cum_cap!C420</f>
        <v>3868.7910000000002</v>
      </c>
      <c r="H454" s="7">
        <f>estimated_capacity!C402</f>
        <v>3575.0392766576301</v>
      </c>
      <c r="I454" s="7" cm="1">
        <f t="array" ref="I454">_xlfn.IFS(D454= ""," ",D454&lt;&gt; " ",F454*(G454/H454))</f>
        <v>0</v>
      </c>
      <c r="J454" s="7" cm="1">
        <f t="array" ref="J454">_xlfn.IFS(D454= ""," ",D454&lt;&gt; " ",(H454-F454)*(G454/H454))</f>
        <v>3868.7910000000006</v>
      </c>
      <c r="K454" s="7" cm="1">
        <f t="array" ref="K454">IF(ISNUMBER(H454),_xlfn.IFS(D454= ""," ",D454&lt;&gt; " ",F454*(G454/H454)),"")</f>
        <v>0</v>
      </c>
    </row>
    <row r="455" spans="1:11" s="7" customFormat="1" hidden="1" x14ac:dyDescent="0.35">
      <c r="A455" s="7" t="s">
        <v>39</v>
      </c>
      <c r="B455" s="7">
        <v>2003</v>
      </c>
      <c r="D455" s="7" t="s">
        <v>73</v>
      </c>
      <c r="E455" s="7" t="str" cm="1">
        <f t="array" ref="E455">_xlfn.IFS(D455=policy_name_clustering!$A$2,policy_name_clustering!$C$2,D455=policy_name_clustering!$A$3,policy_name_clustering!$C$3,D455=policy_name_clustering!$A$4,policy_name_clustering!$C$4,D455=policy_name_clustering!$A$5,policy_name_clustering!$C$5,D455=policy_name_clustering!$A$6,policy_name_clustering!$C$6,D455=policy_name_clustering!$A$7,policy_name_clustering!$C$7,D455=policy_name_clustering!$A$8,policy_name_clustering!$C$8,D455=policy_name_clustering!$A$9,policy_name_clustering!$C$9,D455=policy_name_clustering!$A$10,policy_name_clustering!$C$10,D455=policy_name_clustering!$A$11,policy_name_clustering!$C$11,D455=policy_name_clustering!$A$12,policy_name_clustering!$C$12,D455="-","")</f>
        <v/>
      </c>
      <c r="G455" s="7">
        <f>solar_cum_cap!C422</f>
        <v>1</v>
      </c>
      <c r="H455" s="7">
        <f>estimated_capacity!C403</f>
        <v>-51.432775089171102</v>
      </c>
      <c r="I455" s="7" cm="1">
        <f t="array" ref="I455">_xlfn.IFS(D455= ""," ",D455&lt;&gt; " ",F455*(G455/H455))</f>
        <v>0</v>
      </c>
      <c r="J455" s="7" cm="1">
        <f t="array" ref="J455">_xlfn.IFS(D455= ""," ",D455&lt;&gt; " ",(H455-F455)*(G455/H455))</f>
        <v>1</v>
      </c>
      <c r="K455" s="7" cm="1">
        <f t="array" ref="K455">IF(ISNUMBER(H455),_xlfn.IFS(D455= ""," ",D455&lt;&gt; " ",F455*(G455/H455)),"")</f>
        <v>0</v>
      </c>
    </row>
    <row r="456" spans="1:11" s="7" customFormat="1" hidden="1" x14ac:dyDescent="0.35">
      <c r="A456" s="7" t="s">
        <v>39</v>
      </c>
      <c r="B456" s="7">
        <v>2004</v>
      </c>
      <c r="D456" s="7" t="s">
        <v>73</v>
      </c>
      <c r="E456" s="7" t="str" cm="1">
        <f t="array" ref="E456">_xlfn.IFS(D456=policy_name_clustering!$A$2,policy_name_clustering!$C$2,D456=policy_name_clustering!$A$3,policy_name_clustering!$C$3,D456=policy_name_clustering!$A$4,policy_name_clustering!$C$4,D456=policy_name_clustering!$A$5,policy_name_clustering!$C$5,D456=policy_name_clustering!$A$6,policy_name_clustering!$C$6,D456=policy_name_clustering!$A$7,policy_name_clustering!$C$7,D456=policy_name_clustering!$A$8,policy_name_clustering!$C$8,D456=policy_name_clustering!$A$9,policy_name_clustering!$C$9,D456=policy_name_clustering!$A$10,policy_name_clustering!$C$10,D456=policy_name_clustering!$A$11,policy_name_clustering!$C$11,D456=policy_name_clustering!$A$12,policy_name_clustering!$C$12,D456="-","")</f>
        <v/>
      </c>
      <c r="G456" s="7">
        <f>solar_cum_cap!C423</f>
        <v>1</v>
      </c>
      <c r="H456" s="7">
        <f>estimated_capacity!C404</f>
        <v>-106.531235352452</v>
      </c>
      <c r="I456" s="7" cm="1">
        <f t="array" ref="I456">_xlfn.IFS(D456= ""," ",D456&lt;&gt; " ",F456*(G456/H456))</f>
        <v>0</v>
      </c>
      <c r="J456" s="7" cm="1">
        <f t="array" ref="J456">_xlfn.IFS(D456= ""," ",D456&lt;&gt; " ",(H456-F456)*(G456/H456))</f>
        <v>1</v>
      </c>
      <c r="K456" s="7" cm="1">
        <f t="array" ref="K456">IF(ISNUMBER(H456),_xlfn.IFS(D456= ""," ",D456&lt;&gt; " ",F456*(G456/H456)),"")</f>
        <v>0</v>
      </c>
    </row>
    <row r="457" spans="1:11" s="7" customFormat="1" hidden="1" x14ac:dyDescent="0.35">
      <c r="A457" s="7" t="s">
        <v>39</v>
      </c>
      <c r="B457" s="7">
        <v>2005</v>
      </c>
      <c r="D457" s="7" t="s">
        <v>73</v>
      </c>
      <c r="E457" s="7" t="str" cm="1">
        <f t="array" ref="E457">_xlfn.IFS(D457=policy_name_clustering!$A$2,policy_name_clustering!$C$2,D457=policy_name_clustering!$A$3,policy_name_clustering!$C$3,D457=policy_name_clustering!$A$4,policy_name_clustering!$C$4,D457=policy_name_clustering!$A$5,policy_name_clustering!$C$5,D457=policy_name_clustering!$A$6,policy_name_clustering!$C$6,D457=policy_name_clustering!$A$7,policy_name_clustering!$C$7,D457=policy_name_clustering!$A$8,policy_name_clustering!$C$8,D457=policy_name_clustering!$A$9,policy_name_clustering!$C$9,D457=policy_name_clustering!$A$10,policy_name_clustering!$C$10,D457=policy_name_clustering!$A$11,policy_name_clustering!$C$11,D457=policy_name_clustering!$A$12,policy_name_clustering!$C$12,D457="-","")</f>
        <v/>
      </c>
      <c r="G457" s="7">
        <f>solar_cum_cap!C424</f>
        <v>1</v>
      </c>
      <c r="H457" s="7">
        <f>estimated_capacity!C405</f>
        <v>-162.69251293535899</v>
      </c>
      <c r="I457" s="7" cm="1">
        <f t="array" ref="I457">_xlfn.IFS(D457= ""," ",D457&lt;&gt; " ",F457*(G457/H457))</f>
        <v>0</v>
      </c>
      <c r="J457" s="7" cm="1">
        <f t="array" ref="J457">_xlfn.IFS(D457= ""," ",D457&lt;&gt; " ",(H457-F457)*(G457/H457))</f>
        <v>0.99999999999999989</v>
      </c>
      <c r="K457" s="7" cm="1">
        <f t="array" ref="K457">IF(ISNUMBER(H457),_xlfn.IFS(D457= ""," ",D457&lt;&gt; " ",F457*(G457/H457)),"")</f>
        <v>0</v>
      </c>
    </row>
    <row r="458" spans="1:11" s="7" customFormat="1" hidden="1" x14ac:dyDescent="0.35">
      <c r="A458" s="7" t="s">
        <v>39</v>
      </c>
      <c r="B458" s="7">
        <v>2006</v>
      </c>
      <c r="D458" s="7" t="s">
        <v>73</v>
      </c>
      <c r="E458" s="7" t="str" cm="1">
        <f t="array" ref="E458">_xlfn.IFS(D458=policy_name_clustering!$A$2,policy_name_clustering!$C$2,D458=policy_name_clustering!$A$3,policy_name_clustering!$C$3,D458=policy_name_clustering!$A$4,policy_name_clustering!$C$4,D458=policy_name_clustering!$A$5,policy_name_clustering!$C$5,D458=policy_name_clustering!$A$6,policy_name_clustering!$C$6,D458=policy_name_clustering!$A$7,policy_name_clustering!$C$7,D458=policy_name_clustering!$A$8,policy_name_clustering!$C$8,D458=policy_name_clustering!$A$9,policy_name_clustering!$C$9,D458=policy_name_clustering!$A$10,policy_name_clustering!$C$10,D458=policy_name_clustering!$A$11,policy_name_clustering!$C$11,D458=policy_name_clustering!$A$12,policy_name_clustering!$C$12,D458="-","")</f>
        <v/>
      </c>
      <c r="G458" s="7">
        <f>solar_cum_cap!C425</f>
        <v>1</v>
      </c>
      <c r="H458" s="7">
        <f>estimated_capacity!C406</f>
        <v>-219.379754870325</v>
      </c>
      <c r="I458" s="7" cm="1">
        <f t="array" ref="I458">_xlfn.IFS(D458= ""," ",D458&lt;&gt; " ",F458*(G458/H458))</f>
        <v>0</v>
      </c>
      <c r="J458" s="7" cm="1">
        <f t="array" ref="J458">_xlfn.IFS(D458= ""," ",D458&lt;&gt; " ",(H458-F458)*(G458/H458))</f>
        <v>1</v>
      </c>
      <c r="K458" s="7" cm="1">
        <f t="array" ref="K458">IF(ISNUMBER(H458),_xlfn.IFS(D458= ""," ",D458&lt;&gt; " ",F458*(G458/H458)),"")</f>
        <v>0</v>
      </c>
    </row>
    <row r="459" spans="1:11" s="7" customFormat="1" hidden="1" x14ac:dyDescent="0.35">
      <c r="A459" s="7" t="s">
        <v>39</v>
      </c>
      <c r="B459" s="7">
        <v>2007</v>
      </c>
      <c r="D459" s="7" t="s">
        <v>73</v>
      </c>
      <c r="E459" s="7" t="str" cm="1">
        <f t="array" ref="E459">_xlfn.IFS(D459=policy_name_clustering!$A$2,policy_name_clustering!$C$2,D459=policy_name_clustering!$A$3,policy_name_clustering!$C$3,D459=policy_name_clustering!$A$4,policy_name_clustering!$C$4,D459=policy_name_clustering!$A$5,policy_name_clustering!$C$5,D459=policy_name_clustering!$A$6,policy_name_clustering!$C$6,D459=policy_name_clustering!$A$7,policy_name_clustering!$C$7,D459=policy_name_clustering!$A$8,policy_name_clustering!$C$8,D459=policy_name_clustering!$A$9,policy_name_clustering!$C$9,D459=policy_name_clustering!$A$10,policy_name_clustering!$C$10,D459=policy_name_clustering!$A$11,policy_name_clustering!$C$11,D459=policy_name_clustering!$A$12,policy_name_clustering!$C$12,D459="-","")</f>
        <v/>
      </c>
      <c r="G459" s="7">
        <f>solar_cum_cap!C426</f>
        <v>1</v>
      </c>
      <c r="H459" s="7">
        <f>estimated_capacity!C407</f>
        <v>-270.45293238362899</v>
      </c>
      <c r="I459" s="7" cm="1">
        <f t="array" ref="I459">_xlfn.IFS(D459= ""," ",D459&lt;&gt; " ",F459*(G459/H459))</f>
        <v>0</v>
      </c>
      <c r="J459" s="7" cm="1">
        <f t="array" ref="J459">_xlfn.IFS(D459= ""," ",D459&lt;&gt; " ",(H459-F459)*(G459/H459))</f>
        <v>1</v>
      </c>
      <c r="K459" s="7" cm="1">
        <f t="array" ref="K459">IF(ISNUMBER(H459),_xlfn.IFS(D459= ""," ",D459&lt;&gt; " ",F459*(G459/H459)),"")</f>
        <v>0</v>
      </c>
    </row>
    <row r="460" spans="1:11" s="7" customFormat="1" hidden="1" x14ac:dyDescent="0.35">
      <c r="A460" s="7" t="s">
        <v>39</v>
      </c>
      <c r="B460" s="7">
        <v>2008</v>
      </c>
      <c r="D460" s="7" t="s">
        <v>73</v>
      </c>
      <c r="E460" s="7" t="str" cm="1">
        <f t="array" ref="E460">_xlfn.IFS(D460=policy_name_clustering!$A$2,policy_name_clustering!$C$2,D460=policy_name_clustering!$A$3,policy_name_clustering!$C$3,D460=policy_name_clustering!$A$4,policy_name_clustering!$C$4,D460=policy_name_clustering!$A$5,policy_name_clustering!$C$5,D460=policy_name_clustering!$A$6,policy_name_clustering!$C$6,D460=policy_name_clustering!$A$7,policy_name_clustering!$C$7,D460=policy_name_clustering!$A$8,policy_name_clustering!$C$8,D460=policy_name_clustering!$A$9,policy_name_clustering!$C$9,D460=policy_name_clustering!$A$10,policy_name_clustering!$C$10,D460=policy_name_clustering!$A$11,policy_name_clustering!$C$11,D460=policy_name_clustering!$A$12,policy_name_clustering!$C$12,D460="-","")</f>
        <v/>
      </c>
      <c r="G460" s="7">
        <f>solar_cum_cap!C427</f>
        <v>1</v>
      </c>
      <c r="H460" s="7">
        <f>estimated_capacity!C408</f>
        <v>-308.77912904845402</v>
      </c>
      <c r="I460" s="7" cm="1">
        <f t="array" ref="I460">_xlfn.IFS(D460= ""," ",D460&lt;&gt; " ",F460*(G460/H460))</f>
        <v>0</v>
      </c>
      <c r="J460" s="7" cm="1">
        <f t="array" ref="J460">_xlfn.IFS(D460= ""," ",D460&lt;&gt; " ",(H460-F460)*(G460/H460))</f>
        <v>1</v>
      </c>
      <c r="K460" s="7" cm="1">
        <f t="array" ref="K460">IF(ISNUMBER(H460),_xlfn.IFS(D460= ""," ",D460&lt;&gt; " ",F460*(G460/H460)),"")</f>
        <v>0</v>
      </c>
    </row>
    <row r="461" spans="1:11" s="7" customFormat="1" hidden="1" x14ac:dyDescent="0.35">
      <c r="A461" s="7" t="s">
        <v>39</v>
      </c>
      <c r="B461" s="7">
        <v>2009</v>
      </c>
      <c r="D461" s="7" t="s">
        <v>73</v>
      </c>
      <c r="E461" s="7" t="str" cm="1">
        <f t="array" ref="E461">_xlfn.IFS(D461=policy_name_clustering!$A$2,policy_name_clustering!$C$2,D461=policy_name_clustering!$A$3,policy_name_clustering!$C$3,D461=policy_name_clustering!$A$4,policy_name_clustering!$C$4,D461=policy_name_clustering!$A$5,policy_name_clustering!$C$5,D461=policy_name_clustering!$A$6,policy_name_clustering!$C$6,D461=policy_name_clustering!$A$7,policy_name_clustering!$C$7,D461=policy_name_clustering!$A$8,policy_name_clustering!$C$8,D461=policy_name_clustering!$A$9,policy_name_clustering!$C$9,D461=policy_name_clustering!$A$10,policy_name_clustering!$C$10,D461=policy_name_clustering!$A$11,policy_name_clustering!$C$11,D461=policy_name_clustering!$A$12,policy_name_clustering!$C$12,D461="-","")</f>
        <v/>
      </c>
      <c r="G461" s="7">
        <f>solar_cum_cap!C428</f>
        <v>4</v>
      </c>
      <c r="H461" s="7">
        <f>estimated_capacity!C409</f>
        <v>-340.24434459619903</v>
      </c>
      <c r="I461" s="7" cm="1">
        <f t="array" ref="I461">_xlfn.IFS(D461= ""," ",D461&lt;&gt; " ",F461*(G461/H461))</f>
        <v>0</v>
      </c>
      <c r="J461" s="7" cm="1">
        <f t="array" ref="J461">_xlfn.IFS(D461= ""," ",D461&lt;&gt; " ",(H461-F461)*(G461/H461))</f>
        <v>3.9999999999999996</v>
      </c>
      <c r="K461" s="7" cm="1">
        <f t="array" ref="K461">IF(ISNUMBER(H461),_xlfn.IFS(D461= ""," ",D461&lt;&gt; " ",F461*(G461/H461)),"")</f>
        <v>0</v>
      </c>
    </row>
    <row r="462" spans="1:11" s="7" customFormat="1" hidden="1" x14ac:dyDescent="0.35">
      <c r="A462" s="7" t="s">
        <v>39</v>
      </c>
      <c r="B462" s="7">
        <v>2010</v>
      </c>
      <c r="D462" s="7" t="s">
        <v>73</v>
      </c>
      <c r="E462" s="7" t="str" cm="1">
        <f t="array" ref="E462">_xlfn.IFS(D462=policy_name_clustering!$A$2,policy_name_clustering!$C$2,D462=policy_name_clustering!$A$3,policy_name_clustering!$C$3,D462=policy_name_clustering!$A$4,policy_name_clustering!$C$4,D462=policy_name_clustering!$A$5,policy_name_clustering!$C$5,D462=policy_name_clustering!$A$6,policy_name_clustering!$C$6,D462=policy_name_clustering!$A$7,policy_name_clustering!$C$7,D462=policy_name_clustering!$A$8,policy_name_clustering!$C$8,D462=policy_name_clustering!$A$9,policy_name_clustering!$C$9,D462=policy_name_clustering!$A$10,policy_name_clustering!$C$10,D462=policy_name_clustering!$A$11,policy_name_clustering!$C$11,D462=policy_name_clustering!$A$12,policy_name_clustering!$C$12,D462="-","")</f>
        <v/>
      </c>
      <c r="G462" s="7">
        <f>solar_cum_cap!C429</f>
        <v>12</v>
      </c>
      <c r="H462" s="7">
        <f>estimated_capacity!C410</f>
        <v>-340.58797411720701</v>
      </c>
      <c r="I462" s="7" cm="1">
        <f t="array" ref="I462">_xlfn.IFS(D462= ""," ",D462&lt;&gt; " ",F462*(G462/H462))</f>
        <v>0</v>
      </c>
      <c r="J462" s="7" cm="1">
        <f t="array" ref="J462">_xlfn.IFS(D462= ""," ",D462&lt;&gt; " ",(H462-F462)*(G462/H462))</f>
        <v>12</v>
      </c>
      <c r="K462" s="7" cm="1">
        <f t="array" ref="K462">IF(ISNUMBER(H462),_xlfn.IFS(D462= ""," ",D462&lt;&gt; " ",F462*(G462/H462)),"")</f>
        <v>0</v>
      </c>
    </row>
    <row r="463" spans="1:11" s="7" customFormat="1" hidden="1" x14ac:dyDescent="0.35">
      <c r="A463" s="7" t="s">
        <v>39</v>
      </c>
      <c r="B463" s="7">
        <v>2011</v>
      </c>
      <c r="D463" s="7" t="s">
        <v>73</v>
      </c>
      <c r="E463" s="7" t="str" cm="1">
        <f t="array" ref="E463">_xlfn.IFS(D463=policy_name_clustering!$A$2,policy_name_clustering!$C$2,D463=policy_name_clustering!$A$3,policy_name_clustering!$C$3,D463=policy_name_clustering!$A$4,policy_name_clustering!$C$4,D463=policy_name_clustering!$A$5,policy_name_clustering!$C$5,D463=policy_name_clustering!$A$6,policy_name_clustering!$C$6,D463=policy_name_clustering!$A$7,policy_name_clustering!$C$7,D463=policy_name_clustering!$A$8,policy_name_clustering!$C$8,D463=policy_name_clustering!$A$9,policy_name_clustering!$C$9,D463=policy_name_clustering!$A$10,policy_name_clustering!$C$10,D463=policy_name_clustering!$A$11,policy_name_clustering!$C$11,D463=policy_name_clustering!$A$12,policy_name_clustering!$C$12,D463="-","")</f>
        <v/>
      </c>
      <c r="G463" s="7">
        <f>solar_cum_cap!C430</f>
        <v>57</v>
      </c>
      <c r="H463" s="7">
        <f>estimated_capacity!C411</f>
        <v>-282.61174312495001</v>
      </c>
      <c r="I463" s="7" cm="1">
        <f t="array" ref="I463">_xlfn.IFS(D463= ""," ",D463&lt;&gt; " ",F463*(G463/H463))</f>
        <v>0</v>
      </c>
      <c r="J463" s="7" cm="1">
        <f t="array" ref="J463">_xlfn.IFS(D463= ""," ",D463&lt;&gt; " ",(H463-F463)*(G463/H463))</f>
        <v>57</v>
      </c>
      <c r="K463" s="7" cm="1">
        <f t="array" ref="K463">IF(ISNUMBER(H463),_xlfn.IFS(D463= ""," ",D463&lt;&gt; " ",F463*(G463/H463)),"")</f>
        <v>0</v>
      </c>
    </row>
    <row r="464" spans="1:11" s="7" customFormat="1" hidden="1" x14ac:dyDescent="0.35">
      <c r="A464" s="7" t="s">
        <v>39</v>
      </c>
      <c r="B464" s="7">
        <v>2012</v>
      </c>
      <c r="D464" s="7" t="s">
        <v>73</v>
      </c>
      <c r="E464" s="7" t="str" cm="1">
        <f t="array" ref="E464">_xlfn.IFS(D464=policy_name_clustering!$A$2,policy_name_clustering!$C$2,D464=policy_name_clustering!$A$3,policy_name_clustering!$C$3,D464=policy_name_clustering!$A$4,policy_name_clustering!$C$4,D464=policy_name_clustering!$A$5,policy_name_clustering!$C$5,D464=policy_name_clustering!$A$6,policy_name_clustering!$C$6,D464=policy_name_clustering!$A$7,policy_name_clustering!$C$7,D464=policy_name_clustering!$A$8,policy_name_clustering!$C$8,D464=policy_name_clustering!$A$9,policy_name_clustering!$C$9,D464=policy_name_clustering!$A$10,policy_name_clustering!$C$10,D464=policy_name_clustering!$A$11,policy_name_clustering!$C$11,D464=policy_name_clustering!$A$12,policy_name_clustering!$C$12,D464="-","")</f>
        <v/>
      </c>
      <c r="G464" s="7">
        <f>solar_cum_cap!C431</f>
        <v>142</v>
      </c>
      <c r="H464" s="7">
        <f>estimated_capacity!C412</f>
        <v>-148.610725620632</v>
      </c>
      <c r="I464" s="7" cm="1">
        <f t="array" ref="I464">_xlfn.IFS(D464= ""," ",D464&lt;&gt; " ",F464*(G464/H464))</f>
        <v>0</v>
      </c>
      <c r="J464" s="7" cm="1">
        <f t="array" ref="J464">_xlfn.IFS(D464= ""," ",D464&lt;&gt; " ",(H464-F464)*(G464/H464))</f>
        <v>142</v>
      </c>
      <c r="K464" s="7" cm="1">
        <f t="array" ref="K464">IF(ISNUMBER(H464),_xlfn.IFS(D464= ""," ",D464&lt;&gt; " ",F464*(G464/H464)),"")</f>
        <v>0</v>
      </c>
    </row>
    <row r="465" spans="1:11" s="7" customFormat="1" hidden="1" x14ac:dyDescent="0.35">
      <c r="A465" s="7" t="s">
        <v>39</v>
      </c>
      <c r="B465" s="7">
        <v>2013</v>
      </c>
      <c r="D465" s="7" t="s">
        <v>73</v>
      </c>
      <c r="E465" s="7" t="str" cm="1">
        <f t="array" ref="E465">_xlfn.IFS(D465=policy_name_clustering!$A$2,policy_name_clustering!$C$2,D465=policy_name_clustering!$A$3,policy_name_clustering!$C$3,D465=policy_name_clustering!$A$4,policy_name_clustering!$C$4,D465=policy_name_clustering!$A$5,policy_name_clustering!$C$5,D465=policy_name_clustering!$A$6,policy_name_clustering!$C$6,D465=policy_name_clustering!$A$7,policy_name_clustering!$C$7,D465=policy_name_clustering!$A$8,policy_name_clustering!$C$8,D465=policy_name_clustering!$A$9,policy_name_clustering!$C$9,D465=policy_name_clustering!$A$10,policy_name_clustering!$C$10,D465=policy_name_clustering!$A$11,policy_name_clustering!$C$11,D465=policy_name_clustering!$A$12,policy_name_clustering!$C$12,D465="-","")</f>
        <v/>
      </c>
      <c r="G465" s="7">
        <f>solar_cum_cap!C432</f>
        <v>187</v>
      </c>
      <c r="H465" s="7">
        <f>estimated_capacity!C413</f>
        <v>49.955729637233297</v>
      </c>
      <c r="I465" s="7" cm="1">
        <f t="array" ref="I465">_xlfn.IFS(D465= ""," ",D465&lt;&gt; " ",F465*(G465/H465))</f>
        <v>0</v>
      </c>
      <c r="J465" s="7" cm="1">
        <f t="array" ref="J465">_xlfn.IFS(D465= ""," ",D465&lt;&gt; " ",(H465-F465)*(G465/H465))</f>
        <v>187</v>
      </c>
      <c r="K465" s="7" cm="1">
        <f t="array" ref="K465">IF(ISNUMBER(H465),_xlfn.IFS(D465= ""," ",D465&lt;&gt; " ",F465*(G465/H465)),"")</f>
        <v>0</v>
      </c>
    </row>
    <row r="466" spans="1:11" s="7" customFormat="1" hidden="1" x14ac:dyDescent="0.35">
      <c r="A466" s="7" t="s">
        <v>39</v>
      </c>
      <c r="B466" s="7">
        <v>2014</v>
      </c>
      <c r="D466" s="7" t="s">
        <v>73</v>
      </c>
      <c r="E466" s="7" t="str" cm="1">
        <f t="array" ref="E466">_xlfn.IFS(D466=policy_name_clustering!$A$2,policy_name_clustering!$C$2,D466=policy_name_clustering!$A$3,policy_name_clustering!$C$3,D466=policy_name_clustering!$A$4,policy_name_clustering!$C$4,D466=policy_name_clustering!$A$5,policy_name_clustering!$C$5,D466=policy_name_clustering!$A$6,policy_name_clustering!$C$6,D466=policy_name_clustering!$A$7,policy_name_clustering!$C$7,D466=policy_name_clustering!$A$8,policy_name_clustering!$C$8,D466=policy_name_clustering!$A$9,policy_name_clustering!$C$9,D466=policy_name_clustering!$A$10,policy_name_clustering!$C$10,D466=policy_name_clustering!$A$11,policy_name_clustering!$C$11,D466=policy_name_clustering!$A$12,policy_name_clustering!$C$12,D466="-","")</f>
        <v/>
      </c>
      <c r="G466" s="7">
        <f>solar_cum_cap!C433</f>
        <v>223</v>
      </c>
      <c r="H466" s="7">
        <f>estimated_capacity!C414</f>
        <v>217.732943968565</v>
      </c>
      <c r="I466" s="7" cm="1">
        <f t="array" ref="I466">_xlfn.IFS(D466= ""," ",D466&lt;&gt; " ",F466*(G466/H466))</f>
        <v>0</v>
      </c>
      <c r="J466" s="7" cm="1">
        <f t="array" ref="J466">_xlfn.IFS(D466= ""," ",D466&lt;&gt; " ",(H466-F466)*(G466/H466))</f>
        <v>223</v>
      </c>
      <c r="K466" s="7" cm="1">
        <f t="array" ref="K466">IF(ISNUMBER(H466),_xlfn.IFS(D466= ""," ",D466&lt;&gt; " ",F466*(G466/H466)),"")</f>
        <v>0</v>
      </c>
    </row>
    <row r="467" spans="1:11" s="7" customFormat="1" hidden="1" x14ac:dyDescent="0.35">
      <c r="A467" s="7" t="s">
        <v>39</v>
      </c>
      <c r="B467" s="7">
        <v>2015</v>
      </c>
      <c r="D467" s="7" t="s">
        <v>73</v>
      </c>
      <c r="E467" s="7" t="str" cm="1">
        <f t="array" ref="E467">_xlfn.IFS(D467=policy_name_clustering!$A$2,policy_name_clustering!$C$2,D467=policy_name_clustering!$A$3,policy_name_clustering!$C$3,D467=policy_name_clustering!$A$4,policy_name_clustering!$C$4,D467=policy_name_clustering!$A$5,policy_name_clustering!$C$5,D467=policy_name_clustering!$A$6,policy_name_clustering!$C$6,D467=policy_name_clustering!$A$7,policy_name_clustering!$C$7,D467=policy_name_clustering!$A$8,policy_name_clustering!$C$8,D467=policy_name_clustering!$A$9,policy_name_clustering!$C$9,D467=policy_name_clustering!$A$10,policy_name_clustering!$C$10,D467=policy_name_clustering!$A$11,policy_name_clustering!$C$11,D467=policy_name_clustering!$A$12,policy_name_clustering!$C$12,D467="-","")</f>
        <v/>
      </c>
      <c r="G467" s="7">
        <f>solar_cum_cap!C434</f>
        <v>238</v>
      </c>
      <c r="H467" s="7">
        <f>estimated_capacity!C415</f>
        <v>331.576926046756</v>
      </c>
      <c r="I467" s="7" cm="1">
        <f t="array" ref="I467">_xlfn.IFS(D467= ""," ",D467&lt;&gt; " ",F467*(G467/H467))</f>
        <v>0</v>
      </c>
      <c r="J467" s="7" cm="1">
        <f t="array" ref="J467">_xlfn.IFS(D467= ""," ",D467&lt;&gt; " ",(H467-F467)*(G467/H467))</f>
        <v>237.99999999999997</v>
      </c>
      <c r="K467" s="7" cm="1">
        <f t="array" ref="K467">IF(ISNUMBER(H467),_xlfn.IFS(D467= ""," ",D467&lt;&gt; " ",F467*(G467/H467)),"")</f>
        <v>0</v>
      </c>
    </row>
    <row r="468" spans="1:11" s="7" customFormat="1" hidden="1" x14ac:dyDescent="0.35">
      <c r="A468" s="7" t="s">
        <v>39</v>
      </c>
      <c r="B468" s="7">
        <v>2016</v>
      </c>
      <c r="D468" s="7" t="s">
        <v>73</v>
      </c>
      <c r="E468" s="7" t="str" cm="1">
        <f t="array" ref="E468">_xlfn.IFS(D468=policy_name_clustering!$A$2,policy_name_clustering!$C$2,D468=policy_name_clustering!$A$3,policy_name_clustering!$C$3,D468=policy_name_clustering!$A$4,policy_name_clustering!$C$4,D468=policy_name_clustering!$A$5,policy_name_clustering!$C$5,D468=policy_name_clustering!$A$6,policy_name_clustering!$C$6,D468=policy_name_clustering!$A$7,policy_name_clustering!$C$7,D468=policy_name_clustering!$A$8,policy_name_clustering!$C$8,D468=policy_name_clustering!$A$9,policy_name_clustering!$C$9,D468=policy_name_clustering!$A$10,policy_name_clustering!$C$10,D468=policy_name_clustering!$A$11,policy_name_clustering!$C$11,D468=policy_name_clustering!$A$12,policy_name_clustering!$C$12,D468="-","")</f>
        <v/>
      </c>
      <c r="G468" s="7">
        <f>solar_cum_cap!C435</f>
        <v>233</v>
      </c>
      <c r="H468" s="7">
        <f>estimated_capacity!C416</f>
        <v>431.47550747928301</v>
      </c>
      <c r="I468" s="7" cm="1">
        <f t="array" ref="I468">_xlfn.IFS(D468= ""," ",D468&lt;&gt; " ",F468*(G468/H468))</f>
        <v>0</v>
      </c>
      <c r="J468" s="7" cm="1">
        <f t="array" ref="J468">_xlfn.IFS(D468= ""," ",D468&lt;&gt; " ",(H468-F468)*(G468/H468))</f>
        <v>233</v>
      </c>
      <c r="K468" s="7" cm="1">
        <f t="array" ref="K468">IF(ISNUMBER(H468),_xlfn.IFS(D468= ""," ",D468&lt;&gt; " ",F468*(G468/H468)),"")</f>
        <v>0</v>
      </c>
    </row>
    <row r="469" spans="1:11" s="7" customFormat="1" hidden="1" x14ac:dyDescent="0.35">
      <c r="A469" s="7" t="s">
        <v>39</v>
      </c>
      <c r="B469" s="7">
        <v>2017</v>
      </c>
      <c r="D469" s="7" t="s">
        <v>73</v>
      </c>
      <c r="E469" s="7" t="str" cm="1">
        <f t="array" ref="E469">_xlfn.IFS(D469=policy_name_clustering!$A$2,policy_name_clustering!$C$2,D469=policy_name_clustering!$A$3,policy_name_clustering!$C$3,D469=policy_name_clustering!$A$4,policy_name_clustering!$C$4,D469=policy_name_clustering!$A$5,policy_name_clustering!$C$5,D469=policy_name_clustering!$A$6,policy_name_clustering!$C$6,D469=policy_name_clustering!$A$7,policy_name_clustering!$C$7,D469=policy_name_clustering!$A$8,policy_name_clustering!$C$8,D469=policy_name_clustering!$A$9,policy_name_clustering!$C$9,D469=policy_name_clustering!$A$10,policy_name_clustering!$C$10,D469=policy_name_clustering!$A$11,policy_name_clustering!$C$11,D469=policy_name_clustering!$A$12,policy_name_clustering!$C$12,D469="-","")</f>
        <v/>
      </c>
      <c r="G469" s="7">
        <f>solar_cum_cap!C436</f>
        <v>246.8</v>
      </c>
      <c r="H469" s="7">
        <f>estimated_capacity!C417</f>
        <v>550.58338139621003</v>
      </c>
      <c r="I469" s="7" cm="1">
        <f t="array" ref="I469">_xlfn.IFS(D469= ""," ",D469&lt;&gt; " ",F469*(G469/H469))</f>
        <v>0</v>
      </c>
      <c r="J469" s="7" cm="1">
        <f t="array" ref="J469">_xlfn.IFS(D469= ""," ",D469&lt;&gt; " ",(H469-F469)*(G469/H469))</f>
        <v>246.8</v>
      </c>
      <c r="K469" s="7" cm="1">
        <f t="array" ref="K469">IF(ISNUMBER(H469),_xlfn.IFS(D469= ""," ",D469&lt;&gt; " ",F469*(G469/H469)),"")</f>
        <v>0</v>
      </c>
    </row>
    <row r="470" spans="1:11" s="7" customFormat="1" hidden="1" x14ac:dyDescent="0.35">
      <c r="A470" s="7" t="s">
        <v>39</v>
      </c>
      <c r="B470" s="7">
        <v>2018</v>
      </c>
      <c r="D470" s="7" t="s">
        <v>73</v>
      </c>
      <c r="E470" s="7" t="str" cm="1">
        <f t="array" ref="E470">_xlfn.IFS(D470=policy_name_clustering!$A$2,policy_name_clustering!$C$2,D470=policy_name_clustering!$A$3,policy_name_clustering!$C$3,D470=policy_name_clustering!$A$4,policy_name_clustering!$C$4,D470=policy_name_clustering!$A$5,policy_name_clustering!$C$5,D470=policy_name_clustering!$A$6,policy_name_clustering!$C$6,D470=policy_name_clustering!$A$7,policy_name_clustering!$C$7,D470=policy_name_clustering!$A$8,policy_name_clustering!$C$8,D470=policy_name_clustering!$A$9,policy_name_clustering!$C$9,D470=policy_name_clustering!$A$10,policy_name_clustering!$C$10,D470=policy_name_clustering!$A$11,policy_name_clustering!$C$11,D470=policy_name_clustering!$A$12,policy_name_clustering!$C$12,D470="-","")</f>
        <v/>
      </c>
      <c r="G470" s="7">
        <f>solar_cum_cap!C437</f>
        <v>246.8</v>
      </c>
      <c r="H470" s="7">
        <f>estimated_capacity!C418</f>
        <v>690.71099617234904</v>
      </c>
      <c r="I470" s="7" cm="1">
        <f t="array" ref="I470">_xlfn.IFS(D470= ""," ",D470&lt;&gt; " ",F470*(G470/H470))</f>
        <v>0</v>
      </c>
      <c r="J470" s="7" cm="1">
        <f t="array" ref="J470">_xlfn.IFS(D470= ""," ",D470&lt;&gt; " ",(H470-F470)*(G470/H470))</f>
        <v>246.8</v>
      </c>
      <c r="K470" s="7" cm="1">
        <f t="array" ref="K470">IF(ISNUMBER(H470),_xlfn.IFS(D470= ""," ",D470&lt;&gt; " ",F470*(G470/H470)),"")</f>
        <v>0</v>
      </c>
    </row>
    <row r="471" spans="1:11" s="7" customFormat="1" hidden="1" x14ac:dyDescent="0.35">
      <c r="A471" s="7" t="s">
        <v>39</v>
      </c>
      <c r="B471" s="7">
        <v>2019</v>
      </c>
      <c r="D471" s="7" t="s">
        <v>73</v>
      </c>
      <c r="E471" s="7" t="str" cm="1">
        <f t="array" ref="E471">_xlfn.IFS(D471=policy_name_clustering!$A$2,policy_name_clustering!$C$2,D471=policy_name_clustering!$A$3,policy_name_clustering!$C$3,D471=policy_name_clustering!$A$4,policy_name_clustering!$C$4,D471=policy_name_clustering!$A$5,policy_name_clustering!$C$5,D471=policy_name_clustering!$A$6,policy_name_clustering!$C$6,D471=policy_name_clustering!$A$7,policy_name_clustering!$C$7,D471=policy_name_clustering!$A$8,policy_name_clustering!$C$8,D471=policy_name_clustering!$A$9,policy_name_clustering!$C$9,D471=policy_name_clustering!$A$10,policy_name_clustering!$C$10,D471=policy_name_clustering!$A$11,policy_name_clustering!$C$11,D471=policy_name_clustering!$A$12,policy_name_clustering!$C$12,D471="-","")</f>
        <v/>
      </c>
      <c r="G471" s="7">
        <f>solar_cum_cap!C438</f>
        <v>277.87700000000001</v>
      </c>
      <c r="H471" s="7">
        <f>estimated_capacity!C419</f>
        <v>790.02459061259503</v>
      </c>
      <c r="I471" s="7" cm="1">
        <f t="array" ref="I471">_xlfn.IFS(D471= ""," ",D471&lt;&gt; " ",F471*(G471/H471))</f>
        <v>0</v>
      </c>
      <c r="J471" s="7" cm="1">
        <f t="array" ref="J471">_xlfn.IFS(D471= ""," ",D471&lt;&gt; " ",(H471-F471)*(G471/H471))</f>
        <v>277.87700000000001</v>
      </c>
      <c r="K471" s="7" cm="1">
        <f t="array" ref="K471">IF(ISNUMBER(H471),_xlfn.IFS(D471= ""," ",D471&lt;&gt; " ",F471*(G471/H471)),"")</f>
        <v>0</v>
      </c>
    </row>
    <row r="472" spans="1:11" s="7" customFormat="1" hidden="1" x14ac:dyDescent="0.35">
      <c r="A472" s="7" t="s">
        <v>39</v>
      </c>
      <c r="B472" s="7">
        <v>2020</v>
      </c>
      <c r="D472" s="7" t="s">
        <v>73</v>
      </c>
      <c r="E472" s="7" t="str" cm="1">
        <f t="array" ref="E472">_xlfn.IFS(D472=policy_name_clustering!$A$2,policy_name_clustering!$C$2,D472=policy_name_clustering!$A$3,policy_name_clustering!$C$3,D472=policy_name_clustering!$A$4,policy_name_clustering!$C$4,D472=policy_name_clustering!$A$5,policy_name_clustering!$C$5,D472=policy_name_clustering!$A$6,policy_name_clustering!$C$6,D472=policy_name_clustering!$A$7,policy_name_clustering!$C$7,D472=policy_name_clustering!$A$8,policy_name_clustering!$C$8,D472=policy_name_clustering!$A$9,policy_name_clustering!$C$9,D472=policy_name_clustering!$A$10,policy_name_clustering!$C$10,D472=policy_name_clustering!$A$11,policy_name_clustering!$C$11,D472=policy_name_clustering!$A$12,policy_name_clustering!$C$12,D472="-","")</f>
        <v/>
      </c>
      <c r="G472" s="7">
        <f>solar_cum_cap!C439</f>
        <v>369.78</v>
      </c>
      <c r="H472" s="7">
        <f>estimated_capacity!C420</f>
        <v>870.58516803968496</v>
      </c>
      <c r="I472" s="7" cm="1">
        <f t="array" ref="I472">_xlfn.IFS(D472= ""," ",D472&lt;&gt; " ",F472*(G472/H472))</f>
        <v>0</v>
      </c>
      <c r="J472" s="7" cm="1">
        <f t="array" ref="J472">_xlfn.IFS(D472= ""," ",D472&lt;&gt; " ",(H472-F472)*(G472/H472))</f>
        <v>369.78</v>
      </c>
      <c r="K472" s="7" cm="1">
        <f t="array" ref="K472">IF(ISNUMBER(H472),_xlfn.IFS(D472= ""," ",D472&lt;&gt; " ",F472*(G472/H472)),"")</f>
        <v>0</v>
      </c>
    </row>
    <row r="473" spans="1:11" s="7" customFormat="1" hidden="1" x14ac:dyDescent="0.35">
      <c r="A473" s="7" t="s">
        <v>39</v>
      </c>
      <c r="B473" s="7">
        <v>2021</v>
      </c>
      <c r="D473" s="7" t="s">
        <v>73</v>
      </c>
      <c r="E473" s="7" t="str" cm="1">
        <f t="array" ref="E473">_xlfn.IFS(D473=policy_name_clustering!$A$2,policy_name_clustering!$C$2,D473=policy_name_clustering!$A$3,policy_name_clustering!$C$3,D473=policy_name_clustering!$A$4,policy_name_clustering!$C$4,D473=policy_name_clustering!$A$5,policy_name_clustering!$C$5,D473=policy_name_clustering!$A$6,policy_name_clustering!$C$6,D473=policy_name_clustering!$A$7,policy_name_clustering!$C$7,D473=policy_name_clustering!$A$8,policy_name_clustering!$C$8,D473=policy_name_clustering!$A$9,policy_name_clustering!$C$9,D473=policy_name_clustering!$A$10,policy_name_clustering!$C$10,D473=policy_name_clustering!$A$11,policy_name_clustering!$C$11,D473=policy_name_clustering!$A$12,policy_name_clustering!$C$12,D473="-","")</f>
        <v/>
      </c>
      <c r="G473" s="7">
        <f>solar_cum_cap!C440</f>
        <v>461.16399999999999</v>
      </c>
      <c r="H473" s="7">
        <f>estimated_capacity!C421</f>
        <v>962.89693015823502</v>
      </c>
      <c r="I473" s="7" cm="1">
        <f t="array" ref="I473">_xlfn.IFS(D473= ""," ",D473&lt;&gt; " ",F473*(G473/H473))</f>
        <v>0</v>
      </c>
      <c r="J473" s="7" cm="1">
        <f t="array" ref="J473">_xlfn.IFS(D473= ""," ",D473&lt;&gt; " ",(H473-F473)*(G473/H473))</f>
        <v>461.16399999999999</v>
      </c>
      <c r="K473" s="7" cm="1">
        <f t="array" ref="K473">IF(ISNUMBER(H473),_xlfn.IFS(D473= ""," ",D473&lt;&gt; " ",F473*(G473/H473)),"")</f>
        <v>0</v>
      </c>
    </row>
    <row r="474" spans="1:11" s="7" customFormat="1" hidden="1" x14ac:dyDescent="0.35">
      <c r="A474" s="7" t="s">
        <v>39</v>
      </c>
      <c r="B474" s="7">
        <v>2022</v>
      </c>
      <c r="D474" s="7" t="s">
        <v>73</v>
      </c>
      <c r="E474" s="7" t="str" cm="1">
        <f t="array" ref="E474">_xlfn.IFS(D474=policy_name_clustering!$A$2,policy_name_clustering!$C$2,D474=policy_name_clustering!$A$3,policy_name_clustering!$C$3,D474=policy_name_clustering!$A$4,policy_name_clustering!$C$4,D474=policy_name_clustering!$A$5,policy_name_clustering!$C$5,D474=policy_name_clustering!$A$6,policy_name_clustering!$C$6,D474=policy_name_clustering!$A$7,policy_name_clustering!$C$7,D474=policy_name_clustering!$A$8,policy_name_clustering!$C$8,D474=policy_name_clustering!$A$9,policy_name_clustering!$C$9,D474=policy_name_clustering!$A$10,policy_name_clustering!$C$10,D474=policy_name_clustering!$A$11,policy_name_clustering!$C$11,D474=policy_name_clustering!$A$12,policy_name_clustering!$C$12,D474="-","")</f>
        <v/>
      </c>
      <c r="G474" s="7">
        <f>solar_cum_cap!C441</f>
        <v>626.16399999999999</v>
      </c>
      <c r="H474" s="7">
        <f>estimated_capacity!C422</f>
        <v>1185.84867054704</v>
      </c>
      <c r="I474" s="7" cm="1">
        <f t="array" ref="I474">_xlfn.IFS(D474= ""," ",D474&lt;&gt; " ",F474*(G474/H474))</f>
        <v>0</v>
      </c>
      <c r="J474" s="7" cm="1">
        <f t="array" ref="J474">_xlfn.IFS(D474= ""," ",D474&lt;&gt; " ",(H474-F474)*(G474/H474))</f>
        <v>626.16399999999999</v>
      </c>
      <c r="K474" s="7" cm="1">
        <f t="array" ref="K474">IF(ISNUMBER(H474),_xlfn.IFS(D474= ""," ",D474&lt;&gt; " ",F474*(G474/H474)),"")</f>
        <v>0</v>
      </c>
    </row>
    <row r="475" spans="1:11" s="7" customFormat="1" hidden="1" x14ac:dyDescent="0.35">
      <c r="A475" s="7" t="s">
        <v>39</v>
      </c>
      <c r="B475" s="7">
        <v>2023</v>
      </c>
      <c r="D475" s="7" t="s">
        <v>73</v>
      </c>
      <c r="E475" s="7" t="str" cm="1">
        <f t="array" ref="E475">_xlfn.IFS(D475=policy_name_clustering!$A$2,policy_name_clustering!$C$2,D475=policy_name_clustering!$A$3,policy_name_clustering!$C$3,D475=policy_name_clustering!$A$4,policy_name_clustering!$C$4,D475=policy_name_clustering!$A$5,policy_name_clustering!$C$5,D475=policy_name_clustering!$A$6,policy_name_clustering!$C$6,D475=policy_name_clustering!$A$7,policy_name_clustering!$C$7,D475=policy_name_clustering!$A$8,policy_name_clustering!$C$8,D475=policy_name_clustering!$A$9,policy_name_clustering!$C$9,D475=policy_name_clustering!$A$10,policy_name_clustering!$C$10,D475=policy_name_clustering!$A$11,policy_name_clustering!$C$11,D475=policy_name_clustering!$A$12,policy_name_clustering!$C$12,D475="-","")</f>
        <v/>
      </c>
      <c r="G475" s="7">
        <f>solar_cum_cap!C442</f>
        <v>1031.2</v>
      </c>
      <c r="H475" s="7">
        <f>estimated_capacity!C423</f>
        <v>1493.1218468255599</v>
      </c>
      <c r="I475" s="7" cm="1">
        <f t="array" ref="I475">_xlfn.IFS(D475= ""," ",D475&lt;&gt; " ",F475*(G475/H475))</f>
        <v>0</v>
      </c>
      <c r="J475" s="7" cm="1">
        <f t="array" ref="J475">_xlfn.IFS(D475= ""," ",D475&lt;&gt; " ",(H475-F475)*(G475/H475))</f>
        <v>1031.2</v>
      </c>
      <c r="K475" s="7" cm="1">
        <f t="array" ref="K475">IF(ISNUMBER(H475),_xlfn.IFS(D475= ""," ",D475&lt;&gt; " ",F475*(G475/H475)),"")</f>
        <v>0</v>
      </c>
    </row>
    <row r="476" spans="1:11" s="7" customFormat="1" hidden="1" x14ac:dyDescent="0.35">
      <c r="A476" s="7" t="s">
        <v>40</v>
      </c>
      <c r="B476" s="7">
        <v>2001</v>
      </c>
      <c r="D476" s="7" t="s">
        <v>73</v>
      </c>
      <c r="E476" s="7" t="str" cm="1">
        <f t="array" ref="E476">_xlfn.IFS(D476=policy_name_clustering!$A$2,policy_name_clustering!$C$2,D476=policy_name_clustering!$A$3,policy_name_clustering!$C$3,D476=policy_name_clustering!$A$4,policy_name_clustering!$C$4,D476=policy_name_clustering!$A$5,policy_name_clustering!$C$5,D476=policy_name_clustering!$A$6,policy_name_clustering!$C$6,D476=policy_name_clustering!$A$7,policy_name_clustering!$C$7,D476=policy_name_clustering!$A$8,policy_name_clustering!$C$8,D476=policy_name_clustering!$A$9,policy_name_clustering!$C$9,D476=policy_name_clustering!$A$10,policy_name_clustering!$C$10,D476=policy_name_clustering!$A$11,policy_name_clustering!$C$11,D476=policy_name_clustering!$A$12,policy_name_clustering!$C$12,D476="-","")</f>
        <v/>
      </c>
      <c r="G476" s="7">
        <f>solar_cum_cap!C444</f>
        <v>3</v>
      </c>
      <c r="H476" s="7">
        <f>estimated_capacity!C424</f>
        <v>-10.012740720931699</v>
      </c>
      <c r="I476" s="7" cm="1">
        <f t="array" ref="I476">_xlfn.IFS(D476= ""," ",D476&lt;&gt; " ",F476*(G476/H476))</f>
        <v>0</v>
      </c>
      <c r="J476" s="7" cm="1">
        <f t="array" ref="J476">_xlfn.IFS(D476= ""," ",D476&lt;&gt; " ",(H476-F476)*(G476/H476))</f>
        <v>3</v>
      </c>
      <c r="K476" s="7" cm="1">
        <f t="array" ref="K476">IF(ISNUMBER(H476),_xlfn.IFS(D476= ""," ",D476&lt;&gt; " ",F476*(G476/H476)),"")</f>
        <v>0</v>
      </c>
    </row>
    <row r="477" spans="1:11" s="7" customFormat="1" hidden="1" x14ac:dyDescent="0.35">
      <c r="A477" s="7" t="s">
        <v>40</v>
      </c>
      <c r="B477" s="7">
        <v>2002</v>
      </c>
      <c r="D477" s="7" t="s">
        <v>73</v>
      </c>
      <c r="E477" s="7" t="str" cm="1">
        <f t="array" ref="E477">_xlfn.IFS(D477=policy_name_clustering!$A$2,policy_name_clustering!$C$2,D477=policy_name_clustering!$A$3,policy_name_clustering!$C$3,D477=policy_name_clustering!$A$4,policy_name_clustering!$C$4,D477=policy_name_clustering!$A$5,policy_name_clustering!$C$5,D477=policy_name_clustering!$A$6,policy_name_clustering!$C$6,D477=policy_name_clustering!$A$7,policy_name_clustering!$C$7,D477=policy_name_clustering!$A$8,policy_name_clustering!$C$8,D477=policy_name_clustering!$A$9,policy_name_clustering!$C$9,D477=policy_name_clustering!$A$10,policy_name_clustering!$C$10,D477=policy_name_clustering!$A$11,policy_name_clustering!$C$11,D477=policy_name_clustering!$A$12,policy_name_clustering!$C$12,D477="-","")</f>
        <v/>
      </c>
      <c r="G477" s="7">
        <f>solar_cum_cap!C445</f>
        <v>3</v>
      </c>
      <c r="H477" s="7">
        <f>estimated_capacity!C425</f>
        <v>-21.830003689442801</v>
      </c>
      <c r="I477" s="7" cm="1">
        <f t="array" ref="I477">_xlfn.IFS(D477= ""," ",D477&lt;&gt; " ",F477*(G477/H477))</f>
        <v>0</v>
      </c>
      <c r="J477" s="7" cm="1">
        <f t="array" ref="J477">_xlfn.IFS(D477= ""," ",D477&lt;&gt; " ",(H477-F477)*(G477/H477))</f>
        <v>3</v>
      </c>
      <c r="K477" s="7" cm="1">
        <f t="array" ref="K477">IF(ISNUMBER(H477),_xlfn.IFS(D477= ""," ",D477&lt;&gt; " ",F477*(G477/H477)),"")</f>
        <v>0</v>
      </c>
    </row>
    <row r="478" spans="1:11" s="7" customFormat="1" hidden="1" x14ac:dyDescent="0.35">
      <c r="A478" s="7" t="s">
        <v>40</v>
      </c>
      <c r="B478" s="7">
        <v>2003</v>
      </c>
      <c r="D478" s="7" t="s">
        <v>73</v>
      </c>
      <c r="E478" s="7" t="str" cm="1">
        <f t="array" ref="E478">_xlfn.IFS(D478=policy_name_clustering!$A$2,policy_name_clustering!$C$2,D478=policy_name_clustering!$A$3,policy_name_clustering!$C$3,D478=policy_name_clustering!$A$4,policy_name_clustering!$C$4,D478=policy_name_clustering!$A$5,policy_name_clustering!$C$5,D478=policy_name_clustering!$A$6,policy_name_clustering!$C$6,D478=policy_name_clustering!$A$7,policy_name_clustering!$C$7,D478=policy_name_clustering!$A$8,policy_name_clustering!$C$8,D478=policy_name_clustering!$A$9,policy_name_clustering!$C$9,D478=policy_name_clustering!$A$10,policy_name_clustering!$C$10,D478=policy_name_clustering!$A$11,policy_name_clustering!$C$11,D478=policy_name_clustering!$A$12,policy_name_clustering!$C$12,D478="-","")</f>
        <v/>
      </c>
      <c r="G478" s="7">
        <f>solar_cum_cap!C446</f>
        <v>4</v>
      </c>
      <c r="H478" s="7">
        <f>estimated_capacity!C426</f>
        <v>-16.4619479956758</v>
      </c>
      <c r="I478" s="7" cm="1">
        <f t="array" ref="I478">_xlfn.IFS(D478= ""," ",D478&lt;&gt; " ",F478*(G478/H478))</f>
        <v>0</v>
      </c>
      <c r="J478" s="7" cm="1">
        <f t="array" ref="J478">_xlfn.IFS(D478= ""," ",D478&lt;&gt; " ",(H478-F478)*(G478/H478))</f>
        <v>4</v>
      </c>
      <c r="K478" s="7" cm="1">
        <f t="array" ref="K478">IF(ISNUMBER(H478),_xlfn.IFS(D478= ""," ",D478&lt;&gt; " ",F478*(G478/H478)),"")</f>
        <v>0</v>
      </c>
    </row>
    <row r="479" spans="1:11" s="7" customFormat="1" hidden="1" x14ac:dyDescent="0.35">
      <c r="A479" s="7" t="s">
        <v>40</v>
      </c>
      <c r="B479" s="7">
        <v>2004</v>
      </c>
      <c r="D479" s="7" t="s">
        <v>73</v>
      </c>
      <c r="E479" s="7" t="str" cm="1">
        <f t="array" ref="E479">_xlfn.IFS(D479=policy_name_clustering!$A$2,policy_name_clustering!$C$2,D479=policy_name_clustering!$A$3,policy_name_clustering!$C$3,D479=policy_name_clustering!$A$4,policy_name_clustering!$C$4,D479=policy_name_clustering!$A$5,policy_name_clustering!$C$5,D479=policy_name_clustering!$A$6,policy_name_clustering!$C$6,D479=policy_name_clustering!$A$7,policy_name_clustering!$C$7,D479=policy_name_clustering!$A$8,policy_name_clustering!$C$8,D479=policy_name_clustering!$A$9,policy_name_clustering!$C$9,D479=policy_name_clustering!$A$10,policy_name_clustering!$C$10,D479=policy_name_clustering!$A$11,policy_name_clustering!$C$11,D479=policy_name_clustering!$A$12,policy_name_clustering!$C$12,D479="-","")</f>
        <v/>
      </c>
      <c r="G479" s="7">
        <f>solar_cum_cap!C447</f>
        <v>4</v>
      </c>
      <c r="H479" s="7">
        <f>estimated_capacity!C427</f>
        <v>7.5149166737405704</v>
      </c>
      <c r="I479" s="7" cm="1">
        <f t="array" ref="I479">_xlfn.IFS(D479= ""," ",D479&lt;&gt; " ",F479*(G479/H479))</f>
        <v>0</v>
      </c>
      <c r="J479" s="7" cm="1">
        <f t="array" ref="J479">_xlfn.IFS(D479= ""," ",D479&lt;&gt; " ",(H479-F479)*(G479/H479))</f>
        <v>3.9999999999999996</v>
      </c>
      <c r="K479" s="7" cm="1">
        <f t="array" ref="K479">IF(ISNUMBER(H479),_xlfn.IFS(D479= ""," ",D479&lt;&gt; " ",F479*(G479/H479)),"")</f>
        <v>0</v>
      </c>
    </row>
    <row r="480" spans="1:11" s="7" customFormat="1" hidden="1" x14ac:dyDescent="0.35">
      <c r="A480" s="7" t="s">
        <v>40</v>
      </c>
      <c r="B480" s="7">
        <v>2005</v>
      </c>
      <c r="D480" s="7" t="s">
        <v>73</v>
      </c>
      <c r="E480" s="7" t="str" cm="1">
        <f t="array" ref="E480">_xlfn.IFS(D480=policy_name_clustering!$A$2,policy_name_clustering!$C$2,D480=policy_name_clustering!$A$3,policy_name_clustering!$C$3,D480=policy_name_clustering!$A$4,policy_name_clustering!$C$4,D480=policy_name_clustering!$A$5,policy_name_clustering!$C$5,D480=policy_name_clustering!$A$6,policy_name_clustering!$C$6,D480=policy_name_clustering!$A$7,policy_name_clustering!$C$7,D480=policy_name_clustering!$A$8,policy_name_clustering!$C$8,D480=policy_name_clustering!$A$9,policy_name_clustering!$C$9,D480=policy_name_clustering!$A$10,policy_name_clustering!$C$10,D480=policy_name_clustering!$A$11,policy_name_clustering!$C$11,D480=policy_name_clustering!$A$12,policy_name_clustering!$C$12,D480="-","")</f>
        <v/>
      </c>
      <c r="G480" s="7">
        <f>solar_cum_cap!C448</f>
        <v>4</v>
      </c>
      <c r="H480" s="7">
        <f>estimated_capacity!C428</f>
        <v>26.331579356115601</v>
      </c>
      <c r="I480" s="7" cm="1">
        <f t="array" ref="I480">_xlfn.IFS(D480= ""," ",D480&lt;&gt; " ",F480*(G480/H480))</f>
        <v>0</v>
      </c>
      <c r="J480" s="7" cm="1">
        <f t="array" ref="J480">_xlfn.IFS(D480= ""," ",D480&lt;&gt; " ",(H480-F480)*(G480/H480))</f>
        <v>4</v>
      </c>
      <c r="K480" s="7" cm="1">
        <f t="array" ref="K480">IF(ISNUMBER(H480),_xlfn.IFS(D480= ""," ",D480&lt;&gt; " ",F480*(G480/H480)),"")</f>
        <v>0</v>
      </c>
    </row>
    <row r="481" spans="1:11" s="7" customFormat="1" hidden="1" x14ac:dyDescent="0.35">
      <c r="A481" s="7" t="s">
        <v>40</v>
      </c>
      <c r="B481" s="7">
        <v>2006</v>
      </c>
      <c r="D481" s="7" t="s">
        <v>73</v>
      </c>
      <c r="E481" s="7" t="str" cm="1">
        <f t="array" ref="E481">_xlfn.IFS(D481=policy_name_clustering!$A$2,policy_name_clustering!$C$2,D481=policy_name_clustering!$A$3,policy_name_clustering!$C$3,D481=policy_name_clustering!$A$4,policy_name_clustering!$C$4,D481=policy_name_clustering!$A$5,policy_name_clustering!$C$5,D481=policy_name_clustering!$A$6,policy_name_clustering!$C$6,D481=policy_name_clustering!$A$7,policy_name_clustering!$C$7,D481=policy_name_clustering!$A$8,policy_name_clustering!$C$8,D481=policy_name_clustering!$A$9,policy_name_clustering!$C$9,D481=policy_name_clustering!$A$10,policy_name_clustering!$C$10,D481=policy_name_clustering!$A$11,policy_name_clustering!$C$11,D481=policy_name_clustering!$A$12,policy_name_clustering!$C$12,D481="-","")</f>
        <v/>
      </c>
      <c r="G481" s="7">
        <f>solar_cum_cap!C449</f>
        <v>5</v>
      </c>
      <c r="H481" s="7">
        <f>estimated_capacity!C429</f>
        <v>48.556201030552302</v>
      </c>
      <c r="I481" s="7" cm="1">
        <f t="array" ref="I481">_xlfn.IFS(D481= ""," ",D481&lt;&gt; " ",F481*(G481/H481))</f>
        <v>0</v>
      </c>
      <c r="J481" s="7" cm="1">
        <f t="array" ref="J481">_xlfn.IFS(D481= ""," ",D481&lt;&gt; " ",(H481-F481)*(G481/H481))</f>
        <v>5</v>
      </c>
      <c r="K481" s="7" cm="1">
        <f t="array" ref="K481">IF(ISNUMBER(H481),_xlfn.IFS(D481= ""," ",D481&lt;&gt; " ",F481*(G481/H481)),"")</f>
        <v>0</v>
      </c>
    </row>
    <row r="482" spans="1:11" s="7" customFormat="1" hidden="1" x14ac:dyDescent="0.35">
      <c r="A482" s="7" t="s">
        <v>40</v>
      </c>
      <c r="B482" s="7">
        <v>2007</v>
      </c>
      <c r="D482" s="7" t="s">
        <v>73</v>
      </c>
      <c r="E482" s="7" t="str" cm="1">
        <f t="array" ref="E482">_xlfn.IFS(D482=policy_name_clustering!$A$2,policy_name_clustering!$C$2,D482=policy_name_clustering!$A$3,policy_name_clustering!$C$3,D482=policy_name_clustering!$A$4,policy_name_clustering!$C$4,D482=policy_name_clustering!$A$5,policy_name_clustering!$C$5,D482=policy_name_clustering!$A$6,policy_name_clustering!$C$6,D482=policy_name_clustering!$A$7,policy_name_clustering!$C$7,D482=policy_name_clustering!$A$8,policy_name_clustering!$C$8,D482=policy_name_clustering!$A$9,policy_name_clustering!$C$9,D482=policy_name_clustering!$A$10,policy_name_clustering!$C$10,D482=policy_name_clustering!$A$11,policy_name_clustering!$C$11,D482=policy_name_clustering!$A$12,policy_name_clustering!$C$12,D482="-","")</f>
        <v/>
      </c>
      <c r="G482" s="7">
        <f>solar_cum_cap!C450</f>
        <v>6</v>
      </c>
      <c r="H482" s="7">
        <f>estimated_capacity!C430</f>
        <v>74.966316809542406</v>
      </c>
      <c r="I482" s="7" cm="1">
        <f t="array" ref="I482">_xlfn.IFS(D482= ""," ",D482&lt;&gt; " ",F482*(G482/H482))</f>
        <v>0</v>
      </c>
      <c r="J482" s="7" cm="1">
        <f t="array" ref="J482">_xlfn.IFS(D482= ""," ",D482&lt;&gt; " ",(H482-F482)*(G482/H482))</f>
        <v>5.9999999999999991</v>
      </c>
      <c r="K482" s="7" cm="1">
        <f t="array" ref="K482">IF(ISNUMBER(H482),_xlfn.IFS(D482= ""," ",D482&lt;&gt; " ",F482*(G482/H482)),"")</f>
        <v>0</v>
      </c>
    </row>
    <row r="483" spans="1:11" s="7" customFormat="1" hidden="1" x14ac:dyDescent="0.35">
      <c r="A483" s="7" t="s">
        <v>40</v>
      </c>
      <c r="B483" s="7">
        <v>2008</v>
      </c>
      <c r="D483" s="7" t="s">
        <v>73</v>
      </c>
      <c r="E483" s="7" t="str" cm="1">
        <f t="array" ref="E483">_xlfn.IFS(D483=policy_name_clustering!$A$2,policy_name_clustering!$C$2,D483=policy_name_clustering!$A$3,policy_name_clustering!$C$3,D483=policy_name_clustering!$A$4,policy_name_clustering!$C$4,D483=policy_name_clustering!$A$5,policy_name_clustering!$C$5,D483=policy_name_clustering!$A$6,policy_name_clustering!$C$6,D483=policy_name_clustering!$A$7,policy_name_clustering!$C$7,D483=policy_name_clustering!$A$8,policy_name_clustering!$C$8,D483=policy_name_clustering!$A$9,policy_name_clustering!$C$9,D483=policy_name_clustering!$A$10,policy_name_clustering!$C$10,D483=policy_name_clustering!$A$11,policy_name_clustering!$C$11,D483=policy_name_clustering!$A$12,policy_name_clustering!$C$12,D483="-","")</f>
        <v/>
      </c>
      <c r="G483" s="7">
        <f>solar_cum_cap!C451</f>
        <v>8</v>
      </c>
      <c r="H483" s="7">
        <f>estimated_capacity!C431</f>
        <v>107.361621553625</v>
      </c>
      <c r="I483" s="7" cm="1">
        <f t="array" ref="I483">_xlfn.IFS(D483= ""," ",D483&lt;&gt; " ",F483*(G483/H483))</f>
        <v>0</v>
      </c>
      <c r="J483" s="7" cm="1">
        <f t="array" ref="J483">_xlfn.IFS(D483= ""," ",D483&lt;&gt; " ",(H483-F483)*(G483/H483))</f>
        <v>8</v>
      </c>
      <c r="K483" s="7" cm="1">
        <f t="array" ref="K483">IF(ISNUMBER(H483),_xlfn.IFS(D483= ""," ",D483&lt;&gt; " ",F483*(G483/H483)),"")</f>
        <v>0</v>
      </c>
    </row>
    <row r="484" spans="1:11" s="7" customFormat="1" hidden="1" x14ac:dyDescent="0.35">
      <c r="A484" s="7" t="s">
        <v>40</v>
      </c>
      <c r="B484" s="7">
        <v>2009</v>
      </c>
      <c r="D484" s="7" t="s">
        <v>73</v>
      </c>
      <c r="E484" s="7" t="str" cm="1">
        <f t="array" ref="E484">_xlfn.IFS(D484=policy_name_clustering!$A$2,policy_name_clustering!$C$2,D484=policy_name_clustering!$A$3,policy_name_clustering!$C$3,D484=policy_name_clustering!$A$4,policy_name_clustering!$C$4,D484=policy_name_clustering!$A$5,policy_name_clustering!$C$5,D484=policy_name_clustering!$A$6,policy_name_clustering!$C$6,D484=policy_name_clustering!$A$7,policy_name_clustering!$C$7,D484=policy_name_clustering!$A$8,policy_name_clustering!$C$8,D484=policy_name_clustering!$A$9,policy_name_clustering!$C$9,D484=policy_name_clustering!$A$10,policy_name_clustering!$C$10,D484=policy_name_clustering!$A$11,policy_name_clustering!$C$11,D484=policy_name_clustering!$A$12,policy_name_clustering!$C$12,D484="-","")</f>
        <v/>
      </c>
      <c r="G484" s="7">
        <f>solar_cum_cap!C452</f>
        <v>9</v>
      </c>
      <c r="H484" s="7">
        <f>estimated_capacity!C432</f>
        <v>139.84604775598899</v>
      </c>
      <c r="I484" s="7" cm="1">
        <f t="array" ref="I484">_xlfn.IFS(D484= ""," ",D484&lt;&gt; " ",F484*(G484/H484))</f>
        <v>0</v>
      </c>
      <c r="J484" s="7" cm="1">
        <f t="array" ref="J484">_xlfn.IFS(D484= ""," ",D484&lt;&gt; " ",(H484-F484)*(G484/H484))</f>
        <v>9</v>
      </c>
      <c r="K484" s="7" cm="1">
        <f t="array" ref="K484">IF(ISNUMBER(H484),_xlfn.IFS(D484= ""," ",D484&lt;&gt; " ",F484*(G484/H484)),"")</f>
        <v>0</v>
      </c>
    </row>
    <row r="485" spans="1:11" s="7" customFormat="1" hidden="1" x14ac:dyDescent="0.35">
      <c r="A485" s="7" t="s">
        <v>40</v>
      </c>
      <c r="B485" s="7">
        <v>2010</v>
      </c>
      <c r="D485" s="7" t="s">
        <v>73</v>
      </c>
      <c r="E485" s="7" t="str" cm="1">
        <f t="array" ref="E485">_xlfn.IFS(D485=policy_name_clustering!$A$2,policy_name_clustering!$C$2,D485=policy_name_clustering!$A$3,policy_name_clustering!$C$3,D485=policy_name_clustering!$A$4,policy_name_clustering!$C$4,D485=policy_name_clustering!$A$5,policy_name_clustering!$C$5,D485=policy_name_clustering!$A$6,policy_name_clustering!$C$6,D485=policy_name_clustering!$A$7,policy_name_clustering!$C$7,D485=policy_name_clustering!$A$8,policy_name_clustering!$C$8,D485=policy_name_clustering!$A$9,policy_name_clustering!$C$9,D485=policy_name_clustering!$A$10,policy_name_clustering!$C$10,D485=policy_name_clustering!$A$11,policy_name_clustering!$C$11,D485=policy_name_clustering!$A$12,policy_name_clustering!$C$12,D485="-","")</f>
        <v/>
      </c>
      <c r="G485" s="7">
        <f>solar_cum_cap!C453</f>
        <v>11</v>
      </c>
      <c r="H485" s="7">
        <f>estimated_capacity!C433</f>
        <v>215.09246892683601</v>
      </c>
      <c r="I485" s="7" cm="1">
        <f t="array" ref="I485">_xlfn.IFS(D485= ""," ",D485&lt;&gt; " ",F485*(G485/H485))</f>
        <v>0</v>
      </c>
      <c r="J485" s="7" cm="1">
        <f t="array" ref="J485">_xlfn.IFS(D485= ""," ",D485&lt;&gt; " ",(H485-F485)*(G485/H485))</f>
        <v>11</v>
      </c>
      <c r="K485" s="7" cm="1">
        <f t="array" ref="K485">IF(ISNUMBER(H485),_xlfn.IFS(D485= ""," ",D485&lt;&gt; " ",F485*(G485/H485)),"")</f>
        <v>0</v>
      </c>
    </row>
    <row r="486" spans="1:11" s="7" customFormat="1" hidden="1" x14ac:dyDescent="0.35">
      <c r="A486" s="7" t="s">
        <v>40</v>
      </c>
      <c r="B486" s="7">
        <v>2011</v>
      </c>
      <c r="D486" s="7" t="s">
        <v>73</v>
      </c>
      <c r="E486" s="7" t="str" cm="1">
        <f t="array" ref="E486">_xlfn.IFS(D486=policy_name_clustering!$A$2,policy_name_clustering!$C$2,D486=policy_name_clustering!$A$3,policy_name_clustering!$C$3,D486=policy_name_clustering!$A$4,policy_name_clustering!$C$4,D486=policy_name_clustering!$A$5,policy_name_clustering!$C$5,D486=policy_name_clustering!$A$6,policy_name_clustering!$C$6,D486=policy_name_clustering!$A$7,policy_name_clustering!$C$7,D486=policy_name_clustering!$A$8,policy_name_clustering!$C$8,D486=policy_name_clustering!$A$9,policy_name_clustering!$C$9,D486=policy_name_clustering!$A$10,policy_name_clustering!$C$10,D486=policy_name_clustering!$A$11,policy_name_clustering!$C$11,D486=policy_name_clustering!$A$12,policy_name_clustering!$C$12,D486="-","")</f>
        <v/>
      </c>
      <c r="G486" s="7">
        <f>solar_cum_cap!C454</f>
        <v>12</v>
      </c>
      <c r="H486" s="7">
        <f>estimated_capacity!C434</f>
        <v>322.42688077264802</v>
      </c>
      <c r="I486" s="7" cm="1">
        <f t="array" ref="I486">_xlfn.IFS(D486= ""," ",D486&lt;&gt; " ",F486*(G486/H486))</f>
        <v>0</v>
      </c>
      <c r="J486" s="7" cm="1">
        <f t="array" ref="J486">_xlfn.IFS(D486= ""," ",D486&lt;&gt; " ",(H486-F486)*(G486/H486))</f>
        <v>12</v>
      </c>
      <c r="K486" s="7" cm="1">
        <f t="array" ref="K486">IF(ISNUMBER(H486),_xlfn.IFS(D486= ""," ",D486&lt;&gt; " ",F486*(G486/H486)),"")</f>
        <v>0</v>
      </c>
    </row>
    <row r="487" spans="1:11" s="7" customFormat="1" hidden="1" x14ac:dyDescent="0.35">
      <c r="A487" s="7" t="s">
        <v>40</v>
      </c>
      <c r="B487" s="7">
        <v>2012</v>
      </c>
      <c r="D487" s="7" t="s">
        <v>73</v>
      </c>
      <c r="E487" s="7" t="str" cm="1">
        <f t="array" ref="E487">_xlfn.IFS(D487=policy_name_clustering!$A$2,policy_name_clustering!$C$2,D487=policy_name_clustering!$A$3,policy_name_clustering!$C$3,D487=policy_name_clustering!$A$4,policy_name_clustering!$C$4,D487=policy_name_clustering!$A$5,policy_name_clustering!$C$5,D487=policy_name_clustering!$A$6,policy_name_clustering!$C$6,D487=policy_name_clustering!$A$7,policy_name_clustering!$C$7,D487=policy_name_clustering!$A$8,policy_name_clustering!$C$8,D487=policy_name_clustering!$A$9,policy_name_clustering!$C$9,D487=policy_name_clustering!$A$10,policy_name_clustering!$C$10,D487=policy_name_clustering!$A$11,policy_name_clustering!$C$11,D487=policy_name_clustering!$A$12,policy_name_clustering!$C$12,D487="-","")</f>
        <v/>
      </c>
      <c r="G487" s="7">
        <f>solar_cum_cap!C455</f>
        <v>24</v>
      </c>
      <c r="H487" s="7">
        <f>estimated_capacity!C435</f>
        <v>452.91681288217802</v>
      </c>
      <c r="I487" s="7" cm="1">
        <f t="array" ref="I487">_xlfn.IFS(D487= ""," ",D487&lt;&gt; " ",F487*(G487/H487))</f>
        <v>0</v>
      </c>
      <c r="J487" s="7" cm="1">
        <f t="array" ref="J487">_xlfn.IFS(D487= ""," ",D487&lt;&gt; " ",(H487-F487)*(G487/H487))</f>
        <v>24</v>
      </c>
      <c r="K487" s="7" cm="1">
        <f t="array" ref="K487">IF(ISNUMBER(H487),_xlfn.IFS(D487= ""," ",D487&lt;&gt; " ",F487*(G487/H487)),"")</f>
        <v>0</v>
      </c>
    </row>
    <row r="488" spans="1:11" s="7" customFormat="1" hidden="1" x14ac:dyDescent="0.35">
      <c r="A488" s="7" t="s">
        <v>40</v>
      </c>
      <c r="B488" s="7">
        <v>2013</v>
      </c>
      <c r="D488" s="7" t="s">
        <v>73</v>
      </c>
      <c r="E488" s="7" t="str" cm="1">
        <f t="array" ref="E488">_xlfn.IFS(D488=policy_name_clustering!$A$2,policy_name_clustering!$C$2,D488=policy_name_clustering!$A$3,policy_name_clustering!$C$3,D488=policy_name_clustering!$A$4,policy_name_clustering!$C$4,D488=policy_name_clustering!$A$5,policy_name_clustering!$C$5,D488=policy_name_clustering!$A$6,policy_name_clustering!$C$6,D488=policy_name_clustering!$A$7,policy_name_clustering!$C$7,D488=policy_name_clustering!$A$8,policy_name_clustering!$C$8,D488=policy_name_clustering!$A$9,policy_name_clustering!$C$9,D488=policy_name_clustering!$A$10,policy_name_clustering!$C$10,D488=policy_name_clustering!$A$11,policy_name_clustering!$C$11,D488=policy_name_clustering!$A$12,policy_name_clustering!$C$12,D488="-","")</f>
        <v/>
      </c>
      <c r="G488" s="7">
        <f>solar_cum_cap!C456</f>
        <v>43</v>
      </c>
      <c r="H488" s="7">
        <f>estimated_capacity!C436</f>
        <v>674.96864833281097</v>
      </c>
      <c r="I488" s="7" cm="1">
        <f t="array" ref="I488">_xlfn.IFS(D488= ""," ",D488&lt;&gt; " ",F488*(G488/H488))</f>
        <v>0</v>
      </c>
      <c r="J488" s="7" cm="1">
        <f t="array" ref="J488">_xlfn.IFS(D488= ""," ",D488&lt;&gt; " ",(H488-F488)*(G488/H488))</f>
        <v>43</v>
      </c>
      <c r="K488" s="7" cm="1">
        <f t="array" ref="K488">IF(ISNUMBER(H488),_xlfn.IFS(D488= ""," ",D488&lt;&gt; " ",F488*(G488/H488)),"")</f>
        <v>0</v>
      </c>
    </row>
    <row r="489" spans="1:11" s="7" customFormat="1" hidden="1" x14ac:dyDescent="0.35">
      <c r="A489" s="7" t="s">
        <v>40</v>
      </c>
      <c r="B489" s="7">
        <v>2014</v>
      </c>
      <c r="D489" s="7" t="s">
        <v>73</v>
      </c>
      <c r="E489" s="7" t="str" cm="1">
        <f t="array" ref="E489">_xlfn.IFS(D489=policy_name_clustering!$A$2,policy_name_clustering!$C$2,D489=policy_name_clustering!$A$3,policy_name_clustering!$C$3,D489=policy_name_clustering!$A$4,policy_name_clustering!$C$4,D489=policy_name_clustering!$A$5,policy_name_clustering!$C$5,D489=policy_name_clustering!$A$6,policy_name_clustering!$C$6,D489=policy_name_clustering!$A$7,policy_name_clustering!$C$7,D489=policy_name_clustering!$A$8,policy_name_clustering!$C$8,D489=policy_name_clustering!$A$9,policy_name_clustering!$C$9,D489=policy_name_clustering!$A$10,policy_name_clustering!$C$10,D489=policy_name_clustering!$A$11,policy_name_clustering!$C$11,D489=policy_name_clustering!$A$12,policy_name_clustering!$C$12,D489="-","")</f>
        <v/>
      </c>
      <c r="G489" s="7">
        <f>solar_cum_cap!C457</f>
        <v>60</v>
      </c>
      <c r="H489" s="7">
        <f>estimated_capacity!C437</f>
        <v>918.38031510683697</v>
      </c>
      <c r="I489" s="7" cm="1">
        <f t="array" ref="I489">_xlfn.IFS(D489= ""," ",D489&lt;&gt; " ",F489*(G489/H489))</f>
        <v>0</v>
      </c>
      <c r="J489" s="7" cm="1">
        <f t="array" ref="J489">_xlfn.IFS(D489= ""," ",D489&lt;&gt; " ",(H489-F489)*(G489/H489))</f>
        <v>60</v>
      </c>
      <c r="K489" s="7" cm="1">
        <f t="array" ref="K489">IF(ISNUMBER(H489),_xlfn.IFS(D489= ""," ",D489&lt;&gt; " ",F489*(G489/H489)),"")</f>
        <v>0</v>
      </c>
    </row>
    <row r="490" spans="1:11" s="7" customFormat="1" hidden="1" x14ac:dyDescent="0.35">
      <c r="A490" s="7" t="s">
        <v>40</v>
      </c>
      <c r="B490" s="7">
        <v>2015</v>
      </c>
      <c r="D490" s="7" t="s">
        <v>73</v>
      </c>
      <c r="E490" s="7" t="str" cm="1">
        <f t="array" ref="E490">_xlfn.IFS(D490=policy_name_clustering!$A$2,policy_name_clustering!$C$2,D490=policy_name_clustering!$A$3,policy_name_clustering!$C$3,D490=policy_name_clustering!$A$4,policy_name_clustering!$C$4,D490=policy_name_clustering!$A$5,policy_name_clustering!$C$5,D490=policy_name_clustering!$A$6,policy_name_clustering!$C$6,D490=policy_name_clustering!$A$7,policy_name_clustering!$C$7,D490=policy_name_clustering!$A$8,policy_name_clustering!$C$8,D490=policy_name_clustering!$A$9,policy_name_clustering!$C$9,D490=policy_name_clustering!$A$10,policy_name_clustering!$C$10,D490=policy_name_clustering!$A$11,policy_name_clustering!$C$11,D490=policy_name_clustering!$A$12,policy_name_clustering!$C$12,D490="-","")</f>
        <v/>
      </c>
      <c r="G490" s="7">
        <f>solar_cum_cap!C458</f>
        <v>104</v>
      </c>
      <c r="H490" s="7">
        <f>estimated_capacity!C438</f>
        <v>1105.41770889908</v>
      </c>
      <c r="I490" s="7" cm="1">
        <f t="array" ref="I490">_xlfn.IFS(D490= ""," ",D490&lt;&gt; " ",F490*(G490/H490))</f>
        <v>0</v>
      </c>
      <c r="J490" s="7" cm="1">
        <f t="array" ref="J490">_xlfn.IFS(D490= ""," ",D490&lt;&gt; " ",(H490-F490)*(G490/H490))</f>
        <v>104</v>
      </c>
      <c r="K490" s="7" cm="1">
        <f t="array" ref="K490">IF(ISNUMBER(H490),_xlfn.IFS(D490= ""," ",D490&lt;&gt; " ",F490*(G490/H490)),"")</f>
        <v>0</v>
      </c>
    </row>
    <row r="491" spans="1:11" s="7" customFormat="1" hidden="1" x14ac:dyDescent="0.35">
      <c r="A491" s="7" t="s">
        <v>40</v>
      </c>
      <c r="B491" s="7">
        <v>2016</v>
      </c>
      <c r="D491" s="7" t="s">
        <v>73</v>
      </c>
      <c r="E491" s="7" t="str" cm="1">
        <f t="array" ref="E491">_xlfn.IFS(D491=policy_name_clustering!$A$2,policy_name_clustering!$C$2,D491=policy_name_clustering!$A$3,policy_name_clustering!$C$3,D491=policy_name_clustering!$A$4,policy_name_clustering!$C$4,D491=policy_name_clustering!$A$5,policy_name_clustering!$C$5,D491=policy_name_clustering!$A$6,policy_name_clustering!$C$6,D491=policy_name_clustering!$A$7,policy_name_clustering!$C$7,D491=policy_name_clustering!$A$8,policy_name_clustering!$C$8,D491=policy_name_clustering!$A$9,policy_name_clustering!$C$9,D491=policy_name_clustering!$A$10,policy_name_clustering!$C$10,D491=policy_name_clustering!$A$11,policy_name_clustering!$C$11,D491=policy_name_clustering!$A$12,policy_name_clustering!$C$12,D491="-","")</f>
        <v/>
      </c>
      <c r="G491" s="7">
        <f>solar_cum_cap!C459</f>
        <v>153</v>
      </c>
      <c r="H491" s="7">
        <f>estimated_capacity!C439</f>
        <v>1293.51103835956</v>
      </c>
      <c r="I491" s="7" cm="1">
        <f t="array" ref="I491">_xlfn.IFS(D491= ""," ",D491&lt;&gt; " ",F491*(G491/H491))</f>
        <v>0</v>
      </c>
      <c r="J491" s="7" cm="1">
        <f t="array" ref="J491">_xlfn.IFS(D491= ""," ",D491&lt;&gt; " ",(H491-F491)*(G491/H491))</f>
        <v>153</v>
      </c>
      <c r="K491" s="7" cm="1">
        <f t="array" ref="K491">IF(ISNUMBER(H491),_xlfn.IFS(D491= ""," ",D491&lt;&gt; " ",F491*(G491/H491)),"")</f>
        <v>0</v>
      </c>
    </row>
    <row r="492" spans="1:11" s="7" customFormat="1" hidden="1" x14ac:dyDescent="0.35">
      <c r="A492" s="7" t="s">
        <v>40</v>
      </c>
      <c r="B492" s="7">
        <v>2017</v>
      </c>
      <c r="D492" s="7" t="s">
        <v>73</v>
      </c>
      <c r="E492" s="7" t="str" cm="1">
        <f t="array" ref="E492">_xlfn.IFS(D492=policy_name_clustering!$A$2,policy_name_clustering!$C$2,D492=policy_name_clustering!$A$3,policy_name_clustering!$C$3,D492=policy_name_clustering!$A$4,policy_name_clustering!$C$4,D492=policy_name_clustering!$A$5,policy_name_clustering!$C$5,D492=policy_name_clustering!$A$6,policy_name_clustering!$C$6,D492=policy_name_clustering!$A$7,policy_name_clustering!$C$7,D492=policy_name_clustering!$A$8,policy_name_clustering!$C$8,D492=policy_name_clustering!$A$9,policy_name_clustering!$C$9,D492=policy_name_clustering!$A$10,policy_name_clustering!$C$10,D492=policy_name_clustering!$A$11,policy_name_clustering!$C$11,D492=policy_name_clustering!$A$12,policy_name_clustering!$C$12,D492="-","")</f>
        <v/>
      </c>
      <c r="G492" s="7">
        <f>solar_cum_cap!C460</f>
        <v>244</v>
      </c>
      <c r="H492" s="7">
        <f>estimated_capacity!C440</f>
        <v>1526.99507577655</v>
      </c>
      <c r="I492" s="7" cm="1">
        <f t="array" ref="I492">_xlfn.IFS(D492= ""," ",D492&lt;&gt; " ",F492*(G492/H492))</f>
        <v>0</v>
      </c>
      <c r="J492" s="7" cm="1">
        <f t="array" ref="J492">_xlfn.IFS(D492= ""," ",D492&lt;&gt; " ",(H492-F492)*(G492/H492))</f>
        <v>244.00000000000003</v>
      </c>
      <c r="K492" s="7" cm="1">
        <f t="array" ref="K492">IF(ISNUMBER(H492),_xlfn.IFS(D492= ""," ",D492&lt;&gt; " ",F492*(G492/H492)),"")</f>
        <v>0</v>
      </c>
    </row>
    <row r="493" spans="1:11" s="7" customFormat="1" hidden="1" x14ac:dyDescent="0.35">
      <c r="A493" s="7" t="s">
        <v>40</v>
      </c>
      <c r="B493" s="7">
        <v>2018</v>
      </c>
      <c r="D493" s="7" t="s">
        <v>73</v>
      </c>
      <c r="E493" s="7" t="str" cm="1">
        <f t="array" ref="E493">_xlfn.IFS(D493=policy_name_clustering!$A$2,policy_name_clustering!$C$2,D493=policy_name_clustering!$A$3,policy_name_clustering!$C$3,D493=policy_name_clustering!$A$4,policy_name_clustering!$C$4,D493=policy_name_clustering!$A$5,policy_name_clustering!$C$5,D493=policy_name_clustering!$A$6,policy_name_clustering!$C$6,D493=policy_name_clustering!$A$7,policy_name_clustering!$C$7,D493=policy_name_clustering!$A$8,policy_name_clustering!$C$8,D493=policy_name_clustering!$A$9,policy_name_clustering!$C$9,D493=policy_name_clustering!$A$10,policy_name_clustering!$C$10,D493=policy_name_clustering!$A$11,policy_name_clustering!$C$11,D493=policy_name_clustering!$A$12,policy_name_clustering!$C$12,D493="-","")</f>
        <v/>
      </c>
      <c r="G493" s="7">
        <f>solar_cum_cap!C461</f>
        <v>428</v>
      </c>
      <c r="H493" s="7">
        <f>estimated_capacity!C441</f>
        <v>1792.6236354264699</v>
      </c>
      <c r="I493" s="7" cm="1">
        <f t="array" ref="I493">_xlfn.IFS(D493= ""," ",D493&lt;&gt; " ",F493*(G493/H493))</f>
        <v>0</v>
      </c>
      <c r="J493" s="7" cm="1">
        <f t="array" ref="J493">_xlfn.IFS(D493= ""," ",D493&lt;&gt; " ",(H493-F493)*(G493/H493))</f>
        <v>428</v>
      </c>
      <c r="K493" s="7" cm="1">
        <f t="array" ref="K493">IF(ISNUMBER(H493),_xlfn.IFS(D493= ""," ",D493&lt;&gt; " ",F493*(G493/H493)),"")</f>
        <v>0</v>
      </c>
    </row>
    <row r="494" spans="1:11" s="7" customFormat="1" hidden="1" x14ac:dyDescent="0.35">
      <c r="A494" s="7" t="s">
        <v>40</v>
      </c>
      <c r="B494" s="7">
        <v>2019</v>
      </c>
      <c r="D494" s="7" t="s">
        <v>73</v>
      </c>
      <c r="E494" s="7" t="str" cm="1">
        <f t="array" ref="E494">_xlfn.IFS(D494=policy_name_clustering!$A$2,policy_name_clustering!$C$2,D494=policy_name_clustering!$A$3,policy_name_clustering!$C$3,D494=policy_name_clustering!$A$4,policy_name_clustering!$C$4,D494=policy_name_clustering!$A$5,policy_name_clustering!$C$5,D494=policy_name_clustering!$A$6,policy_name_clustering!$C$6,D494=policy_name_clustering!$A$7,policy_name_clustering!$C$7,D494=policy_name_clustering!$A$8,policy_name_clustering!$C$8,D494=policy_name_clustering!$A$9,policy_name_clustering!$C$9,D494=policy_name_clustering!$A$10,policy_name_clustering!$C$10,D494=policy_name_clustering!$A$11,policy_name_clustering!$C$11,D494=policy_name_clustering!$A$12,policy_name_clustering!$C$12,D494="-","")</f>
        <v/>
      </c>
      <c r="G494" s="7">
        <f>solar_cum_cap!C462</f>
        <v>714</v>
      </c>
      <c r="H494" s="7">
        <f>estimated_capacity!C442</f>
        <v>1988.2485422013301</v>
      </c>
      <c r="I494" s="7" cm="1">
        <f t="array" ref="I494">_xlfn.IFS(D494= ""," ",D494&lt;&gt; " ",F494*(G494/H494))</f>
        <v>0</v>
      </c>
      <c r="J494" s="7" cm="1">
        <f t="array" ref="J494">_xlfn.IFS(D494= ""," ",D494&lt;&gt; " ",(H494-F494)*(G494/H494))</f>
        <v>714</v>
      </c>
      <c r="K494" s="7" cm="1">
        <f t="array" ref="K494">IF(ISNUMBER(H494),_xlfn.IFS(D494= ""," ",D494&lt;&gt; " ",F494*(G494/H494)),"")</f>
        <v>0</v>
      </c>
    </row>
    <row r="495" spans="1:11" s="7" customFormat="1" hidden="1" x14ac:dyDescent="0.35">
      <c r="A495" s="7" t="s">
        <v>40</v>
      </c>
      <c r="B495" s="7">
        <v>2020</v>
      </c>
      <c r="D495" s="7" t="s">
        <v>73</v>
      </c>
      <c r="E495" s="7" t="str" cm="1">
        <f t="array" ref="E495">_xlfn.IFS(D495=policy_name_clustering!$A$2,policy_name_clustering!$C$2,D495=policy_name_clustering!$A$3,policy_name_clustering!$C$3,D495=policy_name_clustering!$A$4,policy_name_clustering!$C$4,D495=policy_name_clustering!$A$5,policy_name_clustering!$C$5,D495=policy_name_clustering!$A$6,policy_name_clustering!$C$6,D495=policy_name_clustering!$A$7,policy_name_clustering!$C$7,D495=policy_name_clustering!$A$8,policy_name_clustering!$C$8,D495=policy_name_clustering!$A$9,policy_name_clustering!$C$9,D495=policy_name_clustering!$A$10,policy_name_clustering!$C$10,D495=policy_name_clustering!$A$11,policy_name_clustering!$C$11,D495=policy_name_clustering!$A$12,policy_name_clustering!$C$12,D495="-","")</f>
        <v/>
      </c>
      <c r="G495" s="7">
        <f>solar_cum_cap!C463</f>
        <v>1107</v>
      </c>
      <c r="H495" s="7">
        <f>estimated_capacity!C443</f>
        <v>2181.9748124651701</v>
      </c>
      <c r="I495" s="7" cm="1">
        <f t="array" ref="I495">_xlfn.IFS(D495= ""," ",D495&lt;&gt; " ",F495*(G495/H495))</f>
        <v>0</v>
      </c>
      <c r="J495" s="7" cm="1">
        <f t="array" ref="J495">_xlfn.IFS(D495= ""," ",D495&lt;&gt; " ",(H495-F495)*(G495/H495))</f>
        <v>1107</v>
      </c>
      <c r="K495" s="7" cm="1">
        <f t="array" ref="K495">IF(ISNUMBER(H495),_xlfn.IFS(D495= ""," ",D495&lt;&gt; " ",F495*(G495/H495)),"")</f>
        <v>0</v>
      </c>
    </row>
    <row r="496" spans="1:11" s="7" customFormat="1" hidden="1" x14ac:dyDescent="0.35">
      <c r="A496" s="7" t="s">
        <v>40</v>
      </c>
      <c r="B496" s="7">
        <v>2021</v>
      </c>
      <c r="D496" s="7" t="s">
        <v>73</v>
      </c>
      <c r="E496" s="7" t="str" cm="1">
        <f t="array" ref="E496">_xlfn.IFS(D496=policy_name_clustering!$A$2,policy_name_clustering!$C$2,D496=policy_name_clustering!$A$3,policy_name_clustering!$C$3,D496=policy_name_clustering!$A$4,policy_name_clustering!$C$4,D496=policy_name_clustering!$A$5,policy_name_clustering!$C$5,D496=policy_name_clustering!$A$6,policy_name_clustering!$C$6,D496=policy_name_clustering!$A$7,policy_name_clustering!$C$7,D496=policy_name_clustering!$A$8,policy_name_clustering!$C$8,D496=policy_name_clustering!$A$9,policy_name_clustering!$C$9,D496=policy_name_clustering!$A$10,policy_name_clustering!$C$10,D496=policy_name_clustering!$A$11,policy_name_clustering!$C$11,D496=policy_name_clustering!$A$12,policy_name_clustering!$C$12,D496="-","")</f>
        <v/>
      </c>
      <c r="G496" s="7">
        <f>solar_cum_cap!C464</f>
        <v>1606</v>
      </c>
      <c r="H496" s="7">
        <f>estimated_capacity!C444</f>
        <v>2422.5464514811802</v>
      </c>
      <c r="I496" s="7" cm="1">
        <f t="array" ref="I496">_xlfn.IFS(D496= ""," ",D496&lt;&gt; " ",F496*(G496/H496))</f>
        <v>0</v>
      </c>
      <c r="J496" s="7" cm="1">
        <f t="array" ref="J496">_xlfn.IFS(D496= ""," ",D496&lt;&gt; " ",(H496-F496)*(G496/H496))</f>
        <v>1606</v>
      </c>
      <c r="K496" s="7" cm="1">
        <f t="array" ref="K496">IF(ISNUMBER(H496),_xlfn.IFS(D496= ""," ",D496&lt;&gt; " ",F496*(G496/H496)),"")</f>
        <v>0</v>
      </c>
    </row>
    <row r="497" spans="1:11" s="7" customFormat="1" hidden="1" x14ac:dyDescent="0.35">
      <c r="A497" s="7" t="s">
        <v>40</v>
      </c>
      <c r="B497" s="7">
        <v>2022</v>
      </c>
      <c r="D497" s="7" t="s">
        <v>73</v>
      </c>
      <c r="E497" s="7" t="str" cm="1">
        <f t="array" ref="E497">_xlfn.IFS(D497=policy_name_clustering!$A$2,policy_name_clustering!$C$2,D497=policy_name_clustering!$A$3,policy_name_clustering!$C$3,D497=policy_name_clustering!$A$4,policy_name_clustering!$C$4,D497=policy_name_clustering!$A$5,policy_name_clustering!$C$5,D497=policy_name_clustering!$A$6,policy_name_clustering!$C$6,D497=policy_name_clustering!$A$7,policy_name_clustering!$C$7,D497=policy_name_clustering!$A$8,policy_name_clustering!$C$8,D497=policy_name_clustering!$A$9,policy_name_clustering!$C$9,D497=policy_name_clustering!$A$10,policy_name_clustering!$C$10,D497=policy_name_clustering!$A$11,policy_name_clustering!$C$11,D497=policy_name_clustering!$A$12,policy_name_clustering!$C$12,D497="-","")</f>
        <v/>
      </c>
      <c r="G497" s="7">
        <f>solar_cum_cap!C465</f>
        <v>2388</v>
      </c>
      <c r="H497" s="7">
        <f>estimated_capacity!C445</f>
        <v>2782.9722988040899</v>
      </c>
      <c r="I497" s="7" cm="1">
        <f t="array" ref="I497">_xlfn.IFS(D497= ""," ",D497&lt;&gt; " ",F497*(G497/H497))</f>
        <v>0</v>
      </c>
      <c r="J497" s="7" cm="1">
        <f t="array" ref="J497">_xlfn.IFS(D497= ""," ",D497&lt;&gt; " ",(H497-F497)*(G497/H497))</f>
        <v>2388</v>
      </c>
      <c r="K497" s="7" cm="1">
        <f t="array" ref="K497">IF(ISNUMBER(H497),_xlfn.IFS(D497= ""," ",D497&lt;&gt; " ",F497*(G497/H497)),"")</f>
        <v>0</v>
      </c>
    </row>
    <row r="498" spans="1:11" s="7" customFormat="1" hidden="1" x14ac:dyDescent="0.35">
      <c r="A498" s="7" t="s">
        <v>40</v>
      </c>
      <c r="B498" s="7">
        <v>2023</v>
      </c>
      <c r="D498" s="7" t="s">
        <v>73</v>
      </c>
      <c r="E498" s="7" t="str" cm="1">
        <f t="array" ref="E498">_xlfn.IFS(D498=policy_name_clustering!$A$2,policy_name_clustering!$C$2,D498=policy_name_clustering!$A$3,policy_name_clustering!$C$3,D498=policy_name_clustering!$A$4,policy_name_clustering!$C$4,D498=policy_name_clustering!$A$5,policy_name_clustering!$C$5,D498=policy_name_clustering!$A$6,policy_name_clustering!$C$6,D498=policy_name_clustering!$A$7,policy_name_clustering!$C$7,D498=policy_name_clustering!$A$8,policy_name_clustering!$C$8,D498=policy_name_clustering!$A$9,policy_name_clustering!$C$9,D498=policy_name_clustering!$A$10,policy_name_clustering!$C$10,D498=policy_name_clustering!$A$11,policy_name_clustering!$C$11,D498=policy_name_clustering!$A$12,policy_name_clustering!$C$12,D498="-","")</f>
        <v/>
      </c>
      <c r="G498" s="7">
        <f>solar_cum_cap!C466</f>
        <v>3993</v>
      </c>
      <c r="H498" s="7">
        <f>estimated_capacity!C446</f>
        <v>3227.1494393053599</v>
      </c>
      <c r="I498" s="7" cm="1">
        <f t="array" ref="I498">_xlfn.IFS(D498= ""," ",D498&lt;&gt; " ",F498*(G498/H498))</f>
        <v>0</v>
      </c>
      <c r="J498" s="7" cm="1">
        <f t="array" ref="J498">_xlfn.IFS(D498= ""," ",D498&lt;&gt; " ",(H498-F498)*(G498/H498))</f>
        <v>3993</v>
      </c>
      <c r="K498" s="7" cm="1">
        <f t="array" ref="K498">IF(ISNUMBER(H498),_xlfn.IFS(D498= ""," ",D498&lt;&gt; " ",F498*(G498/H498)),"")</f>
        <v>0</v>
      </c>
    </row>
    <row r="502" spans="1:11" x14ac:dyDescent="0.35">
      <c r="I502" s="7">
        <f>MAX(I24:I498)</f>
        <v>36197.752776200687</v>
      </c>
    </row>
  </sheetData>
  <autoFilter ref="A1:K498" xr:uid="{EAFF0AF9-EDD6-4EA4-AB31-8DCEAC6D5062}">
    <filterColumn colId="4">
      <filters>
        <filter val="Other policy mix"/>
      </filters>
    </filterColumn>
  </autoFilter>
  <phoneticPr fontId="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6279-D8A2-4EA8-B887-687C5D98C60E}">
  <sheetPr>
    <tabColor rgb="FFFF0000"/>
  </sheetPr>
  <dimension ref="A1:D25"/>
  <sheetViews>
    <sheetView zoomScale="90" zoomScaleNormal="90" workbookViewId="0">
      <selection activeCell="E18" sqref="E18"/>
    </sheetView>
  </sheetViews>
  <sheetFormatPr defaultRowHeight="14.5" x14ac:dyDescent="0.35"/>
  <cols>
    <col min="1" max="1" width="40.453125" bestFit="1" customWidth="1"/>
    <col min="2" max="2" width="49.1796875" bestFit="1" customWidth="1"/>
  </cols>
  <sheetData>
    <row r="1" spans="1:4" s="7" customFormat="1" x14ac:dyDescent="0.35">
      <c r="A1" s="7" t="s">
        <v>107</v>
      </c>
      <c r="B1" s="7" t="s">
        <v>108</v>
      </c>
    </row>
    <row r="2" spans="1:4" x14ac:dyDescent="0.35">
      <c r="A2" s="14" t="s">
        <v>48</v>
      </c>
      <c r="B2" s="18">
        <f>SUMIFS(effect_quant_by_period!$I$2:$I$506,effect_quant_by_period!$D$2:$D$506,A2,effect_quant_by_period!$B$2:$B$506,estimated_capacity!$L$1)/1000</f>
        <v>67.741479893789062</v>
      </c>
    </row>
    <row r="3" spans="1:4" x14ac:dyDescent="0.35">
      <c r="A3" s="14" t="s">
        <v>50</v>
      </c>
      <c r="B3" s="18">
        <f>SUMIFS(effect_quant_by_period!$I$2:$I$506,effect_quant_by_period!$D$2:$D$506,A3,effect_quant_by_period!$B$2:$B$506,estimated_capacity!$L$1)/1000</f>
        <v>3.7716089704224167</v>
      </c>
    </row>
    <row r="4" spans="1:4" x14ac:dyDescent="0.35">
      <c r="A4" s="14" t="s">
        <v>51</v>
      </c>
      <c r="B4" s="18">
        <f>SUMIFS(effect_quant_by_period!$I$2:$I$506,effect_quant_by_period!$D$2:$D$506,A4,effect_quant_by_period!$B$2:$B$506,estimated_capacity!$L$1)/1000</f>
        <v>4.7516626575877536</v>
      </c>
    </row>
    <row r="5" spans="1:4" x14ac:dyDescent="0.35">
      <c r="A5" s="14" t="s">
        <v>123</v>
      </c>
      <c r="B5" s="18">
        <f>SUMIFS(effect_quant_by_period!$I$2:$I$506,effect_quant_by_period!$D$2:$D$506,A5,effect_quant_by_period!$B$2:$B$506,estimated_capacity!$L$1)/1000</f>
        <v>18.390534725995234</v>
      </c>
    </row>
    <row r="6" spans="1:4" x14ac:dyDescent="0.35">
      <c r="A6" s="14" t="s">
        <v>53</v>
      </c>
      <c r="B6" s="18">
        <f>SUMIFS(effect_quant_by_period!$I$2:$I$506,effect_quant_by_period!$D$2:$D$506,A6,effect_quant_by_period!$B$2:$B$506,estimated_capacity!$L$1)/1000</f>
        <v>13.122245812965275</v>
      </c>
    </row>
    <row r="7" spans="1:4" x14ac:dyDescent="0.35">
      <c r="A7" s="14" t="s">
        <v>147</v>
      </c>
      <c r="B7" s="18">
        <f>SUMIFS(effect_quant_by_period!$I$2:$I$506,effect_quant_by_period!$D$2:$D$506,A7,effect_quant_by_period!$B$2:$B$506,estimated_capacity!$L$1)/1000</f>
        <v>13.691957580359393</v>
      </c>
    </row>
    <row r="8" spans="1:4" x14ac:dyDescent="0.35">
      <c r="A8" s="14" t="s">
        <v>128</v>
      </c>
      <c r="B8" s="18">
        <f>SUMIFS(effect_quant_by_period!$I$2:$I$506,effect_quant_by_period!$D$2:$D$506,A8,effect_quant_by_period!$B$2:$B$506,estimated_capacity!$L$1)/1000</f>
        <v>41.880652458686306</v>
      </c>
    </row>
    <row r="9" spans="1:4" x14ac:dyDescent="0.35">
      <c r="A9" s="14" t="s">
        <v>125</v>
      </c>
      <c r="B9" s="18">
        <f>SUMIFS(effect_quant_by_period!$I$2:$I$506,effect_quant_by_period!$D$2:$D$506,A9,effect_quant_by_period!$B$2:$B$506,estimated_capacity!$L$1)/1000</f>
        <v>24.732609766307331</v>
      </c>
    </row>
    <row r="10" spans="1:4" x14ac:dyDescent="0.35">
      <c r="A10" s="14" t="s">
        <v>144</v>
      </c>
      <c r="B10" s="18">
        <f>SUMIFS(effect_quant_by_period!$I$2:$I$506,effect_quant_by_period!$D$2:$D$506,A10,effect_quant_by_period!$B$2:$B$506,estimated_capacity!$L$1)/1000</f>
        <v>6.7205560180993613</v>
      </c>
    </row>
    <row r="11" spans="1:4" x14ac:dyDescent="0.35">
      <c r="A11" s="8" t="s">
        <v>124</v>
      </c>
      <c r="B11" s="18">
        <f>SUMIFS(effect_quant_by_period!$I$2:$I$506,effect_quant_by_period!$D$2:$D$506,A11,effect_quant_by_period!$B$2:$B$506,estimated_capacity!$L$1)/1000</f>
        <v>11.094587818984035</v>
      </c>
    </row>
    <row r="12" spans="1:4" x14ac:dyDescent="0.35">
      <c r="A12" s="14" t="s">
        <v>109</v>
      </c>
      <c r="B12" s="18">
        <f>SUM(B2:B11)</f>
        <v>205.89789570319616</v>
      </c>
    </row>
    <row r="13" spans="1:4" x14ac:dyDescent="0.35">
      <c r="A13" s="14" t="s">
        <v>110</v>
      </c>
      <c r="B13" s="18">
        <f>SUMIFS(effect_quant_by_period!$J$2:$J$498,effect_quant_by_period!$B$2:$B$498,estimated_capacity!$L$1)/1000</f>
        <v>50.124983874398438</v>
      </c>
      <c r="C13" s="2">
        <f>(estimated_capacity!G2)-B12-B13</f>
        <v>-8.2150493477460458</v>
      </c>
      <c r="D13" s="16" t="s">
        <v>114</v>
      </c>
    </row>
    <row r="14" spans="1:4" x14ac:dyDescent="0.35">
      <c r="A14" s="14" t="s">
        <v>111</v>
      </c>
      <c r="B14" s="15">
        <f>B12/SUM(B12:B13)</f>
        <v>0.80421677954291293</v>
      </c>
    </row>
    <row r="18" spans="1:2" x14ac:dyDescent="0.35">
      <c r="A18" s="6" t="s">
        <v>107</v>
      </c>
      <c r="B18" t="s">
        <v>108</v>
      </c>
    </row>
    <row r="19" spans="1:2" x14ac:dyDescent="0.35">
      <c r="A19" t="s">
        <v>49</v>
      </c>
      <c r="B19" s="2">
        <f>SUM(B2:B4)</f>
        <v>76.264751521799241</v>
      </c>
    </row>
    <row r="20" spans="1:2" x14ac:dyDescent="0.35">
      <c r="A20" t="s">
        <v>145</v>
      </c>
      <c r="B20" s="2">
        <f>SUM(B6)</f>
        <v>13.122245812965275</v>
      </c>
    </row>
    <row r="21" spans="1:2" x14ac:dyDescent="0.35">
      <c r="A21" t="s">
        <v>146</v>
      </c>
      <c r="B21" s="2">
        <f>SUM(B8)</f>
        <v>41.880652458686306</v>
      </c>
    </row>
    <row r="22" spans="1:2" x14ac:dyDescent="0.35">
      <c r="A22" s="23" t="s">
        <v>150</v>
      </c>
      <c r="B22" s="2">
        <f>SUM(B7,B9,B11,B5)</f>
        <v>67.909689891645996</v>
      </c>
    </row>
    <row r="23" spans="1:2" x14ac:dyDescent="0.35">
      <c r="A23" s="23" t="s">
        <v>151</v>
      </c>
      <c r="B23" s="2">
        <f>SUM(B10)</f>
        <v>6.7205560180993613</v>
      </c>
    </row>
    <row r="24" spans="1:2" x14ac:dyDescent="0.35">
      <c r="A24" s="14" t="s">
        <v>109</v>
      </c>
      <c r="B24" s="2">
        <f>B12</f>
        <v>205.89789570319616</v>
      </c>
    </row>
    <row r="25" spans="1:2" x14ac:dyDescent="0.35">
      <c r="A25" s="14" t="s">
        <v>110</v>
      </c>
      <c r="B25" s="2">
        <f>B13</f>
        <v>50.124983874398438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8707-A4CA-4AE2-A3FB-C978A0418380}">
  <dimension ref="A1:F142"/>
  <sheetViews>
    <sheetView workbookViewId="0">
      <selection activeCell="B27" sqref="B27"/>
    </sheetView>
  </sheetViews>
  <sheetFormatPr defaultColWidth="10.90625" defaultRowHeight="14.5" x14ac:dyDescent="0.35"/>
  <cols>
    <col min="3" max="3" width="18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2004</v>
      </c>
      <c r="C2" t="s">
        <v>7</v>
      </c>
      <c r="D2">
        <v>214.54301769252601</v>
      </c>
      <c r="E2">
        <v>406.96020046805302</v>
      </c>
      <c r="F2">
        <v>214.54301769252601</v>
      </c>
    </row>
    <row r="3" spans="1:6" x14ac:dyDescent="0.35">
      <c r="A3" t="s">
        <v>6</v>
      </c>
      <c r="B3">
        <v>2005</v>
      </c>
      <c r="C3" t="s">
        <v>7</v>
      </c>
      <c r="D3">
        <v>522.83168929416297</v>
      </c>
      <c r="E3">
        <v>718.49485565710995</v>
      </c>
      <c r="F3">
        <v>737.37470698668903</v>
      </c>
    </row>
    <row r="4" spans="1:6" x14ac:dyDescent="0.35">
      <c r="A4" t="s">
        <v>6</v>
      </c>
      <c r="B4">
        <v>2006</v>
      </c>
      <c r="C4" t="s">
        <v>7</v>
      </c>
      <c r="D4">
        <v>974.950853882709</v>
      </c>
      <c r="E4">
        <v>1179.0671470478901</v>
      </c>
      <c r="F4">
        <v>1712.3255608694001</v>
      </c>
    </row>
    <row r="5" spans="1:6" x14ac:dyDescent="0.35">
      <c r="A5" t="s">
        <v>6</v>
      </c>
      <c r="B5">
        <v>2007</v>
      </c>
      <c r="C5" t="s">
        <v>7</v>
      </c>
      <c r="D5">
        <v>1615.6704281688501</v>
      </c>
      <c r="E5">
        <v>1823.1246676329799</v>
      </c>
      <c r="F5">
        <v>3327.9959890382502</v>
      </c>
    </row>
    <row r="6" spans="1:6" x14ac:dyDescent="0.35">
      <c r="A6" t="s">
        <v>6</v>
      </c>
      <c r="B6">
        <v>2008</v>
      </c>
      <c r="C6" t="s">
        <v>7</v>
      </c>
      <c r="D6">
        <v>2585.2388379556901</v>
      </c>
      <c r="E6">
        <v>2806.7766696417798</v>
      </c>
      <c r="F6">
        <v>5913.2348269939303</v>
      </c>
    </row>
    <row r="7" spans="1:6" x14ac:dyDescent="0.35">
      <c r="A7" t="s">
        <v>6</v>
      </c>
      <c r="B7">
        <v>2009</v>
      </c>
      <c r="C7" t="s">
        <v>7</v>
      </c>
      <c r="D7">
        <v>3849.6116074310298</v>
      </c>
      <c r="E7">
        <v>4063.95664274094</v>
      </c>
      <c r="F7">
        <v>9762.8464344249605</v>
      </c>
    </row>
    <row r="8" spans="1:6" x14ac:dyDescent="0.35">
      <c r="A8" t="s">
        <v>6</v>
      </c>
      <c r="B8">
        <v>2010</v>
      </c>
      <c r="C8" t="s">
        <v>7</v>
      </c>
      <c r="D8">
        <v>6333.6344455600502</v>
      </c>
      <c r="E8">
        <v>6607.4062729483203</v>
      </c>
      <c r="F8">
        <v>16096.480879985</v>
      </c>
    </row>
    <row r="9" spans="1:6" x14ac:dyDescent="0.35">
      <c r="A9" t="s">
        <v>6</v>
      </c>
      <c r="B9">
        <v>2011</v>
      </c>
      <c r="C9" t="s">
        <v>7</v>
      </c>
      <c r="D9">
        <v>10211.3567113314</v>
      </c>
      <c r="E9">
        <v>10546.3296407084</v>
      </c>
      <c r="F9">
        <v>26307.837591316402</v>
      </c>
    </row>
    <row r="10" spans="1:6" x14ac:dyDescent="0.35">
      <c r="A10" t="s">
        <v>6</v>
      </c>
      <c r="B10">
        <v>2012</v>
      </c>
      <c r="C10" t="s">
        <v>7</v>
      </c>
      <c r="D10">
        <v>5451.9404307878503</v>
      </c>
      <c r="E10">
        <v>5375.5430680929303</v>
      </c>
      <c r="F10">
        <v>31759.778022104201</v>
      </c>
    </row>
    <row r="11" spans="1:6" x14ac:dyDescent="0.35">
      <c r="A11" t="s">
        <v>6</v>
      </c>
      <c r="B11">
        <v>2013</v>
      </c>
      <c r="C11" t="s">
        <v>7</v>
      </c>
      <c r="D11">
        <v>3206.7747111234498</v>
      </c>
      <c r="E11">
        <v>2988.3031086562401</v>
      </c>
      <c r="F11">
        <v>34966.552733227698</v>
      </c>
    </row>
    <row r="12" spans="1:6" x14ac:dyDescent="0.35">
      <c r="A12" t="s">
        <v>6</v>
      </c>
      <c r="B12">
        <v>2014</v>
      </c>
      <c r="C12" t="s">
        <v>7</v>
      </c>
      <c r="D12">
        <v>1675.5023623274701</v>
      </c>
      <c r="E12">
        <v>1394.66701168891</v>
      </c>
      <c r="F12">
        <v>36642.055095555203</v>
      </c>
    </row>
    <row r="13" spans="1:6" x14ac:dyDescent="0.35">
      <c r="A13" t="s">
        <v>6</v>
      </c>
      <c r="B13">
        <v>2015</v>
      </c>
      <c r="C13" t="s">
        <v>7</v>
      </c>
      <c r="D13">
        <v>1788.32172084788</v>
      </c>
      <c r="E13">
        <v>1498.4150444556401</v>
      </c>
      <c r="F13">
        <v>38430.376816402997</v>
      </c>
    </row>
    <row r="14" spans="1:6" x14ac:dyDescent="0.35">
      <c r="A14" t="s">
        <v>6</v>
      </c>
      <c r="B14">
        <v>2016</v>
      </c>
      <c r="C14" t="s">
        <v>7</v>
      </c>
      <c r="D14">
        <v>1990.99449230445</v>
      </c>
      <c r="E14">
        <v>1695.21601580231</v>
      </c>
      <c r="F14">
        <v>40421.371308707501</v>
      </c>
    </row>
    <row r="15" spans="1:6" x14ac:dyDescent="0.35">
      <c r="A15" t="s">
        <v>6</v>
      </c>
      <c r="B15">
        <v>2017</v>
      </c>
      <c r="C15" t="s">
        <v>7</v>
      </c>
      <c r="D15">
        <v>2534.6684956698</v>
      </c>
      <c r="E15">
        <v>2236.6616524507999</v>
      </c>
      <c r="F15">
        <v>42956.039804377302</v>
      </c>
    </row>
    <row r="16" spans="1:6" x14ac:dyDescent="0.35">
      <c r="A16" t="s">
        <v>6</v>
      </c>
      <c r="B16">
        <v>2018</v>
      </c>
      <c r="C16" t="s">
        <v>7</v>
      </c>
      <c r="D16">
        <v>3159.4837932957098</v>
      </c>
      <c r="E16">
        <v>2859.1567201018001</v>
      </c>
      <c r="F16">
        <v>46115.523597672996</v>
      </c>
    </row>
    <row r="17" spans="1:6" x14ac:dyDescent="0.35">
      <c r="A17" t="s">
        <v>6</v>
      </c>
      <c r="B17">
        <v>2019</v>
      </c>
      <c r="C17" t="s">
        <v>7</v>
      </c>
      <c r="D17">
        <v>3215.9195979501501</v>
      </c>
      <c r="E17">
        <v>2910.96337045672</v>
      </c>
      <c r="F17">
        <v>49331.4431956232</v>
      </c>
    </row>
    <row r="18" spans="1:6" x14ac:dyDescent="0.35">
      <c r="A18" t="s">
        <v>6</v>
      </c>
      <c r="B18">
        <v>2020</v>
      </c>
      <c r="C18" t="s">
        <v>7</v>
      </c>
      <c r="D18">
        <v>3383.0120675142698</v>
      </c>
      <c r="E18">
        <v>3075.02816825317</v>
      </c>
      <c r="F18">
        <v>52714.455263137403</v>
      </c>
    </row>
    <row r="19" spans="1:6" x14ac:dyDescent="0.35">
      <c r="A19" t="s">
        <v>6</v>
      </c>
      <c r="B19">
        <v>2021</v>
      </c>
      <c r="C19" t="s">
        <v>7</v>
      </c>
      <c r="D19">
        <v>4130.0630938793201</v>
      </c>
      <c r="E19">
        <v>3820.86189806107</v>
      </c>
      <c r="F19">
        <v>56844.518357016801</v>
      </c>
    </row>
    <row r="20" spans="1:6" x14ac:dyDescent="0.35">
      <c r="A20" t="s">
        <v>6</v>
      </c>
      <c r="B20">
        <v>2022</v>
      </c>
      <c r="C20" t="s">
        <v>7</v>
      </c>
      <c r="D20">
        <v>6512.7607796020102</v>
      </c>
      <c r="E20">
        <v>6204.3605138187004</v>
      </c>
      <c r="F20">
        <v>63357.279136618803</v>
      </c>
    </row>
    <row r="21" spans="1:6" x14ac:dyDescent="0.35">
      <c r="A21" t="s">
        <v>6</v>
      </c>
      <c r="B21">
        <v>2023</v>
      </c>
      <c r="C21" t="s">
        <v>7</v>
      </c>
      <c r="D21">
        <v>8786.4794935487898</v>
      </c>
      <c r="E21">
        <v>8477.6604320666302</v>
      </c>
      <c r="F21">
        <v>72143.758630167504</v>
      </c>
    </row>
    <row r="22" spans="1:6" x14ac:dyDescent="0.35">
      <c r="A22" t="s">
        <v>6</v>
      </c>
      <c r="B22">
        <v>2015</v>
      </c>
      <c r="C22" t="s">
        <v>8</v>
      </c>
      <c r="D22">
        <v>1026.41680069431</v>
      </c>
      <c r="E22">
        <v>1498.4150444556401</v>
      </c>
      <c r="F22">
        <v>1026.41680069431</v>
      </c>
    </row>
    <row r="23" spans="1:6" x14ac:dyDescent="0.35">
      <c r="A23" t="s">
        <v>6</v>
      </c>
      <c r="B23">
        <v>2016</v>
      </c>
      <c r="C23" t="s">
        <v>8</v>
      </c>
      <c r="D23">
        <v>1632.02081591707</v>
      </c>
      <c r="E23">
        <v>1695.21601580231</v>
      </c>
      <c r="F23">
        <v>2658.4376166113798</v>
      </c>
    </row>
    <row r="24" spans="1:6" x14ac:dyDescent="0.35">
      <c r="A24" t="s">
        <v>6</v>
      </c>
      <c r="B24">
        <v>2017</v>
      </c>
      <c r="C24" t="s">
        <v>8</v>
      </c>
      <c r="D24">
        <v>2343.8243477546298</v>
      </c>
      <c r="E24">
        <v>2236.6616524507999</v>
      </c>
      <c r="F24">
        <v>5002.26196436601</v>
      </c>
    </row>
    <row r="25" spans="1:6" x14ac:dyDescent="0.35">
      <c r="A25" t="s">
        <v>6</v>
      </c>
      <c r="B25">
        <v>2018</v>
      </c>
      <c r="C25" t="s">
        <v>8</v>
      </c>
      <c r="D25">
        <v>3062.56086213973</v>
      </c>
      <c r="E25">
        <v>2859.1567201018001</v>
      </c>
      <c r="F25">
        <v>8064.8228265057396</v>
      </c>
    </row>
    <row r="26" spans="1:6" x14ac:dyDescent="0.35">
      <c r="A26" t="s">
        <v>6</v>
      </c>
      <c r="B26">
        <v>2019</v>
      </c>
      <c r="C26" t="s">
        <v>8</v>
      </c>
      <c r="D26">
        <v>3177.56181087492</v>
      </c>
      <c r="E26">
        <v>2910.96337045672</v>
      </c>
      <c r="F26">
        <v>11242.384637380699</v>
      </c>
    </row>
    <row r="27" spans="1:6" x14ac:dyDescent="0.35">
      <c r="A27" t="s">
        <v>6</v>
      </c>
      <c r="B27">
        <v>2020</v>
      </c>
      <c r="C27" t="s">
        <v>8</v>
      </c>
      <c r="D27">
        <v>3368.7814644169998</v>
      </c>
      <c r="E27">
        <v>3075.02816825317</v>
      </c>
      <c r="F27">
        <v>14611.1661017977</v>
      </c>
    </row>
    <row r="28" spans="1:6" x14ac:dyDescent="0.35">
      <c r="A28" t="s">
        <v>6</v>
      </c>
      <c r="B28">
        <v>2021</v>
      </c>
      <c r="C28" t="s">
        <v>8</v>
      </c>
      <c r="D28">
        <v>4125.3371905479398</v>
      </c>
      <c r="E28">
        <v>3820.86189806107</v>
      </c>
      <c r="F28">
        <v>18736.503292345598</v>
      </c>
    </row>
    <row r="29" spans="1:6" x14ac:dyDescent="0.35">
      <c r="A29" t="s">
        <v>6</v>
      </c>
      <c r="B29">
        <v>2022</v>
      </c>
      <c r="C29" t="s">
        <v>8</v>
      </c>
      <c r="D29">
        <v>6512.6474866614799</v>
      </c>
      <c r="E29">
        <v>6204.3605138187004</v>
      </c>
      <c r="F29">
        <v>25249.150779007101</v>
      </c>
    </row>
    <row r="30" spans="1:6" x14ac:dyDescent="0.35">
      <c r="A30" t="s">
        <v>6</v>
      </c>
      <c r="B30">
        <v>2023</v>
      </c>
      <c r="C30" t="s">
        <v>8</v>
      </c>
      <c r="D30">
        <v>8789.3758276797798</v>
      </c>
      <c r="E30">
        <v>8477.6604320666302</v>
      </c>
      <c r="F30">
        <v>34038.526606686901</v>
      </c>
    </row>
    <row r="31" spans="1:6" x14ac:dyDescent="0.35">
      <c r="A31" t="s">
        <v>9</v>
      </c>
      <c r="B31">
        <v>2019</v>
      </c>
      <c r="C31" t="s">
        <v>10</v>
      </c>
      <c r="D31">
        <v>2797.4947191748602</v>
      </c>
      <c r="E31">
        <v>2901.4121747189702</v>
      </c>
      <c r="F31">
        <v>2797.4947191748602</v>
      </c>
    </row>
    <row r="32" spans="1:6" x14ac:dyDescent="0.35">
      <c r="A32" t="s">
        <v>9</v>
      </c>
      <c r="B32">
        <v>2020</v>
      </c>
      <c r="C32" t="s">
        <v>10</v>
      </c>
      <c r="D32">
        <v>3021.6083130586198</v>
      </c>
      <c r="E32">
        <v>3159.2117240607899</v>
      </c>
      <c r="F32">
        <v>5819.10303223348</v>
      </c>
    </row>
    <row r="33" spans="1:6" x14ac:dyDescent="0.35">
      <c r="A33" t="s">
        <v>9</v>
      </c>
      <c r="B33">
        <v>2021</v>
      </c>
      <c r="C33" t="s">
        <v>10</v>
      </c>
      <c r="D33">
        <v>3514.86748582163</v>
      </c>
      <c r="E33">
        <v>3726.6114531150201</v>
      </c>
      <c r="F33">
        <v>9333.97051805511</v>
      </c>
    </row>
    <row r="34" spans="1:6" x14ac:dyDescent="0.35">
      <c r="A34" t="s">
        <v>9</v>
      </c>
      <c r="B34">
        <v>2022</v>
      </c>
      <c r="C34" t="s">
        <v>10</v>
      </c>
      <c r="D34">
        <v>5304.8496981428798</v>
      </c>
      <c r="E34">
        <v>5785.6414283587801</v>
      </c>
      <c r="F34">
        <v>14638.820216198001</v>
      </c>
    </row>
    <row r="35" spans="1:6" x14ac:dyDescent="0.35">
      <c r="A35" t="s">
        <v>9</v>
      </c>
      <c r="B35">
        <v>2023</v>
      </c>
      <c r="C35" t="s">
        <v>10</v>
      </c>
      <c r="D35">
        <v>6920.4453511704296</v>
      </c>
      <c r="E35">
        <v>7644.0732354231604</v>
      </c>
      <c r="F35">
        <v>21559.265567368398</v>
      </c>
    </row>
    <row r="36" spans="1:6" x14ac:dyDescent="0.35">
      <c r="A36" t="s">
        <v>9</v>
      </c>
      <c r="B36">
        <v>2007</v>
      </c>
      <c r="C36" t="s">
        <v>11</v>
      </c>
      <c r="D36">
        <v>450.07651665238001</v>
      </c>
      <c r="E36">
        <v>505.38158910462897</v>
      </c>
      <c r="F36">
        <v>450.07651665238001</v>
      </c>
    </row>
    <row r="37" spans="1:6" x14ac:dyDescent="0.35">
      <c r="A37" t="s">
        <v>9</v>
      </c>
      <c r="B37">
        <v>2008</v>
      </c>
      <c r="C37" t="s">
        <v>11</v>
      </c>
      <c r="D37">
        <v>1506.84050927373</v>
      </c>
      <c r="E37">
        <v>1578.0924097151601</v>
      </c>
      <c r="F37">
        <v>1956.91702592611</v>
      </c>
    </row>
    <row r="38" spans="1:6" x14ac:dyDescent="0.35">
      <c r="A38" t="s">
        <v>9</v>
      </c>
      <c r="B38">
        <v>2009</v>
      </c>
      <c r="C38" t="s">
        <v>11</v>
      </c>
      <c r="D38">
        <v>1294.2284384408999</v>
      </c>
      <c r="E38">
        <v>1109.74918790069</v>
      </c>
      <c r="F38">
        <v>3251.1454643670099</v>
      </c>
    </row>
    <row r="39" spans="1:6" x14ac:dyDescent="0.35">
      <c r="A39" t="s">
        <v>9</v>
      </c>
      <c r="B39">
        <v>2010</v>
      </c>
      <c r="C39" t="s">
        <v>11</v>
      </c>
      <c r="D39">
        <v>1182.38245974497</v>
      </c>
      <c r="E39">
        <v>917.52158257884105</v>
      </c>
      <c r="F39">
        <v>4433.5279241119897</v>
      </c>
    </row>
    <row r="40" spans="1:6" x14ac:dyDescent="0.35">
      <c r="A40" t="s">
        <v>9</v>
      </c>
      <c r="B40">
        <v>2011</v>
      </c>
      <c r="C40" t="s">
        <v>11</v>
      </c>
      <c r="D40">
        <v>1047.98540461426</v>
      </c>
      <c r="E40">
        <v>751.66776247799896</v>
      </c>
      <c r="F40">
        <v>5481.5133287262497</v>
      </c>
    </row>
    <row r="41" spans="1:6" x14ac:dyDescent="0.35">
      <c r="A41" t="s">
        <v>9</v>
      </c>
      <c r="B41">
        <v>2012</v>
      </c>
      <c r="C41" t="s">
        <v>11</v>
      </c>
      <c r="D41">
        <v>923.86511142651204</v>
      </c>
      <c r="E41">
        <v>615.289875837708</v>
      </c>
      <c r="F41">
        <v>6405.37844015276</v>
      </c>
    </row>
    <row r="42" spans="1:6" x14ac:dyDescent="0.35">
      <c r="A42" t="s">
        <v>9</v>
      </c>
      <c r="B42">
        <v>2013</v>
      </c>
      <c r="C42" t="s">
        <v>11</v>
      </c>
      <c r="D42">
        <v>739.29050505400301</v>
      </c>
      <c r="E42">
        <v>425.60319598448501</v>
      </c>
      <c r="F42">
        <v>7144.6689452067603</v>
      </c>
    </row>
    <row r="43" spans="1:6" x14ac:dyDescent="0.35">
      <c r="A43" t="s">
        <v>9</v>
      </c>
      <c r="B43">
        <v>2014</v>
      </c>
      <c r="C43" t="s">
        <v>11</v>
      </c>
      <c r="D43">
        <v>522.98309566431601</v>
      </c>
      <c r="E43">
        <v>207.335786771107</v>
      </c>
      <c r="F43">
        <v>7667.6520408710803</v>
      </c>
    </row>
    <row r="44" spans="1:6" x14ac:dyDescent="0.35">
      <c r="A44" t="s">
        <v>9</v>
      </c>
      <c r="B44">
        <v>2015</v>
      </c>
      <c r="C44" t="s">
        <v>11</v>
      </c>
      <c r="D44">
        <v>360.95899470884802</v>
      </c>
      <c r="E44">
        <v>44.678903013048597</v>
      </c>
      <c r="F44">
        <v>8028.6110355799301</v>
      </c>
    </row>
    <row r="45" spans="1:6" x14ac:dyDescent="0.35">
      <c r="A45" t="s">
        <v>9</v>
      </c>
      <c r="B45">
        <v>2016</v>
      </c>
      <c r="C45" t="s">
        <v>11</v>
      </c>
      <c r="D45">
        <v>268.25641956155602</v>
      </c>
      <c r="E45">
        <v>-48.214154182722702</v>
      </c>
      <c r="F45">
        <v>8296.8674551414806</v>
      </c>
    </row>
    <row r="46" spans="1:6" x14ac:dyDescent="0.35">
      <c r="A46" t="s">
        <v>9</v>
      </c>
      <c r="B46">
        <v>2017</v>
      </c>
      <c r="C46" t="s">
        <v>11</v>
      </c>
      <c r="D46">
        <v>334.55129122082502</v>
      </c>
      <c r="E46">
        <v>18.0386877671347</v>
      </c>
      <c r="F46">
        <v>8631.4187463623093</v>
      </c>
    </row>
    <row r="47" spans="1:6" x14ac:dyDescent="0.35">
      <c r="A47" t="s">
        <v>9</v>
      </c>
      <c r="B47">
        <v>2018</v>
      </c>
      <c r="C47" t="s">
        <v>11</v>
      </c>
      <c r="D47">
        <v>399.71822459612201</v>
      </c>
      <c r="E47">
        <v>83.180626321118297</v>
      </c>
      <c r="F47">
        <v>9031.1369709584305</v>
      </c>
    </row>
    <row r="48" spans="1:6" x14ac:dyDescent="0.35">
      <c r="A48" t="s">
        <v>9</v>
      </c>
      <c r="B48">
        <v>2019</v>
      </c>
      <c r="C48" t="s">
        <v>11</v>
      </c>
      <c r="D48">
        <v>3217.8720920822002</v>
      </c>
      <c r="E48">
        <v>2901.4121747189702</v>
      </c>
      <c r="F48">
        <v>12249.009063040599</v>
      </c>
    </row>
    <row r="49" spans="1:6" x14ac:dyDescent="0.35">
      <c r="A49" t="s">
        <v>9</v>
      </c>
      <c r="B49">
        <v>2020</v>
      </c>
      <c r="C49" t="s">
        <v>11</v>
      </c>
      <c r="D49">
        <v>3475.7263957328701</v>
      </c>
      <c r="E49">
        <v>3159.2117240607899</v>
      </c>
      <c r="F49">
        <v>15724.735458773501</v>
      </c>
    </row>
    <row r="50" spans="1:6" x14ac:dyDescent="0.35">
      <c r="A50" t="s">
        <v>9</v>
      </c>
      <c r="B50">
        <v>2021</v>
      </c>
      <c r="C50" t="s">
        <v>11</v>
      </c>
      <c r="D50">
        <v>4043.1509135829301</v>
      </c>
      <c r="E50">
        <v>3726.6114531150201</v>
      </c>
      <c r="F50">
        <v>19767.886372356399</v>
      </c>
    </row>
    <row r="51" spans="1:6" x14ac:dyDescent="0.35">
      <c r="A51" t="s">
        <v>9</v>
      </c>
      <c r="B51">
        <v>2022</v>
      </c>
      <c r="C51" t="s">
        <v>11</v>
      </c>
      <c r="D51">
        <v>6102.1896235208796</v>
      </c>
      <c r="E51">
        <v>5785.6414283587801</v>
      </c>
      <c r="F51">
        <v>25870.075995877301</v>
      </c>
    </row>
    <row r="52" spans="1:6" x14ac:dyDescent="0.35">
      <c r="A52" t="s">
        <v>9</v>
      </c>
      <c r="B52">
        <v>2023</v>
      </c>
      <c r="C52" t="s">
        <v>11</v>
      </c>
      <c r="D52">
        <v>7960.6291365352899</v>
      </c>
      <c r="E52">
        <v>7644.0732354231604</v>
      </c>
      <c r="F52">
        <v>33830.705132412601</v>
      </c>
    </row>
    <row r="53" spans="1:6" x14ac:dyDescent="0.35">
      <c r="A53" t="s">
        <v>9</v>
      </c>
      <c r="B53">
        <v>2017</v>
      </c>
      <c r="C53" t="s">
        <v>12</v>
      </c>
      <c r="D53">
        <v>119.807260456202</v>
      </c>
      <c r="E53">
        <v>18.0386877671347</v>
      </c>
      <c r="F53">
        <v>119.807260456202</v>
      </c>
    </row>
    <row r="54" spans="1:6" x14ac:dyDescent="0.35">
      <c r="A54" t="s">
        <v>9</v>
      </c>
      <c r="B54">
        <v>2018</v>
      </c>
      <c r="C54" t="s">
        <v>12</v>
      </c>
      <c r="D54">
        <v>235.01430672639501</v>
      </c>
      <c r="E54">
        <v>83.180626321118297</v>
      </c>
      <c r="F54">
        <v>354.82156718259699</v>
      </c>
    </row>
    <row r="55" spans="1:6" x14ac:dyDescent="0.35">
      <c r="A55" t="s">
        <v>9</v>
      </c>
      <c r="B55">
        <v>2019</v>
      </c>
      <c r="C55" t="s">
        <v>12</v>
      </c>
      <c r="D55">
        <v>2366.6910718154099</v>
      </c>
      <c r="E55">
        <v>2901.4121747189702</v>
      </c>
      <c r="F55">
        <v>2721.5126389980101</v>
      </c>
    </row>
    <row r="56" spans="1:6" x14ac:dyDescent="0.35">
      <c r="A56" t="s">
        <v>9</v>
      </c>
      <c r="B56">
        <v>2020</v>
      </c>
      <c r="C56" t="s">
        <v>12</v>
      </c>
      <c r="D56">
        <v>2885.51888711929</v>
      </c>
      <c r="E56">
        <v>3159.2117240607899</v>
      </c>
      <c r="F56">
        <v>5607.0315261173</v>
      </c>
    </row>
    <row r="57" spans="1:6" x14ac:dyDescent="0.35">
      <c r="A57" t="s">
        <v>9</v>
      </c>
      <c r="B57">
        <v>2021</v>
      </c>
      <c r="C57" t="s">
        <v>12</v>
      </c>
      <c r="D57">
        <v>3602.4086826436201</v>
      </c>
      <c r="E57">
        <v>3726.6114531150201</v>
      </c>
      <c r="F57">
        <v>9209.4402087609196</v>
      </c>
    </row>
    <row r="58" spans="1:6" x14ac:dyDescent="0.35">
      <c r="A58" t="s">
        <v>9</v>
      </c>
      <c r="B58">
        <v>2022</v>
      </c>
      <c r="C58" t="s">
        <v>12</v>
      </c>
      <c r="D58">
        <v>5675.1633638396997</v>
      </c>
      <c r="E58">
        <v>5785.6414283587801</v>
      </c>
      <c r="F58">
        <v>14884.603572600599</v>
      </c>
    </row>
    <row r="59" spans="1:6" x14ac:dyDescent="0.35">
      <c r="A59" t="s">
        <v>9</v>
      </c>
      <c r="B59">
        <v>2023</v>
      </c>
      <c r="C59" t="s">
        <v>12</v>
      </c>
      <c r="D59">
        <v>7603.0114686225197</v>
      </c>
      <c r="E59">
        <v>7644.0732354231604</v>
      </c>
      <c r="F59">
        <v>22487.6150412231</v>
      </c>
    </row>
    <row r="60" spans="1:6" x14ac:dyDescent="0.35">
      <c r="A60" t="s">
        <v>13</v>
      </c>
      <c r="B60">
        <v>2010</v>
      </c>
      <c r="C60" t="s">
        <v>14</v>
      </c>
      <c r="D60">
        <v>782.69045717732001</v>
      </c>
      <c r="E60">
        <v>893.37929361362103</v>
      </c>
      <c r="F60">
        <v>782.69045717732001</v>
      </c>
    </row>
    <row r="61" spans="1:6" x14ac:dyDescent="0.35">
      <c r="A61" t="s">
        <v>13</v>
      </c>
      <c r="B61">
        <v>2011</v>
      </c>
      <c r="C61" t="s">
        <v>14</v>
      </c>
      <c r="D61">
        <v>878.98815565304301</v>
      </c>
      <c r="E61">
        <v>1042.2440744293001</v>
      </c>
      <c r="F61">
        <v>1661.67861283036</v>
      </c>
    </row>
    <row r="62" spans="1:6" x14ac:dyDescent="0.35">
      <c r="A62" t="s">
        <v>13</v>
      </c>
      <c r="B62">
        <v>2012</v>
      </c>
      <c r="C62" t="s">
        <v>14</v>
      </c>
      <c r="D62">
        <v>959.36656542466403</v>
      </c>
      <c r="E62">
        <v>1166.4995295685601</v>
      </c>
      <c r="F62">
        <v>2621.0451782550299</v>
      </c>
    </row>
    <row r="63" spans="1:6" x14ac:dyDescent="0.35">
      <c r="A63" t="s">
        <v>13</v>
      </c>
      <c r="B63">
        <v>2013</v>
      </c>
      <c r="C63" t="s">
        <v>14</v>
      </c>
      <c r="D63">
        <v>1070.0171782912701</v>
      </c>
      <c r="E63">
        <v>1337.5522077970099</v>
      </c>
      <c r="F63">
        <v>3691.0623565463002</v>
      </c>
    </row>
    <row r="64" spans="1:6" x14ac:dyDescent="0.35">
      <c r="A64" t="s">
        <v>13</v>
      </c>
      <c r="B64">
        <v>2014</v>
      </c>
      <c r="C64" t="s">
        <v>14</v>
      </c>
      <c r="D64">
        <v>1100.5969904902599</v>
      </c>
      <c r="E64">
        <v>1384.8249579503699</v>
      </c>
      <c r="F64">
        <v>4791.6593470365597</v>
      </c>
    </row>
    <row r="65" spans="1:6" x14ac:dyDescent="0.35">
      <c r="A65" t="s">
        <v>13</v>
      </c>
      <c r="B65">
        <v>2015</v>
      </c>
      <c r="C65" t="s">
        <v>14</v>
      </c>
      <c r="D65">
        <v>1001.46718888867</v>
      </c>
      <c r="E65">
        <v>1231.5820827694899</v>
      </c>
      <c r="F65">
        <v>5793.1265359252302</v>
      </c>
    </row>
    <row r="66" spans="1:6" x14ac:dyDescent="0.35">
      <c r="A66" t="s">
        <v>13</v>
      </c>
      <c r="B66">
        <v>2016</v>
      </c>
      <c r="C66" t="s">
        <v>14</v>
      </c>
      <c r="D66">
        <v>988.65755885481803</v>
      </c>
      <c r="E66">
        <v>1211.77991929618</v>
      </c>
      <c r="F66">
        <v>6781.7840947800496</v>
      </c>
    </row>
    <row r="67" spans="1:6" x14ac:dyDescent="0.35">
      <c r="A67" t="s">
        <v>13</v>
      </c>
      <c r="B67">
        <v>2017</v>
      </c>
      <c r="C67" t="s">
        <v>14</v>
      </c>
      <c r="D67">
        <v>1094.97346562335</v>
      </c>
      <c r="E67">
        <v>1376.1316577991199</v>
      </c>
      <c r="F67">
        <v>7876.7575604034</v>
      </c>
    </row>
    <row r="68" spans="1:6" x14ac:dyDescent="0.35">
      <c r="A68" t="s">
        <v>13</v>
      </c>
      <c r="B68">
        <v>2018</v>
      </c>
      <c r="C68" t="s">
        <v>14</v>
      </c>
      <c r="D68">
        <v>1160.02541730658</v>
      </c>
      <c r="E68">
        <v>1476.6942328371699</v>
      </c>
      <c r="F68">
        <v>9036.7829777099705</v>
      </c>
    </row>
    <row r="69" spans="1:6" x14ac:dyDescent="0.35">
      <c r="A69" t="s">
        <v>13</v>
      </c>
      <c r="B69">
        <v>2019</v>
      </c>
      <c r="C69" t="s">
        <v>14</v>
      </c>
      <c r="D69">
        <v>1028.18433296013</v>
      </c>
      <c r="E69">
        <v>1272.8836077194501</v>
      </c>
      <c r="F69">
        <v>10064.967310670099</v>
      </c>
    </row>
    <row r="70" spans="1:6" x14ac:dyDescent="0.35">
      <c r="A70" t="s">
        <v>13</v>
      </c>
      <c r="B70">
        <v>2020</v>
      </c>
      <c r="C70" t="s">
        <v>14</v>
      </c>
      <c r="D70">
        <v>972.756991456116</v>
      </c>
      <c r="E70">
        <v>1187.1995345297801</v>
      </c>
      <c r="F70">
        <v>11037.7243021262</v>
      </c>
    </row>
    <row r="71" spans="1:6" x14ac:dyDescent="0.35">
      <c r="A71" t="s">
        <v>13</v>
      </c>
      <c r="B71">
        <v>2021</v>
      </c>
      <c r="C71" t="s">
        <v>14</v>
      </c>
      <c r="D71">
        <v>1022.9468877130799</v>
      </c>
      <c r="E71">
        <v>1264.7871407105999</v>
      </c>
      <c r="F71">
        <v>12060.6711898393</v>
      </c>
    </row>
    <row r="72" spans="1:6" x14ac:dyDescent="0.35">
      <c r="A72" t="s">
        <v>13</v>
      </c>
      <c r="B72">
        <v>2022</v>
      </c>
      <c r="C72" t="s">
        <v>14</v>
      </c>
      <c r="D72">
        <v>1351.3551100023601</v>
      </c>
      <c r="E72">
        <v>1772.4671663291299</v>
      </c>
      <c r="F72">
        <v>13412.0262998417</v>
      </c>
    </row>
    <row r="73" spans="1:6" x14ac:dyDescent="0.35">
      <c r="A73" t="s">
        <v>13</v>
      </c>
      <c r="B73">
        <v>2023</v>
      </c>
      <c r="C73" t="s">
        <v>14</v>
      </c>
      <c r="D73">
        <v>0.67621345709967695</v>
      </c>
      <c r="E73">
        <v>-315.52165447597503</v>
      </c>
      <c r="F73">
        <v>13412.7025132988</v>
      </c>
    </row>
    <row r="74" spans="1:6" x14ac:dyDescent="0.35">
      <c r="A74" t="s">
        <v>15</v>
      </c>
      <c r="B74">
        <v>2010</v>
      </c>
      <c r="C74" t="s">
        <v>16</v>
      </c>
      <c r="D74">
        <v>161.99416498676001</v>
      </c>
      <c r="E74">
        <v>236.264347254429</v>
      </c>
      <c r="F74">
        <v>161.99416498676001</v>
      </c>
    </row>
    <row r="75" spans="1:6" x14ac:dyDescent="0.35">
      <c r="A75" t="s">
        <v>15</v>
      </c>
      <c r="B75">
        <v>2011</v>
      </c>
      <c r="C75" t="s">
        <v>16</v>
      </c>
      <c r="D75">
        <v>420.00269785199401</v>
      </c>
      <c r="E75">
        <v>523.12218252722403</v>
      </c>
      <c r="F75">
        <v>581.99686283875405</v>
      </c>
    </row>
    <row r="76" spans="1:6" x14ac:dyDescent="0.35">
      <c r="A76" t="s">
        <v>15</v>
      </c>
      <c r="B76">
        <v>2012</v>
      </c>
      <c r="C76" t="s">
        <v>16</v>
      </c>
      <c r="D76">
        <v>795.54715401111196</v>
      </c>
      <c r="E76">
        <v>913.69929677275297</v>
      </c>
      <c r="F76">
        <v>1377.5440168498701</v>
      </c>
    </row>
    <row r="77" spans="1:6" x14ac:dyDescent="0.35">
      <c r="A77" t="s">
        <v>15</v>
      </c>
      <c r="B77">
        <v>2013</v>
      </c>
      <c r="C77" t="s">
        <v>16</v>
      </c>
      <c r="D77">
        <v>1542.8570181350201</v>
      </c>
      <c r="E77">
        <v>1740.05946020035</v>
      </c>
      <c r="F77">
        <v>2920.40103498489</v>
      </c>
    </row>
    <row r="78" spans="1:6" x14ac:dyDescent="0.35">
      <c r="A78" t="s">
        <v>15</v>
      </c>
      <c r="B78">
        <v>2014</v>
      </c>
      <c r="C78" t="s">
        <v>16</v>
      </c>
      <c r="D78">
        <v>2618.6722451472501</v>
      </c>
      <c r="E78">
        <v>2863.7889002341999</v>
      </c>
      <c r="F78">
        <v>5539.0732801321401</v>
      </c>
    </row>
    <row r="79" spans="1:6" x14ac:dyDescent="0.35">
      <c r="A79" t="s">
        <v>15</v>
      </c>
      <c r="B79">
        <v>2015</v>
      </c>
      <c r="C79" t="s">
        <v>16</v>
      </c>
      <c r="D79">
        <v>3892.13424773214</v>
      </c>
      <c r="E79">
        <v>4130.8689113512501</v>
      </c>
      <c r="F79">
        <v>9431.2075278642806</v>
      </c>
    </row>
    <row r="80" spans="1:6" x14ac:dyDescent="0.35">
      <c r="A80" t="s">
        <v>15</v>
      </c>
      <c r="B80">
        <v>2016</v>
      </c>
      <c r="C80" t="s">
        <v>16</v>
      </c>
      <c r="D80">
        <v>2023.80610949226</v>
      </c>
      <c r="E80">
        <v>1903.18043990258</v>
      </c>
      <c r="F80">
        <v>11455.0136373565</v>
      </c>
    </row>
    <row r="81" spans="1:6" x14ac:dyDescent="0.35">
      <c r="A81" t="s">
        <v>15</v>
      </c>
      <c r="B81">
        <v>2017</v>
      </c>
      <c r="C81" t="s">
        <v>16</v>
      </c>
      <c r="D81">
        <v>1119.8701265095599</v>
      </c>
      <c r="E81">
        <v>877.84125746365498</v>
      </c>
      <c r="F81">
        <v>12574.883763866101</v>
      </c>
    </row>
    <row r="82" spans="1:6" x14ac:dyDescent="0.35">
      <c r="A82" t="s">
        <v>15</v>
      </c>
      <c r="B82">
        <v>2018</v>
      </c>
      <c r="C82" t="s">
        <v>16</v>
      </c>
      <c r="D82">
        <v>646.82364377574095</v>
      </c>
      <c r="E82">
        <v>360.11123448526598</v>
      </c>
      <c r="F82">
        <v>13221.707407641799</v>
      </c>
    </row>
    <row r="83" spans="1:6" x14ac:dyDescent="0.35">
      <c r="A83" t="s">
        <v>15</v>
      </c>
      <c r="B83">
        <v>2019</v>
      </c>
      <c r="C83" t="s">
        <v>16</v>
      </c>
      <c r="D83">
        <v>684.72035432806001</v>
      </c>
      <c r="E83">
        <v>390.19821159599798</v>
      </c>
      <c r="F83">
        <v>13906.427761969901</v>
      </c>
    </row>
    <row r="84" spans="1:6" x14ac:dyDescent="0.35">
      <c r="A84" t="s">
        <v>15</v>
      </c>
      <c r="B84">
        <v>2020</v>
      </c>
      <c r="C84" t="s">
        <v>16</v>
      </c>
      <c r="D84">
        <v>687.40137289728204</v>
      </c>
      <c r="E84">
        <v>386.33430110656798</v>
      </c>
      <c r="F84">
        <v>14593.829134867199</v>
      </c>
    </row>
    <row r="85" spans="1:6" x14ac:dyDescent="0.35">
      <c r="A85" t="s">
        <v>15</v>
      </c>
      <c r="B85">
        <v>2021</v>
      </c>
      <c r="C85" t="s">
        <v>16</v>
      </c>
      <c r="D85">
        <v>848.47505356049703</v>
      </c>
      <c r="E85">
        <v>545.34502807649096</v>
      </c>
      <c r="F85">
        <v>15442.304188427701</v>
      </c>
    </row>
    <row r="86" spans="1:6" x14ac:dyDescent="0.35">
      <c r="A86" t="s">
        <v>15</v>
      </c>
      <c r="B86">
        <v>2022</v>
      </c>
      <c r="C86" t="s">
        <v>16</v>
      </c>
      <c r="D86">
        <v>1177.6621458301699</v>
      </c>
      <c r="E86">
        <v>874.21943050110895</v>
      </c>
      <c r="F86">
        <v>16619.966334257901</v>
      </c>
    </row>
    <row r="87" spans="1:6" x14ac:dyDescent="0.35">
      <c r="A87" t="s">
        <v>15</v>
      </c>
      <c r="B87">
        <v>2023</v>
      </c>
      <c r="C87" t="s">
        <v>16</v>
      </c>
      <c r="D87">
        <v>1504.3372642715899</v>
      </c>
      <c r="E87">
        <v>1199.5840050075899</v>
      </c>
      <c r="F87">
        <v>18124.303598529401</v>
      </c>
    </row>
    <row r="88" spans="1:6" x14ac:dyDescent="0.35">
      <c r="A88" t="s">
        <v>15</v>
      </c>
      <c r="B88">
        <v>2019</v>
      </c>
      <c r="C88" t="s">
        <v>17</v>
      </c>
      <c r="D88">
        <v>378.85149555079801</v>
      </c>
      <c r="E88">
        <v>390.19821159599798</v>
      </c>
      <c r="F88">
        <v>378.85149555079801</v>
      </c>
    </row>
    <row r="89" spans="1:6" x14ac:dyDescent="0.35">
      <c r="A89" t="s">
        <v>15</v>
      </c>
      <c r="B89">
        <v>2020</v>
      </c>
      <c r="C89" t="s">
        <v>17</v>
      </c>
      <c r="D89">
        <v>551.59285061039998</v>
      </c>
      <c r="E89">
        <v>386.33430110656798</v>
      </c>
      <c r="F89">
        <v>930.44434616119804</v>
      </c>
    </row>
    <row r="90" spans="1:6" x14ac:dyDescent="0.35">
      <c r="A90" t="s">
        <v>15</v>
      </c>
      <c r="B90">
        <v>2021</v>
      </c>
      <c r="C90" t="s">
        <v>17</v>
      </c>
      <c r="D90">
        <v>775.82926543885401</v>
      </c>
      <c r="E90">
        <v>545.34502807649096</v>
      </c>
      <c r="F90">
        <v>1706.2736116000499</v>
      </c>
    </row>
    <row r="91" spans="1:6" x14ac:dyDescent="0.35">
      <c r="A91" t="s">
        <v>15</v>
      </c>
      <c r="B91">
        <v>2022</v>
      </c>
      <c r="C91" t="s">
        <v>17</v>
      </c>
      <c r="D91">
        <v>1135.6077195914099</v>
      </c>
      <c r="E91">
        <v>874.21943050110895</v>
      </c>
      <c r="F91">
        <v>2841.88133119146</v>
      </c>
    </row>
    <row r="92" spans="1:6" x14ac:dyDescent="0.35">
      <c r="A92" t="s">
        <v>15</v>
      </c>
      <c r="B92">
        <v>2023</v>
      </c>
      <c r="C92" t="s">
        <v>17</v>
      </c>
      <c r="D92">
        <v>1483.5549869568799</v>
      </c>
      <c r="E92">
        <v>1199.5840050075899</v>
      </c>
      <c r="F92">
        <v>4325.4363181483404</v>
      </c>
    </row>
    <row r="93" spans="1:6" x14ac:dyDescent="0.35">
      <c r="A93" t="s">
        <v>18</v>
      </c>
      <c r="B93">
        <v>2016</v>
      </c>
      <c r="C93" t="s">
        <v>19</v>
      </c>
      <c r="D93">
        <v>192.86659008675201</v>
      </c>
      <c r="E93">
        <v>6.7729083119212996</v>
      </c>
      <c r="F93">
        <v>192.86659008675201</v>
      </c>
    </row>
    <row r="94" spans="1:6" x14ac:dyDescent="0.35">
      <c r="A94" t="s">
        <v>18</v>
      </c>
      <c r="B94">
        <v>2017</v>
      </c>
      <c r="C94" t="s">
        <v>19</v>
      </c>
      <c r="D94">
        <v>339.87485133682702</v>
      </c>
      <c r="E94">
        <v>89.411935742487699</v>
      </c>
      <c r="F94">
        <v>532.74144142357898</v>
      </c>
    </row>
    <row r="95" spans="1:6" x14ac:dyDescent="0.35">
      <c r="A95" t="s">
        <v>18</v>
      </c>
      <c r="B95">
        <v>2018</v>
      </c>
      <c r="C95" t="s">
        <v>19</v>
      </c>
      <c r="D95">
        <v>478.727298077147</v>
      </c>
      <c r="E95">
        <v>195.826224391653</v>
      </c>
      <c r="F95">
        <v>1011.46873950073</v>
      </c>
    </row>
    <row r="96" spans="1:6" x14ac:dyDescent="0.35">
      <c r="A96" t="s">
        <v>18</v>
      </c>
      <c r="B96">
        <v>2019</v>
      </c>
      <c r="C96" t="s">
        <v>19</v>
      </c>
      <c r="D96">
        <v>584.49726544381201</v>
      </c>
      <c r="E96">
        <v>283.848747842497</v>
      </c>
      <c r="F96">
        <v>1595.9660049445399</v>
      </c>
    </row>
    <row r="97" spans="1:6" x14ac:dyDescent="0.35">
      <c r="A97" t="s">
        <v>18</v>
      </c>
      <c r="B97">
        <v>2020</v>
      </c>
      <c r="C97" t="s">
        <v>19</v>
      </c>
      <c r="D97">
        <v>673.97483972533598</v>
      </c>
      <c r="E97">
        <v>364.69615049476499</v>
      </c>
      <c r="F97">
        <v>2269.9408446698699</v>
      </c>
    </row>
    <row r="98" spans="1:6" x14ac:dyDescent="0.35">
      <c r="A98" t="s">
        <v>18</v>
      </c>
      <c r="B98">
        <v>2021</v>
      </c>
      <c r="C98" t="s">
        <v>19</v>
      </c>
      <c r="D98">
        <v>867.90237938311896</v>
      </c>
      <c r="E98">
        <v>555.09829200880495</v>
      </c>
      <c r="F98">
        <v>3137.8432240529901</v>
      </c>
    </row>
    <row r="99" spans="1:6" x14ac:dyDescent="0.35">
      <c r="A99" t="s">
        <v>18</v>
      </c>
      <c r="B99">
        <v>2022</v>
      </c>
      <c r="C99" t="s">
        <v>19</v>
      </c>
      <c r="D99">
        <v>1498.56471781958</v>
      </c>
      <c r="E99">
        <v>1184.6127043824299</v>
      </c>
      <c r="F99">
        <v>4636.4079418725696</v>
      </c>
    </row>
    <row r="100" spans="1:6" x14ac:dyDescent="0.35">
      <c r="A100" t="s">
        <v>18</v>
      </c>
      <c r="B100">
        <v>2023</v>
      </c>
      <c r="C100" t="s">
        <v>19</v>
      </c>
      <c r="D100">
        <v>2072.3772951625001</v>
      </c>
      <c r="E100">
        <v>1757.2680126927301</v>
      </c>
      <c r="F100">
        <v>6708.7852370350702</v>
      </c>
    </row>
    <row r="101" spans="1:6" x14ac:dyDescent="0.35">
      <c r="A101" t="s">
        <v>20</v>
      </c>
      <c r="B101">
        <v>2008</v>
      </c>
      <c r="C101" t="s">
        <v>21</v>
      </c>
      <c r="D101">
        <v>376.15446556528701</v>
      </c>
      <c r="E101">
        <v>427.67105139139102</v>
      </c>
      <c r="F101">
        <v>376.15446556528701</v>
      </c>
    </row>
    <row r="102" spans="1:6" x14ac:dyDescent="0.35">
      <c r="A102" t="s">
        <v>20</v>
      </c>
      <c r="B102">
        <v>2009</v>
      </c>
      <c r="C102" t="s">
        <v>21</v>
      </c>
      <c r="D102">
        <v>1155.91449053376</v>
      </c>
      <c r="E102">
        <v>1213.64936586211</v>
      </c>
      <c r="F102">
        <v>1532.06895609905</v>
      </c>
    </row>
    <row r="103" spans="1:6" x14ac:dyDescent="0.35">
      <c r="A103" t="s">
        <v>20</v>
      </c>
      <c r="B103">
        <v>2010</v>
      </c>
      <c r="C103" t="s">
        <v>21</v>
      </c>
      <c r="D103">
        <v>3074.1378695045701</v>
      </c>
      <c r="E103">
        <v>3180.6552293045902</v>
      </c>
      <c r="F103">
        <v>4606.20682560362</v>
      </c>
    </row>
    <row r="104" spans="1:6" x14ac:dyDescent="0.35">
      <c r="A104" t="s">
        <v>20</v>
      </c>
      <c r="B104">
        <v>2011</v>
      </c>
      <c r="C104" t="s">
        <v>21</v>
      </c>
      <c r="D104">
        <v>7933.46016612313</v>
      </c>
      <c r="E104">
        <v>8121.7820475358303</v>
      </c>
      <c r="F104">
        <v>12539.666991726701</v>
      </c>
    </row>
    <row r="105" spans="1:6" x14ac:dyDescent="0.35">
      <c r="A105" t="s">
        <v>20</v>
      </c>
      <c r="B105">
        <v>2012</v>
      </c>
      <c r="C105" t="s">
        <v>21</v>
      </c>
      <c r="D105">
        <v>3614.2791556666498</v>
      </c>
      <c r="E105">
        <v>3407.92702320327</v>
      </c>
      <c r="F105">
        <v>16153.946147393401</v>
      </c>
    </row>
    <row r="106" spans="1:6" x14ac:dyDescent="0.35">
      <c r="A106" t="s">
        <v>20</v>
      </c>
      <c r="B106">
        <v>2013</v>
      </c>
      <c r="C106" t="s">
        <v>21</v>
      </c>
      <c r="D106">
        <v>1492.5036304943701</v>
      </c>
      <c r="E106">
        <v>1198.10460252504</v>
      </c>
      <c r="F106">
        <v>17646.449777887799</v>
      </c>
    </row>
    <row r="107" spans="1:6" x14ac:dyDescent="0.35">
      <c r="A107" t="s">
        <v>20</v>
      </c>
      <c r="B107">
        <v>2014</v>
      </c>
      <c r="C107" t="s">
        <v>21</v>
      </c>
      <c r="D107">
        <v>561.16802281725995</v>
      </c>
      <c r="E107">
        <v>248.69259298400499</v>
      </c>
      <c r="F107">
        <v>18207.617800705</v>
      </c>
    </row>
    <row r="108" spans="1:6" x14ac:dyDescent="0.35">
      <c r="A108" t="s">
        <v>20</v>
      </c>
      <c r="B108">
        <v>2015</v>
      </c>
      <c r="C108" t="s">
        <v>21</v>
      </c>
      <c r="D108">
        <v>595.83703495414602</v>
      </c>
      <c r="E108">
        <v>281.410763878029</v>
      </c>
      <c r="F108">
        <v>18803.454835659199</v>
      </c>
    </row>
    <row r="109" spans="1:6" x14ac:dyDescent="0.35">
      <c r="A109" t="s">
        <v>20</v>
      </c>
      <c r="B109">
        <v>2016</v>
      </c>
      <c r="C109" t="s">
        <v>21</v>
      </c>
      <c r="D109">
        <v>700.38535400787896</v>
      </c>
      <c r="E109">
        <v>385.06062946503198</v>
      </c>
      <c r="F109">
        <v>19503.840189667098</v>
      </c>
    </row>
    <row r="110" spans="1:6" x14ac:dyDescent="0.35">
      <c r="A110" t="s">
        <v>20</v>
      </c>
      <c r="B110">
        <v>2017</v>
      </c>
      <c r="C110" t="s">
        <v>21</v>
      </c>
      <c r="D110">
        <v>911.72458547760596</v>
      </c>
      <c r="E110">
        <v>595.95666488470204</v>
      </c>
      <c r="F110">
        <v>20415.5647751447</v>
      </c>
    </row>
    <row r="111" spans="1:6" x14ac:dyDescent="0.35">
      <c r="A111" t="s">
        <v>20</v>
      </c>
      <c r="B111">
        <v>2018</v>
      </c>
      <c r="C111" t="s">
        <v>21</v>
      </c>
      <c r="D111">
        <v>1168.46540710152</v>
      </c>
      <c r="E111">
        <v>852.40467964223603</v>
      </c>
      <c r="F111">
        <v>21584.030182246199</v>
      </c>
    </row>
    <row r="112" spans="1:6" x14ac:dyDescent="0.35">
      <c r="A112" t="s">
        <v>20</v>
      </c>
      <c r="B112">
        <v>2019</v>
      </c>
      <c r="C112" t="s">
        <v>21</v>
      </c>
      <c r="D112">
        <v>1285.42303081359</v>
      </c>
      <c r="E112">
        <v>969.13142456050105</v>
      </c>
      <c r="F112">
        <v>22869.453213059802</v>
      </c>
    </row>
    <row r="113" spans="1:6" x14ac:dyDescent="0.35">
      <c r="A113" t="s">
        <v>20</v>
      </c>
      <c r="B113">
        <v>2020</v>
      </c>
      <c r="C113" t="s">
        <v>21</v>
      </c>
      <c r="D113">
        <v>1348.15893147419</v>
      </c>
      <c r="E113">
        <v>1031.7347671346199</v>
      </c>
      <c r="F113">
        <v>24217.612144534</v>
      </c>
    </row>
    <row r="114" spans="1:6" x14ac:dyDescent="0.35">
      <c r="A114" t="s">
        <v>20</v>
      </c>
      <c r="B114">
        <v>2021</v>
      </c>
      <c r="C114" t="s">
        <v>21</v>
      </c>
      <c r="D114">
        <v>1524.13939324334</v>
      </c>
      <c r="E114">
        <v>1207.6522536591301</v>
      </c>
      <c r="F114">
        <v>25741.751537777302</v>
      </c>
    </row>
    <row r="115" spans="1:6" x14ac:dyDescent="0.35">
      <c r="A115" t="s">
        <v>20</v>
      </c>
      <c r="B115">
        <v>2022</v>
      </c>
      <c r="C115" t="s">
        <v>21</v>
      </c>
      <c r="D115">
        <v>2303.80174458995</v>
      </c>
      <c r="E115">
        <v>1987.29444469026</v>
      </c>
      <c r="F115">
        <v>28045.553282367298</v>
      </c>
    </row>
    <row r="116" spans="1:6" x14ac:dyDescent="0.35">
      <c r="A116" t="s">
        <v>20</v>
      </c>
      <c r="B116">
        <v>2023</v>
      </c>
      <c r="C116" t="s">
        <v>21</v>
      </c>
      <c r="D116">
        <v>2927.0878618677698</v>
      </c>
      <c r="E116">
        <v>2610.55837597444</v>
      </c>
      <c r="F116">
        <v>30972.641144235</v>
      </c>
    </row>
    <row r="117" spans="1:6" x14ac:dyDescent="0.35">
      <c r="A117" t="s">
        <v>20</v>
      </c>
      <c r="B117">
        <v>2015</v>
      </c>
      <c r="C117" t="s">
        <v>22</v>
      </c>
      <c r="D117">
        <v>401.758643533346</v>
      </c>
      <c r="E117">
        <v>281.410763878029</v>
      </c>
      <c r="F117">
        <v>401.758643533346</v>
      </c>
    </row>
    <row r="118" spans="1:6" x14ac:dyDescent="0.35">
      <c r="A118" t="s">
        <v>20</v>
      </c>
      <c r="B118">
        <v>2016</v>
      </c>
      <c r="C118" t="s">
        <v>22</v>
      </c>
      <c r="D118">
        <v>626.08027476893994</v>
      </c>
      <c r="E118">
        <v>385.06062946503198</v>
      </c>
      <c r="F118">
        <v>1027.83891830229</v>
      </c>
    </row>
    <row r="119" spans="1:6" x14ac:dyDescent="0.35">
      <c r="A119" t="s">
        <v>20</v>
      </c>
      <c r="B119">
        <v>2017</v>
      </c>
      <c r="C119" t="s">
        <v>22</v>
      </c>
      <c r="D119">
        <v>880.28233071963098</v>
      </c>
      <c r="E119">
        <v>595.95666488470204</v>
      </c>
      <c r="F119">
        <v>1908.12124902192</v>
      </c>
    </row>
    <row r="120" spans="1:6" x14ac:dyDescent="0.35">
      <c r="A120" t="s">
        <v>20</v>
      </c>
      <c r="B120">
        <v>2018</v>
      </c>
      <c r="C120" t="s">
        <v>22</v>
      </c>
      <c r="D120">
        <v>1155.4188759363899</v>
      </c>
      <c r="E120">
        <v>852.40467964223603</v>
      </c>
      <c r="F120">
        <v>3063.5401249583101</v>
      </c>
    </row>
    <row r="121" spans="1:6" x14ac:dyDescent="0.35">
      <c r="A121" t="s">
        <v>20</v>
      </c>
      <c r="B121">
        <v>2019</v>
      </c>
      <c r="C121" t="s">
        <v>22</v>
      </c>
      <c r="D121">
        <v>1280.8071666892699</v>
      </c>
      <c r="E121">
        <v>969.13142456050105</v>
      </c>
      <c r="F121">
        <v>4344.3472916475803</v>
      </c>
    </row>
    <row r="122" spans="1:6" x14ac:dyDescent="0.35">
      <c r="A122" t="s">
        <v>20</v>
      </c>
      <c r="B122">
        <v>2020</v>
      </c>
      <c r="C122" t="s">
        <v>22</v>
      </c>
      <c r="D122">
        <v>1346.6186093060301</v>
      </c>
      <c r="E122">
        <v>1031.7347671346199</v>
      </c>
      <c r="F122">
        <v>5690.9659009536099</v>
      </c>
    </row>
    <row r="123" spans="1:6" x14ac:dyDescent="0.35">
      <c r="A123" t="s">
        <v>20</v>
      </c>
      <c r="B123">
        <v>2021</v>
      </c>
      <c r="C123" t="s">
        <v>22</v>
      </c>
      <c r="D123">
        <v>1523.5948844601801</v>
      </c>
      <c r="E123">
        <v>1207.6522536591301</v>
      </c>
      <c r="F123">
        <v>7214.5607854137897</v>
      </c>
    </row>
    <row r="124" spans="1:6" x14ac:dyDescent="0.35">
      <c r="A124" t="s">
        <v>20</v>
      </c>
      <c r="B124">
        <v>2022</v>
      </c>
      <c r="C124" t="s">
        <v>22</v>
      </c>
      <c r="D124">
        <v>2303.5517693141301</v>
      </c>
      <c r="E124">
        <v>1987.29444469026</v>
      </c>
      <c r="F124">
        <v>9518.1125547279207</v>
      </c>
    </row>
    <row r="125" spans="1:6" x14ac:dyDescent="0.35">
      <c r="A125" t="s">
        <v>20</v>
      </c>
      <c r="B125">
        <v>2023</v>
      </c>
      <c r="C125" t="s">
        <v>22</v>
      </c>
      <c r="D125">
        <v>2926.9962695269401</v>
      </c>
      <c r="E125">
        <v>2610.55837597444</v>
      </c>
      <c r="F125">
        <v>12445.108824254899</v>
      </c>
    </row>
    <row r="126" spans="1:6" x14ac:dyDescent="0.35">
      <c r="A126" t="s">
        <v>23</v>
      </c>
      <c r="B126">
        <v>2013</v>
      </c>
      <c r="C126" t="s">
        <v>24</v>
      </c>
      <c r="D126">
        <v>118.06384775696201</v>
      </c>
      <c r="E126">
        <v>336.91497506852699</v>
      </c>
      <c r="F126">
        <v>118.06384775696201</v>
      </c>
    </row>
    <row r="127" spans="1:6" x14ac:dyDescent="0.35">
      <c r="A127" t="s">
        <v>23</v>
      </c>
      <c r="B127">
        <v>2014</v>
      </c>
      <c r="C127" t="s">
        <v>24</v>
      </c>
      <c r="D127">
        <v>265.97170635334197</v>
      </c>
      <c r="E127">
        <v>492.604108854782</v>
      </c>
      <c r="F127">
        <v>384.03555411030402</v>
      </c>
    </row>
    <row r="128" spans="1:6" x14ac:dyDescent="0.35">
      <c r="A128" t="s">
        <v>23</v>
      </c>
      <c r="B128">
        <v>2015</v>
      </c>
      <c r="C128" t="s">
        <v>24</v>
      </c>
      <c r="D128">
        <v>412.20387339122902</v>
      </c>
      <c r="E128">
        <v>599.48204117669695</v>
      </c>
      <c r="F128">
        <v>796.23942750153299</v>
      </c>
    </row>
    <row r="129" spans="1:6" x14ac:dyDescent="0.35">
      <c r="A129" t="s">
        <v>23</v>
      </c>
      <c r="B129">
        <v>2016</v>
      </c>
      <c r="C129" t="s">
        <v>24</v>
      </c>
      <c r="D129">
        <v>594.61382456759497</v>
      </c>
      <c r="E129">
        <v>765.82508152559001</v>
      </c>
      <c r="F129">
        <v>1390.8532520691299</v>
      </c>
    </row>
    <row r="130" spans="1:6" x14ac:dyDescent="0.35">
      <c r="A130" t="s">
        <v>23</v>
      </c>
      <c r="B130">
        <v>2017</v>
      </c>
      <c r="C130" t="s">
        <v>24</v>
      </c>
      <c r="D130">
        <v>912.59144880777399</v>
      </c>
      <c r="E130">
        <v>1130.2231584629101</v>
      </c>
      <c r="F130">
        <v>2303.4447008768998</v>
      </c>
    </row>
    <row r="131" spans="1:6" x14ac:dyDescent="0.35">
      <c r="A131" t="s">
        <v>23</v>
      </c>
      <c r="B131">
        <v>2018</v>
      </c>
      <c r="C131" t="s">
        <v>24</v>
      </c>
      <c r="D131">
        <v>1326.90306003969</v>
      </c>
      <c r="E131">
        <v>1585.86257241472</v>
      </c>
      <c r="F131">
        <v>3630.3477609165998</v>
      </c>
    </row>
    <row r="132" spans="1:6" x14ac:dyDescent="0.35">
      <c r="A132" t="s">
        <v>23</v>
      </c>
      <c r="B132">
        <v>2019</v>
      </c>
      <c r="C132" t="s">
        <v>24</v>
      </c>
      <c r="D132">
        <v>1525.4383349397899</v>
      </c>
      <c r="E132">
        <v>1711.57886516297</v>
      </c>
      <c r="F132">
        <v>5155.7860958563897</v>
      </c>
    </row>
    <row r="133" spans="1:6" x14ac:dyDescent="0.35">
      <c r="A133" t="s">
        <v>23</v>
      </c>
      <c r="B133">
        <v>2020</v>
      </c>
      <c r="C133" t="s">
        <v>24</v>
      </c>
      <c r="D133">
        <v>1807.95933079048</v>
      </c>
      <c r="E133">
        <v>1952.1279203834099</v>
      </c>
      <c r="F133">
        <v>6963.7454266468703</v>
      </c>
    </row>
    <row r="134" spans="1:6" x14ac:dyDescent="0.35">
      <c r="A134" t="s">
        <v>23</v>
      </c>
      <c r="B134">
        <v>2021</v>
      </c>
      <c r="C134" t="s">
        <v>24</v>
      </c>
      <c r="D134">
        <v>2440.6799146151702</v>
      </c>
      <c r="E134">
        <v>2611.2874814153602</v>
      </c>
      <c r="F134">
        <v>9404.4253412620401</v>
      </c>
    </row>
    <row r="135" spans="1:6" x14ac:dyDescent="0.35">
      <c r="A135" t="s">
        <v>23</v>
      </c>
      <c r="B135">
        <v>2022</v>
      </c>
      <c r="C135" t="s">
        <v>24</v>
      </c>
      <c r="D135">
        <v>4258.7737254861404</v>
      </c>
      <c r="E135">
        <v>4614.4582646354302</v>
      </c>
      <c r="F135">
        <v>13663.1990667482</v>
      </c>
    </row>
    <row r="136" spans="1:6" x14ac:dyDescent="0.35">
      <c r="A136" t="s">
        <v>23</v>
      </c>
      <c r="B136">
        <v>2023</v>
      </c>
      <c r="C136" t="s">
        <v>24</v>
      </c>
      <c r="D136">
        <v>6225.1218065992898</v>
      </c>
      <c r="E136">
        <v>6691.3395187614096</v>
      </c>
      <c r="F136">
        <v>19888.3208733475</v>
      </c>
    </row>
    <row r="137" spans="1:6" x14ac:dyDescent="0.35">
      <c r="A137" t="s">
        <v>25</v>
      </c>
      <c r="B137">
        <v>2018</v>
      </c>
      <c r="C137" t="s">
        <v>26</v>
      </c>
      <c r="D137">
        <v>284.854511719877</v>
      </c>
      <c r="E137">
        <v>553.54221391774001</v>
      </c>
      <c r="F137">
        <v>284.854511719877</v>
      </c>
    </row>
    <row r="138" spans="1:6" x14ac:dyDescent="0.35">
      <c r="A138" t="s">
        <v>25</v>
      </c>
      <c r="B138">
        <v>2019</v>
      </c>
      <c r="C138" t="s">
        <v>26</v>
      </c>
      <c r="D138">
        <v>668.81998561368096</v>
      </c>
      <c r="E138">
        <v>904.84468899284605</v>
      </c>
      <c r="F138">
        <v>953.67449733355795</v>
      </c>
    </row>
    <row r="139" spans="1:6" x14ac:dyDescent="0.35">
      <c r="A139" t="s">
        <v>25</v>
      </c>
      <c r="B139">
        <v>2020</v>
      </c>
      <c r="C139" t="s">
        <v>26</v>
      </c>
      <c r="D139">
        <v>1153.45955280305</v>
      </c>
      <c r="E139">
        <v>1341.4362909817301</v>
      </c>
      <c r="F139">
        <v>2107.1340501366099</v>
      </c>
    </row>
    <row r="140" spans="1:6" x14ac:dyDescent="0.35">
      <c r="A140" t="s">
        <v>25</v>
      </c>
      <c r="B140">
        <v>2021</v>
      </c>
      <c r="C140" t="s">
        <v>26</v>
      </c>
      <c r="D140">
        <v>2124.8553003123002</v>
      </c>
      <c r="E140">
        <v>2355.1460772305199</v>
      </c>
      <c r="F140">
        <v>4231.98935044891</v>
      </c>
    </row>
    <row r="141" spans="1:6" x14ac:dyDescent="0.35">
      <c r="A141" t="s">
        <v>25</v>
      </c>
      <c r="B141">
        <v>2022</v>
      </c>
      <c r="C141" t="s">
        <v>26</v>
      </c>
      <c r="D141">
        <v>4565.5376464356696</v>
      </c>
      <c r="E141">
        <v>4977.8854545468903</v>
      </c>
      <c r="F141">
        <v>8797.5269968845696</v>
      </c>
    </row>
    <row r="142" spans="1:6" x14ac:dyDescent="0.35">
      <c r="A142" t="s">
        <v>25</v>
      </c>
      <c r="B142">
        <v>2023</v>
      </c>
      <c r="C142" t="s">
        <v>26</v>
      </c>
      <c r="D142">
        <v>7227.94131392497</v>
      </c>
      <c r="E142">
        <v>7649.0140908328603</v>
      </c>
      <c r="F142">
        <v>16025.4683108095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7AAB-AE73-45BE-8FC3-0674670ECE61}">
  <dimension ref="A1:H466"/>
  <sheetViews>
    <sheetView workbookViewId="0">
      <selection activeCell="E2" sqref="E2"/>
    </sheetView>
  </sheetViews>
  <sheetFormatPr defaultRowHeight="14.5" x14ac:dyDescent="0.35"/>
  <cols>
    <col min="5" max="5" width="21.54296875" bestFit="1" customWidth="1"/>
    <col min="7" max="7" width="14.6328125" bestFit="1" customWidth="1"/>
  </cols>
  <sheetData>
    <row r="1" spans="1:8" x14ac:dyDescent="0.35">
      <c r="A1" t="s">
        <v>27</v>
      </c>
      <c r="B1" t="s">
        <v>28</v>
      </c>
      <c r="C1" t="s">
        <v>41</v>
      </c>
      <c r="E1" t="s">
        <v>115</v>
      </c>
      <c r="G1" s="1" t="s">
        <v>42</v>
      </c>
      <c r="H1" s="1">
        <v>2023</v>
      </c>
    </row>
    <row r="2" spans="1:8" x14ac:dyDescent="0.35">
      <c r="A2">
        <v>2000</v>
      </c>
      <c r="B2" t="s">
        <v>29</v>
      </c>
      <c r="C2">
        <v>5</v>
      </c>
      <c r="E2" s="2">
        <f>SUMIF($A$2:$A$466,$H$1,$C$2:$C$466)/1000</f>
        <v>256.02287957759461</v>
      </c>
    </row>
    <row r="3" spans="1:8" x14ac:dyDescent="0.35">
      <c r="A3">
        <v>2001</v>
      </c>
      <c r="B3" t="s">
        <v>29</v>
      </c>
      <c r="C3">
        <v>7</v>
      </c>
    </row>
    <row r="4" spans="1:8" x14ac:dyDescent="0.35">
      <c r="A4">
        <v>2002</v>
      </c>
      <c r="B4" t="s">
        <v>29</v>
      </c>
      <c r="C4">
        <v>9</v>
      </c>
    </row>
    <row r="5" spans="1:8" x14ac:dyDescent="0.35">
      <c r="A5">
        <v>2003</v>
      </c>
      <c r="B5" t="s">
        <v>29</v>
      </c>
      <c r="C5">
        <v>23</v>
      </c>
    </row>
    <row r="6" spans="1:8" x14ac:dyDescent="0.35">
      <c r="A6">
        <v>2004</v>
      </c>
      <c r="B6" t="s">
        <v>29</v>
      </c>
      <c r="C6">
        <v>27</v>
      </c>
    </row>
    <row r="7" spans="1:8" x14ac:dyDescent="0.35">
      <c r="A7">
        <v>2005</v>
      </c>
      <c r="B7" t="s">
        <v>29</v>
      </c>
      <c r="C7">
        <v>21.018000000000001</v>
      </c>
    </row>
    <row r="8" spans="1:8" x14ac:dyDescent="0.35">
      <c r="A8">
        <v>2006</v>
      </c>
      <c r="B8" t="s">
        <v>29</v>
      </c>
      <c r="C8">
        <v>22.387</v>
      </c>
    </row>
    <row r="9" spans="1:8" x14ac:dyDescent="0.35">
      <c r="A9">
        <v>2007</v>
      </c>
      <c r="B9" t="s">
        <v>29</v>
      </c>
      <c r="C9">
        <v>24.238</v>
      </c>
    </row>
    <row r="10" spans="1:8" x14ac:dyDescent="0.35">
      <c r="A10">
        <v>2008</v>
      </c>
      <c r="B10" t="s">
        <v>29</v>
      </c>
      <c r="C10">
        <v>30.12</v>
      </c>
    </row>
    <row r="11" spans="1:8" x14ac:dyDescent="0.35">
      <c r="A11">
        <v>2009</v>
      </c>
      <c r="B11" t="s">
        <v>29</v>
      </c>
      <c r="C11">
        <v>48.914999999999999</v>
      </c>
    </row>
    <row r="12" spans="1:8" x14ac:dyDescent="0.35">
      <c r="A12">
        <v>2010</v>
      </c>
      <c r="B12" t="s">
        <v>29</v>
      </c>
      <c r="C12">
        <v>88.813000000000002</v>
      </c>
    </row>
    <row r="13" spans="1:8" x14ac:dyDescent="0.35">
      <c r="A13">
        <v>2011</v>
      </c>
      <c r="B13" t="s">
        <v>29</v>
      </c>
      <c r="C13">
        <v>174.07</v>
      </c>
    </row>
    <row r="14" spans="1:8" x14ac:dyDescent="0.35">
      <c r="A14">
        <v>2012</v>
      </c>
      <c r="B14" t="s">
        <v>29</v>
      </c>
      <c r="C14">
        <v>337.483</v>
      </c>
    </row>
    <row r="15" spans="1:8" x14ac:dyDescent="0.35">
      <c r="A15">
        <v>2013</v>
      </c>
      <c r="B15" t="s">
        <v>29</v>
      </c>
      <c r="C15">
        <v>625.97400000000005</v>
      </c>
    </row>
    <row r="16" spans="1:8" x14ac:dyDescent="0.35">
      <c r="A16">
        <v>2014</v>
      </c>
      <c r="B16" t="s">
        <v>29</v>
      </c>
      <c r="C16">
        <v>785.24599999999998</v>
      </c>
    </row>
    <row r="17" spans="1:3" x14ac:dyDescent="0.35">
      <c r="A17">
        <v>2015</v>
      </c>
      <c r="B17" t="s">
        <v>29</v>
      </c>
      <c r="C17">
        <v>937.09799999999996</v>
      </c>
    </row>
    <row r="18" spans="1:3" x14ac:dyDescent="0.35">
      <c r="A18">
        <v>2016</v>
      </c>
      <c r="B18" t="s">
        <v>29</v>
      </c>
      <c r="C18">
        <v>1096.0160000000001</v>
      </c>
    </row>
    <row r="19" spans="1:3" x14ac:dyDescent="0.35">
      <c r="A19">
        <v>2017</v>
      </c>
      <c r="B19" t="s">
        <v>29</v>
      </c>
      <c r="C19">
        <v>1268.971</v>
      </c>
    </row>
    <row r="20" spans="1:3" x14ac:dyDescent="0.35">
      <c r="A20">
        <v>2018</v>
      </c>
      <c r="B20" t="s">
        <v>29</v>
      </c>
      <c r="C20">
        <v>1455.1320000000001</v>
      </c>
    </row>
    <row r="21" spans="1:3" x14ac:dyDescent="0.35">
      <c r="A21">
        <v>2019</v>
      </c>
      <c r="B21" t="s">
        <v>29</v>
      </c>
      <c r="C21">
        <v>1702.0930000000001</v>
      </c>
    </row>
    <row r="22" spans="1:3" x14ac:dyDescent="0.35">
      <c r="A22">
        <v>2020</v>
      </c>
      <c r="B22" t="s">
        <v>29</v>
      </c>
      <c r="C22">
        <v>2042.934</v>
      </c>
    </row>
    <row r="23" spans="1:3" x14ac:dyDescent="0.35">
      <c r="A23">
        <v>2021</v>
      </c>
      <c r="B23" t="s">
        <v>29</v>
      </c>
      <c r="C23">
        <v>2782.6019999999999</v>
      </c>
    </row>
    <row r="24" spans="1:3" x14ac:dyDescent="0.35">
      <c r="A24">
        <v>2022</v>
      </c>
      <c r="B24" t="s">
        <v>29</v>
      </c>
      <c r="C24">
        <v>3791.7040000000002</v>
      </c>
    </row>
    <row r="25" spans="1:3" x14ac:dyDescent="0.35">
      <c r="A25">
        <v>2023</v>
      </c>
      <c r="B25" t="s">
        <v>29</v>
      </c>
      <c r="C25">
        <v>6394.8109999999997</v>
      </c>
    </row>
    <row r="26" spans="1:3" x14ac:dyDescent="0.35">
      <c r="A26">
        <v>2000</v>
      </c>
      <c r="B26" t="s">
        <v>30</v>
      </c>
      <c r="C26">
        <v>0</v>
      </c>
    </row>
    <row r="27" spans="1:3" x14ac:dyDescent="0.35">
      <c r="A27">
        <v>2001</v>
      </c>
      <c r="B27" t="s">
        <v>30</v>
      </c>
      <c r="C27">
        <v>0</v>
      </c>
    </row>
    <row r="28" spans="1:3" x14ac:dyDescent="0.35">
      <c r="A28">
        <v>2002</v>
      </c>
      <c r="B28" t="s">
        <v>30</v>
      </c>
      <c r="C28">
        <v>0</v>
      </c>
    </row>
    <row r="29" spans="1:3" x14ac:dyDescent="0.35">
      <c r="A29">
        <v>2003</v>
      </c>
      <c r="B29" t="s">
        <v>30</v>
      </c>
      <c r="C29">
        <v>0</v>
      </c>
    </row>
    <row r="30" spans="1:3" x14ac:dyDescent="0.35">
      <c r="A30">
        <v>2004</v>
      </c>
      <c r="B30" t="s">
        <v>30</v>
      </c>
      <c r="C30">
        <v>0</v>
      </c>
    </row>
    <row r="31" spans="1:3" x14ac:dyDescent="0.35">
      <c r="A31">
        <v>2005</v>
      </c>
      <c r="B31" t="s">
        <v>30</v>
      </c>
      <c r="C31">
        <v>0</v>
      </c>
    </row>
    <row r="32" spans="1:3" x14ac:dyDescent="0.35">
      <c r="A32">
        <v>2006</v>
      </c>
      <c r="B32" t="s">
        <v>30</v>
      </c>
      <c r="C32">
        <v>0</v>
      </c>
    </row>
    <row r="33" spans="1:3" x14ac:dyDescent="0.35">
      <c r="A33">
        <v>2007</v>
      </c>
      <c r="B33" t="s">
        <v>30</v>
      </c>
      <c r="C33">
        <v>0</v>
      </c>
    </row>
    <row r="34" spans="1:3" x14ac:dyDescent="0.35">
      <c r="A34">
        <v>2008</v>
      </c>
      <c r="B34" t="s">
        <v>30</v>
      </c>
      <c r="C34">
        <v>0</v>
      </c>
    </row>
    <row r="35" spans="1:3" x14ac:dyDescent="0.35">
      <c r="A35">
        <v>2009</v>
      </c>
      <c r="B35" t="s">
        <v>30</v>
      </c>
      <c r="C35">
        <v>386</v>
      </c>
    </row>
    <row r="36" spans="1:3" x14ac:dyDescent="0.35">
      <c r="A36">
        <v>2010</v>
      </c>
      <c r="B36" t="s">
        <v>30</v>
      </c>
      <c r="C36">
        <v>840.2</v>
      </c>
    </row>
    <row r="37" spans="1:3" x14ac:dyDescent="0.35">
      <c r="A37">
        <v>2011</v>
      </c>
      <c r="B37" t="s">
        <v>30</v>
      </c>
      <c r="C37">
        <v>1864.9</v>
      </c>
    </row>
    <row r="38" spans="1:3" x14ac:dyDescent="0.35">
      <c r="A38">
        <v>2012</v>
      </c>
      <c r="B38" t="s">
        <v>30</v>
      </c>
      <c r="C38">
        <v>2595.5</v>
      </c>
    </row>
    <row r="39" spans="1:3" x14ac:dyDescent="0.35">
      <c r="A39">
        <v>2013</v>
      </c>
      <c r="B39" t="s">
        <v>30</v>
      </c>
      <c r="C39">
        <v>2864</v>
      </c>
    </row>
    <row r="40" spans="1:3" x14ac:dyDescent="0.35">
      <c r="A40">
        <v>2014</v>
      </c>
      <c r="B40" t="s">
        <v>30</v>
      </c>
      <c r="C40">
        <v>2977.1</v>
      </c>
    </row>
    <row r="41" spans="1:3" x14ac:dyDescent="0.35">
      <c r="A41">
        <v>2015</v>
      </c>
      <c r="B41" t="s">
        <v>30</v>
      </c>
      <c r="C41">
        <v>3108.1</v>
      </c>
    </row>
    <row r="42" spans="1:3" x14ac:dyDescent="0.35">
      <c r="A42">
        <v>2016</v>
      </c>
      <c r="B42" t="s">
        <v>30</v>
      </c>
      <c r="C42">
        <v>3291.2</v>
      </c>
    </row>
    <row r="43" spans="1:3" x14ac:dyDescent="0.35">
      <c r="A43">
        <v>2017</v>
      </c>
      <c r="B43" t="s">
        <v>30</v>
      </c>
      <c r="C43">
        <v>3600.4</v>
      </c>
    </row>
    <row r="44" spans="1:3" x14ac:dyDescent="0.35">
      <c r="A44">
        <v>2018</v>
      </c>
      <c r="B44" t="s">
        <v>30</v>
      </c>
      <c r="C44">
        <v>3962.8</v>
      </c>
    </row>
    <row r="45" spans="1:3" x14ac:dyDescent="0.35">
      <c r="A45">
        <v>2019</v>
      </c>
      <c r="B45" t="s">
        <v>30</v>
      </c>
      <c r="C45">
        <v>4523</v>
      </c>
    </row>
    <row r="46" spans="1:3" x14ac:dyDescent="0.35">
      <c r="A46">
        <v>2020</v>
      </c>
      <c r="B46" t="s">
        <v>30</v>
      </c>
      <c r="C46">
        <v>5453</v>
      </c>
    </row>
    <row r="47" spans="1:3" x14ac:dyDescent="0.35">
      <c r="A47">
        <v>2021</v>
      </c>
      <c r="B47" t="s">
        <v>30</v>
      </c>
      <c r="C47">
        <v>5934</v>
      </c>
    </row>
    <row r="48" spans="1:3" x14ac:dyDescent="0.35">
      <c r="A48">
        <v>2022</v>
      </c>
      <c r="B48" t="s">
        <v>30</v>
      </c>
      <c r="C48">
        <v>6781.2</v>
      </c>
    </row>
    <row r="49" spans="1:3" x14ac:dyDescent="0.35">
      <c r="A49">
        <v>2023</v>
      </c>
      <c r="B49" t="s">
        <v>30</v>
      </c>
      <c r="C49">
        <v>8351.9</v>
      </c>
    </row>
    <row r="50" spans="1:3" x14ac:dyDescent="0.35">
      <c r="A50">
        <v>2002</v>
      </c>
      <c r="B50" t="s">
        <v>31</v>
      </c>
      <c r="C50">
        <v>0</v>
      </c>
    </row>
    <row r="51" spans="1:3" x14ac:dyDescent="0.35">
      <c r="A51">
        <v>2003</v>
      </c>
      <c r="B51" t="s">
        <v>31</v>
      </c>
      <c r="C51">
        <v>0</v>
      </c>
    </row>
    <row r="52" spans="1:3" x14ac:dyDescent="0.35">
      <c r="A52">
        <v>2004</v>
      </c>
      <c r="B52" t="s">
        <v>31</v>
      </c>
      <c r="C52">
        <v>0</v>
      </c>
    </row>
    <row r="53" spans="1:3" x14ac:dyDescent="0.35">
      <c r="A53">
        <v>2005</v>
      </c>
      <c r="B53" t="s">
        <v>31</v>
      </c>
      <c r="C53">
        <v>0</v>
      </c>
    </row>
    <row r="54" spans="1:3" x14ac:dyDescent="0.35">
      <c r="A54">
        <v>2006</v>
      </c>
      <c r="B54" t="s">
        <v>31</v>
      </c>
      <c r="C54">
        <v>0</v>
      </c>
    </row>
    <row r="55" spans="1:3" x14ac:dyDescent="0.35">
      <c r="A55">
        <v>2007</v>
      </c>
      <c r="B55" t="s">
        <v>31</v>
      </c>
      <c r="C55">
        <v>0</v>
      </c>
    </row>
    <row r="56" spans="1:3" x14ac:dyDescent="0.35">
      <c r="A56">
        <v>2008</v>
      </c>
      <c r="B56" t="s">
        <v>31</v>
      </c>
      <c r="C56">
        <v>0</v>
      </c>
    </row>
    <row r="57" spans="1:3" x14ac:dyDescent="0.35">
      <c r="A57">
        <v>2009</v>
      </c>
      <c r="B57" t="s">
        <v>31</v>
      </c>
      <c r="C57">
        <v>2</v>
      </c>
    </row>
    <row r="58" spans="1:3" x14ac:dyDescent="0.35">
      <c r="A58">
        <v>2010</v>
      </c>
      <c r="B58" t="s">
        <v>31</v>
      </c>
      <c r="C58">
        <v>25</v>
      </c>
    </row>
    <row r="59" spans="1:3" x14ac:dyDescent="0.35">
      <c r="A59">
        <v>2011</v>
      </c>
      <c r="B59" t="s">
        <v>31</v>
      </c>
      <c r="C59">
        <v>154</v>
      </c>
    </row>
    <row r="60" spans="1:3" x14ac:dyDescent="0.35">
      <c r="A60">
        <v>2012</v>
      </c>
      <c r="B60" t="s">
        <v>31</v>
      </c>
      <c r="C60">
        <v>921.98699999999997</v>
      </c>
    </row>
    <row r="61" spans="1:3" x14ac:dyDescent="0.35">
      <c r="A61">
        <v>2013</v>
      </c>
      <c r="B61" t="s">
        <v>31</v>
      </c>
      <c r="C61">
        <v>1038.5350000000001</v>
      </c>
    </row>
    <row r="62" spans="1:3" x14ac:dyDescent="0.35">
      <c r="A62">
        <v>2014</v>
      </c>
      <c r="B62" t="s">
        <v>31</v>
      </c>
      <c r="C62">
        <v>1028.9169999999999</v>
      </c>
    </row>
    <row r="63" spans="1:3" x14ac:dyDescent="0.35">
      <c r="A63">
        <v>2015</v>
      </c>
      <c r="B63" t="s">
        <v>31</v>
      </c>
      <c r="C63">
        <v>1027.8879999999999</v>
      </c>
    </row>
    <row r="64" spans="1:3" x14ac:dyDescent="0.35">
      <c r="A64">
        <v>2016</v>
      </c>
      <c r="B64" t="s">
        <v>31</v>
      </c>
      <c r="C64">
        <v>1029.885</v>
      </c>
    </row>
    <row r="65" spans="1:3" x14ac:dyDescent="0.35">
      <c r="A65">
        <v>2017</v>
      </c>
      <c r="B65" t="s">
        <v>31</v>
      </c>
      <c r="C65">
        <v>1030.701</v>
      </c>
    </row>
    <row r="66" spans="1:3" x14ac:dyDescent="0.35">
      <c r="A66">
        <v>2018</v>
      </c>
      <c r="B66" t="s">
        <v>31</v>
      </c>
      <c r="C66">
        <v>1033.058</v>
      </c>
    </row>
    <row r="67" spans="1:3" x14ac:dyDescent="0.35">
      <c r="A67">
        <v>2019</v>
      </c>
      <c r="B67" t="s">
        <v>31</v>
      </c>
      <c r="C67">
        <v>1044.3900000000001</v>
      </c>
    </row>
    <row r="68" spans="1:3" x14ac:dyDescent="0.35">
      <c r="A68">
        <v>2020</v>
      </c>
      <c r="B68" t="s">
        <v>31</v>
      </c>
      <c r="C68">
        <v>1100.211</v>
      </c>
    </row>
    <row r="69" spans="1:3" x14ac:dyDescent="0.35">
      <c r="A69">
        <v>2021</v>
      </c>
      <c r="B69" t="s">
        <v>31</v>
      </c>
      <c r="C69">
        <v>1274.713</v>
      </c>
    </row>
    <row r="70" spans="1:3" x14ac:dyDescent="0.35">
      <c r="A70">
        <v>2022</v>
      </c>
      <c r="B70" t="s">
        <v>31</v>
      </c>
      <c r="C70">
        <v>1736.537</v>
      </c>
    </row>
    <row r="71" spans="1:3" x14ac:dyDescent="0.35">
      <c r="A71">
        <v>2023</v>
      </c>
      <c r="B71" t="s">
        <v>31</v>
      </c>
      <c r="C71">
        <v>2908.127</v>
      </c>
    </row>
    <row r="72" spans="1:3" x14ac:dyDescent="0.35">
      <c r="A72">
        <v>2001</v>
      </c>
      <c r="B72" t="s">
        <v>32</v>
      </c>
      <c r="C72">
        <v>0.124</v>
      </c>
    </row>
    <row r="73" spans="1:3" x14ac:dyDescent="0.35">
      <c r="A73">
        <v>2002</v>
      </c>
      <c r="B73" t="s">
        <v>32</v>
      </c>
      <c r="C73">
        <v>0.155</v>
      </c>
    </row>
    <row r="74" spans="1:3" x14ac:dyDescent="0.35">
      <c r="A74">
        <v>2003</v>
      </c>
      <c r="B74" t="s">
        <v>32</v>
      </c>
      <c r="C74">
        <v>0.28899999999999998</v>
      </c>
    </row>
    <row r="75" spans="1:3" x14ac:dyDescent="0.35">
      <c r="A75">
        <v>2004</v>
      </c>
      <c r="B75" t="s">
        <v>32</v>
      </c>
      <c r="C75">
        <v>0.41299999999999998</v>
      </c>
    </row>
    <row r="76" spans="1:3" x14ac:dyDescent="0.35">
      <c r="A76">
        <v>2005</v>
      </c>
      <c r="B76" t="s">
        <v>32</v>
      </c>
      <c r="C76">
        <v>0.58599999999999997</v>
      </c>
    </row>
    <row r="77" spans="1:3" x14ac:dyDescent="0.35">
      <c r="A77">
        <v>2006</v>
      </c>
      <c r="B77" t="s">
        <v>32</v>
      </c>
      <c r="C77">
        <v>0.84099999999999997</v>
      </c>
    </row>
    <row r="78" spans="1:3" x14ac:dyDescent="0.35">
      <c r="A78">
        <v>2007</v>
      </c>
      <c r="B78" t="s">
        <v>32</v>
      </c>
      <c r="C78">
        <v>3.9609999999999999</v>
      </c>
    </row>
    <row r="79" spans="1:3" x14ac:dyDescent="0.35">
      <c r="A79">
        <v>2008</v>
      </c>
      <c r="B79" t="s">
        <v>32</v>
      </c>
      <c r="C79">
        <v>39.5</v>
      </c>
    </row>
    <row r="80" spans="1:3" x14ac:dyDescent="0.35">
      <c r="A80">
        <v>2009</v>
      </c>
      <c r="B80" t="s">
        <v>32</v>
      </c>
      <c r="C80">
        <v>464.6</v>
      </c>
    </row>
    <row r="81" spans="1:3" x14ac:dyDescent="0.35">
      <c r="A81">
        <v>2010</v>
      </c>
      <c r="B81" t="s">
        <v>32</v>
      </c>
      <c r="C81">
        <v>1727</v>
      </c>
    </row>
    <row r="82" spans="1:3" x14ac:dyDescent="0.35">
      <c r="A82">
        <v>2011</v>
      </c>
      <c r="B82" t="s">
        <v>32</v>
      </c>
      <c r="C82">
        <v>1909.3530000000001</v>
      </c>
    </row>
    <row r="83" spans="1:3" x14ac:dyDescent="0.35">
      <c r="A83">
        <v>2012</v>
      </c>
      <c r="B83" t="s">
        <v>32</v>
      </c>
      <c r="C83">
        <v>2014.1610000000001</v>
      </c>
    </row>
    <row r="84" spans="1:3" x14ac:dyDescent="0.35">
      <c r="A84">
        <v>2013</v>
      </c>
      <c r="B84" t="s">
        <v>32</v>
      </c>
      <c r="C84">
        <v>2052.9459999999999</v>
      </c>
    </row>
    <row r="85" spans="1:3" x14ac:dyDescent="0.35">
      <c r="A85">
        <v>2014</v>
      </c>
      <c r="B85" t="s">
        <v>32</v>
      </c>
      <c r="C85">
        <v>2056.4589999999998</v>
      </c>
    </row>
    <row r="86" spans="1:3" x14ac:dyDescent="0.35">
      <c r="A86">
        <v>2015</v>
      </c>
      <c r="B86" t="s">
        <v>32</v>
      </c>
      <c r="C86">
        <v>2063.038</v>
      </c>
    </row>
    <row r="87" spans="1:3" x14ac:dyDescent="0.35">
      <c r="A87">
        <v>2016</v>
      </c>
      <c r="B87" t="s">
        <v>32</v>
      </c>
      <c r="C87">
        <v>2055.4079999999999</v>
      </c>
    </row>
    <row r="88" spans="1:3" x14ac:dyDescent="0.35">
      <c r="A88">
        <v>2017</v>
      </c>
      <c r="B88" t="s">
        <v>32</v>
      </c>
      <c r="C88">
        <v>2061.9059999999999</v>
      </c>
    </row>
    <row r="89" spans="1:3" x14ac:dyDescent="0.35">
      <c r="A89">
        <v>2018</v>
      </c>
      <c r="B89" t="s">
        <v>32</v>
      </c>
      <c r="C89">
        <v>2067.52</v>
      </c>
    </row>
    <row r="90" spans="1:3" x14ac:dyDescent="0.35">
      <c r="A90">
        <v>2019</v>
      </c>
      <c r="B90" t="s">
        <v>32</v>
      </c>
      <c r="C90">
        <v>2084.848</v>
      </c>
    </row>
    <row r="91" spans="1:3" x14ac:dyDescent="0.35">
      <c r="A91">
        <v>2020</v>
      </c>
      <c r="B91" t="s">
        <v>32</v>
      </c>
      <c r="C91">
        <v>2124.1770000000001</v>
      </c>
    </row>
    <row r="92" spans="1:3" x14ac:dyDescent="0.35">
      <c r="A92">
        <v>2021</v>
      </c>
      <c r="B92" t="s">
        <v>32</v>
      </c>
      <c r="C92">
        <v>2176.6709999999998</v>
      </c>
    </row>
    <row r="93" spans="1:3" x14ac:dyDescent="0.35">
      <c r="A93">
        <v>2022</v>
      </c>
      <c r="B93" t="s">
        <v>32</v>
      </c>
      <c r="C93">
        <v>2403.759</v>
      </c>
    </row>
    <row r="94" spans="1:3" x14ac:dyDescent="0.35">
      <c r="A94">
        <v>2023</v>
      </c>
      <c r="B94" t="s">
        <v>32</v>
      </c>
      <c r="C94">
        <v>3250.9609999999998</v>
      </c>
    </row>
    <row r="95" spans="1:3" x14ac:dyDescent="0.35">
      <c r="A95">
        <v>2000</v>
      </c>
      <c r="B95" t="s">
        <v>6</v>
      </c>
      <c r="C95">
        <v>114</v>
      </c>
    </row>
    <row r="96" spans="1:3" x14ac:dyDescent="0.35">
      <c r="A96">
        <v>2001</v>
      </c>
      <c r="B96" t="s">
        <v>6</v>
      </c>
      <c r="C96">
        <v>195</v>
      </c>
    </row>
    <row r="97" spans="1:3" x14ac:dyDescent="0.35">
      <c r="A97">
        <v>2002</v>
      </c>
      <c r="B97" t="s">
        <v>6</v>
      </c>
      <c r="C97">
        <v>260</v>
      </c>
    </row>
    <row r="98" spans="1:3" x14ac:dyDescent="0.35">
      <c r="A98">
        <v>2003</v>
      </c>
      <c r="B98" t="s">
        <v>6</v>
      </c>
      <c r="C98">
        <v>435</v>
      </c>
    </row>
    <row r="99" spans="1:3" x14ac:dyDescent="0.35">
      <c r="A99">
        <v>2004</v>
      </c>
      <c r="B99" t="s">
        <v>6</v>
      </c>
      <c r="C99">
        <v>1105</v>
      </c>
    </row>
    <row r="100" spans="1:3" x14ac:dyDescent="0.35">
      <c r="A100">
        <v>2005</v>
      </c>
      <c r="B100" t="s">
        <v>6</v>
      </c>
      <c r="C100">
        <v>2056</v>
      </c>
    </row>
    <row r="101" spans="1:3" x14ac:dyDescent="0.35">
      <c r="A101">
        <v>2006</v>
      </c>
      <c r="B101" t="s">
        <v>6</v>
      </c>
      <c r="C101">
        <v>2899</v>
      </c>
    </row>
    <row r="102" spans="1:3" x14ac:dyDescent="0.35">
      <c r="A102">
        <v>2007</v>
      </c>
      <c r="B102" t="s">
        <v>6</v>
      </c>
      <c r="C102">
        <v>4170</v>
      </c>
    </row>
    <row r="103" spans="1:3" x14ac:dyDescent="0.35">
      <c r="A103">
        <v>2008</v>
      </c>
      <c r="B103" t="s">
        <v>6</v>
      </c>
      <c r="C103">
        <v>6120</v>
      </c>
    </row>
    <row r="104" spans="1:3" x14ac:dyDescent="0.35">
      <c r="A104">
        <v>2009</v>
      </c>
      <c r="B104" t="s">
        <v>6</v>
      </c>
      <c r="C104">
        <v>10566</v>
      </c>
    </row>
    <row r="105" spans="1:3" x14ac:dyDescent="0.35">
      <c r="A105">
        <v>2010</v>
      </c>
      <c r="B105" t="s">
        <v>6</v>
      </c>
      <c r="C105">
        <v>18006</v>
      </c>
    </row>
    <row r="106" spans="1:3" x14ac:dyDescent="0.35">
      <c r="A106">
        <v>2011</v>
      </c>
      <c r="B106" t="s">
        <v>6</v>
      </c>
      <c r="C106">
        <v>25916</v>
      </c>
    </row>
    <row r="107" spans="1:3" x14ac:dyDescent="0.35">
      <c r="A107">
        <v>2012</v>
      </c>
      <c r="B107" t="s">
        <v>6</v>
      </c>
      <c r="C107">
        <v>34077</v>
      </c>
    </row>
    <row r="108" spans="1:3" x14ac:dyDescent="0.35">
      <c r="A108">
        <v>2013</v>
      </c>
      <c r="B108" t="s">
        <v>6</v>
      </c>
      <c r="C108">
        <v>36710</v>
      </c>
    </row>
    <row r="109" spans="1:3" x14ac:dyDescent="0.35">
      <c r="A109">
        <v>2014</v>
      </c>
      <c r="B109" t="s">
        <v>6</v>
      </c>
      <c r="C109">
        <v>37900</v>
      </c>
    </row>
    <row r="110" spans="1:3" x14ac:dyDescent="0.35">
      <c r="A110">
        <v>2015</v>
      </c>
      <c r="B110" t="s">
        <v>6</v>
      </c>
      <c r="C110">
        <v>39224</v>
      </c>
    </row>
    <row r="111" spans="1:3" x14ac:dyDescent="0.35">
      <c r="A111">
        <v>2016</v>
      </c>
      <c r="B111" t="s">
        <v>6</v>
      </c>
      <c r="C111">
        <v>40679</v>
      </c>
    </row>
    <row r="112" spans="1:3" x14ac:dyDescent="0.35">
      <c r="A112">
        <v>2017</v>
      </c>
      <c r="B112" t="s">
        <v>6</v>
      </c>
      <c r="C112">
        <v>42293</v>
      </c>
    </row>
    <row r="113" spans="1:3" x14ac:dyDescent="0.35">
      <c r="A113">
        <v>2018</v>
      </c>
      <c r="B113" t="s">
        <v>6</v>
      </c>
      <c r="C113">
        <v>45158</v>
      </c>
    </row>
    <row r="114" spans="1:3" x14ac:dyDescent="0.35">
      <c r="A114">
        <v>2019</v>
      </c>
      <c r="B114" t="s">
        <v>6</v>
      </c>
      <c r="C114">
        <v>48914</v>
      </c>
    </row>
    <row r="115" spans="1:3" x14ac:dyDescent="0.35">
      <c r="A115">
        <v>2020</v>
      </c>
      <c r="B115" t="s">
        <v>6</v>
      </c>
      <c r="C115">
        <v>53671</v>
      </c>
    </row>
    <row r="116" spans="1:3" x14ac:dyDescent="0.35">
      <c r="A116">
        <v>2021</v>
      </c>
      <c r="B116" t="s">
        <v>6</v>
      </c>
      <c r="C116">
        <v>60038</v>
      </c>
    </row>
    <row r="117" spans="1:3" x14ac:dyDescent="0.35">
      <c r="A117">
        <v>2022</v>
      </c>
      <c r="B117" t="s">
        <v>6</v>
      </c>
      <c r="C117">
        <v>61188</v>
      </c>
    </row>
    <row r="118" spans="1:3" x14ac:dyDescent="0.35">
      <c r="A118">
        <v>2023</v>
      </c>
      <c r="B118" t="s">
        <v>6</v>
      </c>
      <c r="C118">
        <v>74882</v>
      </c>
    </row>
    <row r="119" spans="1:3" x14ac:dyDescent="0.35">
      <c r="A119">
        <v>2000</v>
      </c>
      <c r="B119" t="s">
        <v>33</v>
      </c>
      <c r="C119">
        <v>1</v>
      </c>
    </row>
    <row r="120" spans="1:3" x14ac:dyDescent="0.35">
      <c r="A120">
        <v>2001</v>
      </c>
      <c r="B120" t="s">
        <v>33</v>
      </c>
      <c r="C120">
        <v>1</v>
      </c>
    </row>
    <row r="121" spans="1:3" x14ac:dyDescent="0.35">
      <c r="A121">
        <v>2002</v>
      </c>
      <c r="B121" t="s">
        <v>33</v>
      </c>
      <c r="C121">
        <v>2</v>
      </c>
    </row>
    <row r="122" spans="1:3" x14ac:dyDescent="0.35">
      <c r="A122">
        <v>2003</v>
      </c>
      <c r="B122" t="s">
        <v>33</v>
      </c>
      <c r="C122">
        <v>2</v>
      </c>
    </row>
    <row r="123" spans="1:3" x14ac:dyDescent="0.35">
      <c r="A123">
        <v>2004</v>
      </c>
      <c r="B123" t="s">
        <v>33</v>
      </c>
      <c r="C123">
        <v>2</v>
      </c>
    </row>
    <row r="124" spans="1:3" x14ac:dyDescent="0.35">
      <c r="A124">
        <v>2005</v>
      </c>
      <c r="B124" t="s">
        <v>33</v>
      </c>
      <c r="C124">
        <v>3</v>
      </c>
    </row>
    <row r="125" spans="1:3" x14ac:dyDescent="0.35">
      <c r="A125">
        <v>2006</v>
      </c>
      <c r="B125" t="s">
        <v>33</v>
      </c>
      <c r="C125">
        <v>3</v>
      </c>
    </row>
    <row r="126" spans="1:3" x14ac:dyDescent="0.35">
      <c r="A126">
        <v>2007</v>
      </c>
      <c r="B126" t="s">
        <v>33</v>
      </c>
      <c r="C126">
        <v>3</v>
      </c>
    </row>
    <row r="127" spans="1:3" x14ac:dyDescent="0.35">
      <c r="A127">
        <v>2008</v>
      </c>
      <c r="B127" t="s">
        <v>33</v>
      </c>
      <c r="C127">
        <v>3</v>
      </c>
    </row>
    <row r="128" spans="1:3" x14ac:dyDescent="0.35">
      <c r="A128">
        <v>2009</v>
      </c>
      <c r="B128" t="s">
        <v>33</v>
      </c>
      <c r="C128">
        <v>5</v>
      </c>
    </row>
    <row r="129" spans="1:3" x14ac:dyDescent="0.35">
      <c r="A129">
        <v>2010</v>
      </c>
      <c r="B129" t="s">
        <v>33</v>
      </c>
      <c r="C129">
        <v>7</v>
      </c>
    </row>
    <row r="130" spans="1:3" x14ac:dyDescent="0.35">
      <c r="A130">
        <v>2011</v>
      </c>
      <c r="B130" t="s">
        <v>33</v>
      </c>
      <c r="C130">
        <v>17</v>
      </c>
    </row>
    <row r="131" spans="1:3" x14ac:dyDescent="0.35">
      <c r="A131">
        <v>2012</v>
      </c>
      <c r="B131" t="s">
        <v>33</v>
      </c>
      <c r="C131">
        <v>402</v>
      </c>
    </row>
    <row r="132" spans="1:3" x14ac:dyDescent="0.35">
      <c r="A132">
        <v>2013</v>
      </c>
      <c r="B132" t="s">
        <v>33</v>
      </c>
      <c r="C132">
        <v>571</v>
      </c>
    </row>
    <row r="133" spans="1:3" x14ac:dyDescent="0.35">
      <c r="A133">
        <v>2014</v>
      </c>
      <c r="B133" t="s">
        <v>33</v>
      </c>
      <c r="C133">
        <v>607</v>
      </c>
    </row>
    <row r="134" spans="1:3" x14ac:dyDescent="0.35">
      <c r="A134">
        <v>2015</v>
      </c>
      <c r="B134" t="s">
        <v>33</v>
      </c>
      <c r="C134">
        <v>782.10799999999995</v>
      </c>
    </row>
    <row r="135" spans="1:3" x14ac:dyDescent="0.35">
      <c r="A135">
        <v>2016</v>
      </c>
      <c r="B135" t="s">
        <v>33</v>
      </c>
      <c r="C135">
        <v>850.95299999999997</v>
      </c>
    </row>
    <row r="136" spans="1:3" x14ac:dyDescent="0.35">
      <c r="A136">
        <v>2017</v>
      </c>
      <c r="B136" t="s">
        <v>33</v>
      </c>
      <c r="C136">
        <v>906.35</v>
      </c>
    </row>
    <row r="137" spans="1:3" x14ac:dyDescent="0.35">
      <c r="A137">
        <v>2018</v>
      </c>
      <c r="B137" t="s">
        <v>33</v>
      </c>
      <c r="C137">
        <v>998</v>
      </c>
    </row>
    <row r="138" spans="1:3" x14ac:dyDescent="0.35">
      <c r="A138">
        <v>2019</v>
      </c>
      <c r="B138" t="s">
        <v>33</v>
      </c>
      <c r="C138">
        <v>1080</v>
      </c>
    </row>
    <row r="139" spans="1:3" x14ac:dyDescent="0.35">
      <c r="A139">
        <v>2020</v>
      </c>
      <c r="B139" t="s">
        <v>33</v>
      </c>
      <c r="C139">
        <v>1304.2940000000001</v>
      </c>
    </row>
    <row r="140" spans="1:3" x14ac:dyDescent="0.35">
      <c r="A140">
        <v>2021</v>
      </c>
      <c r="B140" t="s">
        <v>33</v>
      </c>
      <c r="C140">
        <v>1704.0409999999999</v>
      </c>
    </row>
    <row r="141" spans="1:3" x14ac:dyDescent="0.35">
      <c r="A141">
        <v>2022</v>
      </c>
      <c r="B141" t="s">
        <v>33</v>
      </c>
      <c r="C141">
        <v>3069.9</v>
      </c>
    </row>
    <row r="142" spans="1:3" x14ac:dyDescent="0.35">
      <c r="A142">
        <v>2023</v>
      </c>
      <c r="B142" t="s">
        <v>33</v>
      </c>
      <c r="C142">
        <v>3529</v>
      </c>
    </row>
    <row r="143" spans="1:3" x14ac:dyDescent="0.35">
      <c r="A143">
        <v>2000</v>
      </c>
      <c r="B143" t="s">
        <v>9</v>
      </c>
      <c r="C143">
        <v>10.294</v>
      </c>
    </row>
    <row r="144" spans="1:3" x14ac:dyDescent="0.35">
      <c r="A144">
        <v>2001</v>
      </c>
      <c r="B144" t="s">
        <v>9</v>
      </c>
      <c r="C144">
        <v>13.143000000000001</v>
      </c>
    </row>
    <row r="145" spans="1:3" x14ac:dyDescent="0.35">
      <c r="A145">
        <v>2002</v>
      </c>
      <c r="B145" t="s">
        <v>9</v>
      </c>
      <c r="C145">
        <v>16.971</v>
      </c>
    </row>
    <row r="146" spans="1:3" x14ac:dyDescent="0.35">
      <c r="A146">
        <v>2003</v>
      </c>
      <c r="B146" t="s">
        <v>9</v>
      </c>
      <c r="C146">
        <v>22.375</v>
      </c>
    </row>
    <row r="147" spans="1:3" x14ac:dyDescent="0.35">
      <c r="A147">
        <v>2004</v>
      </c>
      <c r="B147" t="s">
        <v>9</v>
      </c>
      <c r="C147">
        <v>32.823</v>
      </c>
    </row>
    <row r="148" spans="1:3" x14ac:dyDescent="0.35">
      <c r="A148">
        <v>2005</v>
      </c>
      <c r="B148" t="s">
        <v>9</v>
      </c>
      <c r="C148">
        <v>51.96</v>
      </c>
    </row>
    <row r="149" spans="1:3" x14ac:dyDescent="0.35">
      <c r="A149">
        <v>2006</v>
      </c>
      <c r="B149" t="s">
        <v>9</v>
      </c>
      <c r="C149">
        <v>141.755</v>
      </c>
    </row>
    <row r="150" spans="1:3" x14ac:dyDescent="0.35">
      <c r="A150">
        <v>2007</v>
      </c>
      <c r="B150" t="s">
        <v>9</v>
      </c>
      <c r="C150">
        <v>505.92099999999999</v>
      </c>
    </row>
    <row r="151" spans="1:3" x14ac:dyDescent="0.35">
      <c r="A151">
        <v>2008</v>
      </c>
      <c r="B151" t="s">
        <v>9</v>
      </c>
      <c r="C151">
        <v>3448.2489999999998</v>
      </c>
    </row>
    <row r="152" spans="1:3" x14ac:dyDescent="0.35">
      <c r="A152">
        <v>2009</v>
      </c>
      <c r="B152" t="s">
        <v>9</v>
      </c>
      <c r="C152">
        <v>3710.1210000000001</v>
      </c>
    </row>
    <row r="153" spans="1:3" x14ac:dyDescent="0.35">
      <c r="A153">
        <v>2010</v>
      </c>
      <c r="B153" t="s">
        <v>9</v>
      </c>
      <c r="C153">
        <v>4612.0619999999999</v>
      </c>
    </row>
    <row r="154" spans="1:3" x14ac:dyDescent="0.35">
      <c r="A154">
        <v>2011</v>
      </c>
      <c r="B154" t="s">
        <v>9</v>
      </c>
      <c r="C154">
        <v>5437.0540000000001</v>
      </c>
    </row>
    <row r="155" spans="1:3" x14ac:dyDescent="0.35">
      <c r="A155">
        <v>2012</v>
      </c>
      <c r="B155" t="s">
        <v>9</v>
      </c>
      <c r="C155">
        <v>6574.6980000000003</v>
      </c>
    </row>
    <row r="156" spans="1:3" x14ac:dyDescent="0.35">
      <c r="A156">
        <v>2013</v>
      </c>
      <c r="B156" t="s">
        <v>9</v>
      </c>
      <c r="C156">
        <v>6999.7730000000001</v>
      </c>
    </row>
    <row r="157" spans="1:3" x14ac:dyDescent="0.35">
      <c r="A157">
        <v>2014</v>
      </c>
      <c r="B157" t="s">
        <v>9</v>
      </c>
      <c r="C157">
        <v>7006.53</v>
      </c>
    </row>
    <row r="158" spans="1:3" x14ac:dyDescent="0.35">
      <c r="A158">
        <v>2015</v>
      </c>
      <c r="B158" t="s">
        <v>9</v>
      </c>
      <c r="C158">
        <v>7013.7529999999997</v>
      </c>
    </row>
    <row r="159" spans="1:3" x14ac:dyDescent="0.35">
      <c r="A159">
        <v>2016</v>
      </c>
      <c r="B159" t="s">
        <v>9</v>
      </c>
      <c r="C159">
        <v>7017.9930000000004</v>
      </c>
    </row>
    <row r="160" spans="1:3" x14ac:dyDescent="0.35">
      <c r="A160">
        <v>2017</v>
      </c>
      <c r="B160" t="s">
        <v>9</v>
      </c>
      <c r="C160">
        <v>7026.2619999999997</v>
      </c>
    </row>
    <row r="161" spans="1:3" x14ac:dyDescent="0.35">
      <c r="A161">
        <v>2018</v>
      </c>
      <c r="B161" t="s">
        <v>9</v>
      </c>
      <c r="C161">
        <v>7067.6689999999999</v>
      </c>
    </row>
    <row r="162" spans="1:3" x14ac:dyDescent="0.35">
      <c r="A162">
        <v>2019</v>
      </c>
      <c r="B162" t="s">
        <v>9</v>
      </c>
      <c r="C162">
        <v>11111.21</v>
      </c>
    </row>
    <row r="163" spans="1:3" x14ac:dyDescent="0.35">
      <c r="A163">
        <v>2020</v>
      </c>
      <c r="B163" t="s">
        <v>9</v>
      </c>
      <c r="C163">
        <v>12439.601000000001</v>
      </c>
    </row>
    <row r="164" spans="1:3" x14ac:dyDescent="0.35">
      <c r="A164">
        <v>2021</v>
      </c>
      <c r="B164" t="s">
        <v>9</v>
      </c>
      <c r="C164">
        <v>16019.208000000001</v>
      </c>
    </row>
    <row r="165" spans="1:3" x14ac:dyDescent="0.35">
      <c r="A165">
        <v>2022</v>
      </c>
      <c r="B165" t="s">
        <v>9</v>
      </c>
      <c r="C165">
        <v>26201.328000000001</v>
      </c>
    </row>
    <row r="166" spans="1:3" x14ac:dyDescent="0.35">
      <c r="A166">
        <v>2023</v>
      </c>
      <c r="B166" t="s">
        <v>9</v>
      </c>
      <c r="C166">
        <v>31883.618999999999</v>
      </c>
    </row>
    <row r="167" spans="1:3" x14ac:dyDescent="0.35">
      <c r="A167">
        <v>2000</v>
      </c>
      <c r="B167" t="s">
        <v>34</v>
      </c>
      <c r="C167">
        <v>0</v>
      </c>
    </row>
    <row r="168" spans="1:3" x14ac:dyDescent="0.35">
      <c r="A168">
        <v>2001</v>
      </c>
      <c r="B168" t="s">
        <v>34</v>
      </c>
      <c r="C168">
        <v>0</v>
      </c>
    </row>
    <row r="169" spans="1:3" x14ac:dyDescent="0.35">
      <c r="A169">
        <v>2002</v>
      </c>
      <c r="B169" t="s">
        <v>34</v>
      </c>
      <c r="C169">
        <v>0</v>
      </c>
    </row>
    <row r="170" spans="1:3" x14ac:dyDescent="0.35">
      <c r="A170">
        <v>2003</v>
      </c>
      <c r="B170" t="s">
        <v>34</v>
      </c>
      <c r="C170">
        <v>0</v>
      </c>
    </row>
    <row r="171" spans="1:3" x14ac:dyDescent="0.35">
      <c r="A171">
        <v>2004</v>
      </c>
      <c r="B171" t="s">
        <v>34</v>
      </c>
      <c r="C171">
        <v>0</v>
      </c>
    </row>
    <row r="172" spans="1:3" x14ac:dyDescent="0.35">
      <c r="A172">
        <v>2005</v>
      </c>
      <c r="B172" t="s">
        <v>34</v>
      </c>
      <c r="C172">
        <v>0</v>
      </c>
    </row>
    <row r="173" spans="1:3" x14ac:dyDescent="0.35">
      <c r="A173">
        <v>2006</v>
      </c>
      <c r="B173" t="s">
        <v>34</v>
      </c>
      <c r="C173">
        <v>0</v>
      </c>
    </row>
    <row r="174" spans="1:3" x14ac:dyDescent="0.35">
      <c r="A174">
        <v>2007</v>
      </c>
      <c r="B174" t="s">
        <v>34</v>
      </c>
      <c r="C174">
        <v>0</v>
      </c>
    </row>
    <row r="175" spans="1:3" x14ac:dyDescent="0.35">
      <c r="A175">
        <v>2008</v>
      </c>
      <c r="B175" t="s">
        <v>34</v>
      </c>
      <c r="C175">
        <v>0</v>
      </c>
    </row>
    <row r="176" spans="1:3" x14ac:dyDescent="0.35">
      <c r="A176">
        <v>2009</v>
      </c>
      <c r="B176" t="s">
        <v>34</v>
      </c>
      <c r="C176">
        <v>0</v>
      </c>
    </row>
    <row r="177" spans="1:3" x14ac:dyDescent="0.35">
      <c r="A177">
        <v>2010</v>
      </c>
      <c r="B177" t="s">
        <v>34</v>
      </c>
      <c r="C177">
        <v>0</v>
      </c>
    </row>
    <row r="178" spans="1:3" x14ac:dyDescent="0.35">
      <c r="A178">
        <v>2020</v>
      </c>
      <c r="B178" t="s">
        <v>34</v>
      </c>
      <c r="C178">
        <v>207.67</v>
      </c>
    </row>
    <row r="179" spans="1:3" x14ac:dyDescent="0.35">
      <c r="A179">
        <v>2021</v>
      </c>
      <c r="B179" t="s">
        <v>34</v>
      </c>
      <c r="C179">
        <v>394.77</v>
      </c>
    </row>
    <row r="180" spans="1:3" x14ac:dyDescent="0.35">
      <c r="A180">
        <v>2022</v>
      </c>
      <c r="B180" t="s">
        <v>34</v>
      </c>
      <c r="C180">
        <v>520</v>
      </c>
    </row>
    <row r="181" spans="1:3" x14ac:dyDescent="0.35">
      <c r="A181">
        <v>2023</v>
      </c>
      <c r="B181" t="s">
        <v>34</v>
      </c>
      <c r="C181">
        <v>813</v>
      </c>
    </row>
    <row r="182" spans="1:3" x14ac:dyDescent="0.35">
      <c r="A182">
        <v>2000</v>
      </c>
      <c r="B182" t="s">
        <v>35</v>
      </c>
      <c r="C182">
        <v>2</v>
      </c>
    </row>
    <row r="183" spans="1:3" x14ac:dyDescent="0.35">
      <c r="A183">
        <v>2001</v>
      </c>
      <c r="B183" t="s">
        <v>35</v>
      </c>
      <c r="C183">
        <v>3</v>
      </c>
    </row>
    <row r="184" spans="1:3" x14ac:dyDescent="0.35">
      <c r="A184">
        <v>2002</v>
      </c>
      <c r="B184" t="s">
        <v>35</v>
      </c>
      <c r="C184">
        <v>3</v>
      </c>
    </row>
    <row r="185" spans="1:3" x14ac:dyDescent="0.35">
      <c r="A185">
        <v>2003</v>
      </c>
      <c r="B185" t="s">
        <v>35</v>
      </c>
      <c r="C185">
        <v>3</v>
      </c>
    </row>
    <row r="186" spans="1:3" x14ac:dyDescent="0.35">
      <c r="A186">
        <v>2004</v>
      </c>
      <c r="B186" t="s">
        <v>35</v>
      </c>
      <c r="C186">
        <v>4</v>
      </c>
    </row>
    <row r="187" spans="1:3" x14ac:dyDescent="0.35">
      <c r="A187">
        <v>2005</v>
      </c>
      <c r="B187" t="s">
        <v>35</v>
      </c>
      <c r="C187">
        <v>4</v>
      </c>
    </row>
    <row r="188" spans="1:3" x14ac:dyDescent="0.35">
      <c r="A188">
        <v>2006</v>
      </c>
      <c r="B188" t="s">
        <v>35</v>
      </c>
      <c r="C188">
        <v>5</v>
      </c>
    </row>
    <row r="189" spans="1:3" x14ac:dyDescent="0.35">
      <c r="A189">
        <v>2007</v>
      </c>
      <c r="B189" t="s">
        <v>35</v>
      </c>
      <c r="C189">
        <v>5</v>
      </c>
    </row>
    <row r="190" spans="1:3" x14ac:dyDescent="0.35">
      <c r="A190">
        <v>2008</v>
      </c>
      <c r="B190" t="s">
        <v>35</v>
      </c>
      <c r="C190">
        <v>6</v>
      </c>
    </row>
    <row r="191" spans="1:3" x14ac:dyDescent="0.35">
      <c r="A191">
        <v>2009</v>
      </c>
      <c r="B191" t="s">
        <v>35</v>
      </c>
      <c r="C191">
        <v>6</v>
      </c>
    </row>
    <row r="192" spans="1:3" x14ac:dyDescent="0.35">
      <c r="A192">
        <v>2010</v>
      </c>
      <c r="B192" t="s">
        <v>35</v>
      </c>
      <c r="C192">
        <v>7</v>
      </c>
    </row>
    <row r="193" spans="1:3" x14ac:dyDescent="0.35">
      <c r="A193">
        <v>2011</v>
      </c>
      <c r="B193" t="s">
        <v>35</v>
      </c>
      <c r="C193">
        <v>7</v>
      </c>
    </row>
    <row r="194" spans="1:3" x14ac:dyDescent="0.35">
      <c r="A194">
        <v>2012</v>
      </c>
      <c r="B194" t="s">
        <v>35</v>
      </c>
      <c r="C194">
        <v>8</v>
      </c>
    </row>
    <row r="195" spans="1:3" x14ac:dyDescent="0.35">
      <c r="A195">
        <v>2013</v>
      </c>
      <c r="B195" t="s">
        <v>35</v>
      </c>
      <c r="C195">
        <v>9</v>
      </c>
    </row>
    <row r="196" spans="1:3" x14ac:dyDescent="0.35">
      <c r="A196">
        <v>2014</v>
      </c>
      <c r="B196" t="s">
        <v>35</v>
      </c>
      <c r="C196">
        <v>11</v>
      </c>
    </row>
    <row r="197" spans="1:3" x14ac:dyDescent="0.35">
      <c r="A197">
        <v>2015</v>
      </c>
      <c r="B197" t="s">
        <v>35</v>
      </c>
      <c r="C197">
        <v>17</v>
      </c>
    </row>
    <row r="198" spans="1:3" x14ac:dyDescent="0.35">
      <c r="A198">
        <v>2016</v>
      </c>
      <c r="B198" t="s">
        <v>35</v>
      </c>
      <c r="C198">
        <v>39</v>
      </c>
    </row>
    <row r="199" spans="1:3" x14ac:dyDescent="0.35">
      <c r="A199">
        <v>2017</v>
      </c>
      <c r="B199" t="s">
        <v>35</v>
      </c>
      <c r="C199">
        <v>82</v>
      </c>
    </row>
    <row r="200" spans="1:3" x14ac:dyDescent="0.35">
      <c r="A200">
        <v>2018</v>
      </c>
      <c r="B200" t="s">
        <v>35</v>
      </c>
      <c r="C200">
        <v>140</v>
      </c>
    </row>
    <row r="201" spans="1:3" x14ac:dyDescent="0.35">
      <c r="A201">
        <v>2019</v>
      </c>
      <c r="B201" t="s">
        <v>35</v>
      </c>
      <c r="C201">
        <v>222</v>
      </c>
    </row>
    <row r="202" spans="1:3" x14ac:dyDescent="0.35">
      <c r="A202">
        <v>2020</v>
      </c>
      <c r="B202" t="s">
        <v>35</v>
      </c>
      <c r="C202">
        <v>318</v>
      </c>
    </row>
    <row r="203" spans="1:3" x14ac:dyDescent="0.35">
      <c r="A203">
        <v>2021</v>
      </c>
      <c r="B203" t="s">
        <v>35</v>
      </c>
      <c r="C203">
        <v>425</v>
      </c>
    </row>
    <row r="204" spans="1:3" x14ac:dyDescent="0.35">
      <c r="A204">
        <v>2022</v>
      </c>
      <c r="B204" t="s">
        <v>35</v>
      </c>
      <c r="C204">
        <v>664</v>
      </c>
    </row>
    <row r="205" spans="1:3" x14ac:dyDescent="0.35">
      <c r="A205">
        <v>2023</v>
      </c>
      <c r="B205" t="s">
        <v>35</v>
      </c>
      <c r="C205">
        <v>1009</v>
      </c>
    </row>
    <row r="206" spans="1:3" x14ac:dyDescent="0.35">
      <c r="A206">
        <v>2000</v>
      </c>
      <c r="B206" t="s">
        <v>13</v>
      </c>
      <c r="C206">
        <v>7</v>
      </c>
    </row>
    <row r="207" spans="1:3" x14ac:dyDescent="0.35">
      <c r="A207">
        <v>2001</v>
      </c>
      <c r="B207" t="s">
        <v>13</v>
      </c>
      <c r="C207">
        <v>7</v>
      </c>
    </row>
    <row r="208" spans="1:3" x14ac:dyDescent="0.35">
      <c r="A208">
        <v>2002</v>
      </c>
      <c r="B208" t="s">
        <v>13</v>
      </c>
      <c r="C208">
        <v>8</v>
      </c>
    </row>
    <row r="209" spans="1:3" x14ac:dyDescent="0.35">
      <c r="A209">
        <v>2003</v>
      </c>
      <c r="B209" t="s">
        <v>13</v>
      </c>
      <c r="C209">
        <v>9</v>
      </c>
    </row>
    <row r="210" spans="1:3" x14ac:dyDescent="0.35">
      <c r="A210">
        <v>2004</v>
      </c>
      <c r="B210" t="s">
        <v>13</v>
      </c>
      <c r="C210">
        <v>11</v>
      </c>
    </row>
    <row r="211" spans="1:3" x14ac:dyDescent="0.35">
      <c r="A211">
        <v>2005</v>
      </c>
      <c r="B211" t="s">
        <v>13</v>
      </c>
      <c r="C211">
        <v>13</v>
      </c>
    </row>
    <row r="212" spans="1:3" x14ac:dyDescent="0.35">
      <c r="A212">
        <v>2006</v>
      </c>
      <c r="B212" t="s">
        <v>13</v>
      </c>
      <c r="C212">
        <v>15</v>
      </c>
    </row>
    <row r="213" spans="1:3" x14ac:dyDescent="0.35">
      <c r="A213">
        <v>2007</v>
      </c>
      <c r="B213" t="s">
        <v>13</v>
      </c>
      <c r="C213">
        <v>26</v>
      </c>
    </row>
    <row r="214" spans="1:3" x14ac:dyDescent="0.35">
      <c r="A214">
        <v>2008</v>
      </c>
      <c r="B214" t="s">
        <v>13</v>
      </c>
      <c r="C214">
        <v>80</v>
      </c>
    </row>
    <row r="215" spans="1:3" x14ac:dyDescent="0.35">
      <c r="A215">
        <v>2009</v>
      </c>
      <c r="B215" t="s">
        <v>13</v>
      </c>
      <c r="C215">
        <v>277</v>
      </c>
    </row>
    <row r="216" spans="1:3" x14ac:dyDescent="0.35">
      <c r="A216">
        <v>2010</v>
      </c>
      <c r="B216" t="s">
        <v>13</v>
      </c>
      <c r="C216">
        <v>1044</v>
      </c>
    </row>
    <row r="217" spans="1:3" x14ac:dyDescent="0.35">
      <c r="A217">
        <v>2011</v>
      </c>
      <c r="B217" t="s">
        <v>13</v>
      </c>
      <c r="C217">
        <v>3003.5749999999998</v>
      </c>
    </row>
    <row r="218" spans="1:3" x14ac:dyDescent="0.35">
      <c r="A218">
        <v>2012</v>
      </c>
      <c r="B218" t="s">
        <v>13</v>
      </c>
      <c r="C218">
        <v>4358.7539999999999</v>
      </c>
    </row>
    <row r="219" spans="1:3" x14ac:dyDescent="0.35">
      <c r="A219">
        <v>2013</v>
      </c>
      <c r="B219" t="s">
        <v>13</v>
      </c>
      <c r="C219">
        <v>5277.2889999999998</v>
      </c>
    </row>
    <row r="220" spans="1:3" x14ac:dyDescent="0.35">
      <c r="A220">
        <v>2014</v>
      </c>
      <c r="B220" t="s">
        <v>13</v>
      </c>
      <c r="C220">
        <v>6034.4179999999997</v>
      </c>
    </row>
    <row r="221" spans="1:3" x14ac:dyDescent="0.35">
      <c r="A221">
        <v>2015</v>
      </c>
      <c r="B221" t="s">
        <v>13</v>
      </c>
      <c r="C221">
        <v>7137.5169999999998</v>
      </c>
    </row>
    <row r="222" spans="1:3" x14ac:dyDescent="0.35">
      <c r="A222">
        <v>2016</v>
      </c>
      <c r="B222" t="s">
        <v>13</v>
      </c>
      <c r="C222">
        <v>7702.0810000000001</v>
      </c>
    </row>
    <row r="223" spans="1:3" x14ac:dyDescent="0.35">
      <c r="A223">
        <v>2017</v>
      </c>
      <c r="B223" t="s">
        <v>13</v>
      </c>
      <c r="C223">
        <v>8610.4369999999999</v>
      </c>
    </row>
    <row r="224" spans="1:3" x14ac:dyDescent="0.35">
      <c r="A224">
        <v>2018</v>
      </c>
      <c r="B224" t="s">
        <v>13</v>
      </c>
      <c r="C224">
        <v>9629.1270000000004</v>
      </c>
    </row>
    <row r="225" spans="1:3" x14ac:dyDescent="0.35">
      <c r="A225">
        <v>2019</v>
      </c>
      <c r="B225" t="s">
        <v>13</v>
      </c>
      <c r="C225">
        <v>10728.641</v>
      </c>
    </row>
    <row r="226" spans="1:3" x14ac:dyDescent="0.35">
      <c r="A226">
        <v>2020</v>
      </c>
      <c r="B226" t="s">
        <v>13</v>
      </c>
      <c r="C226">
        <v>11916.592000000001</v>
      </c>
    </row>
    <row r="227" spans="1:3" x14ac:dyDescent="0.35">
      <c r="A227">
        <v>2021</v>
      </c>
      <c r="B227" t="s">
        <v>13</v>
      </c>
      <c r="C227">
        <v>14603.172</v>
      </c>
    </row>
    <row r="228" spans="1:3" x14ac:dyDescent="0.35">
      <c r="A228">
        <v>2022</v>
      </c>
      <c r="B228" t="s">
        <v>13</v>
      </c>
      <c r="C228">
        <v>17341.293000000001</v>
      </c>
    </row>
    <row r="229" spans="1:3" x14ac:dyDescent="0.35">
      <c r="A229">
        <v>2023</v>
      </c>
      <c r="B229" t="s">
        <v>13</v>
      </c>
      <c r="C229">
        <v>17025.725999999999</v>
      </c>
    </row>
    <row r="230" spans="1:3" x14ac:dyDescent="0.35">
      <c r="A230">
        <v>2000</v>
      </c>
      <c r="B230" t="s">
        <v>15</v>
      </c>
      <c r="C230">
        <v>2</v>
      </c>
    </row>
    <row r="231" spans="1:3" x14ac:dyDescent="0.35">
      <c r="A231">
        <v>2001</v>
      </c>
      <c r="B231" t="s">
        <v>15</v>
      </c>
      <c r="C231">
        <v>3</v>
      </c>
    </row>
    <row r="232" spans="1:3" x14ac:dyDescent="0.35">
      <c r="A232">
        <v>2002</v>
      </c>
      <c r="B232" t="s">
        <v>15</v>
      </c>
      <c r="C232">
        <v>4</v>
      </c>
    </row>
    <row r="233" spans="1:3" x14ac:dyDescent="0.35">
      <c r="A233">
        <v>2003</v>
      </c>
      <c r="B233" t="s">
        <v>15</v>
      </c>
      <c r="C233">
        <v>6</v>
      </c>
    </row>
    <row r="234" spans="1:3" x14ac:dyDescent="0.35">
      <c r="A234">
        <v>2004</v>
      </c>
      <c r="B234" t="s">
        <v>15</v>
      </c>
      <c r="C234">
        <v>8</v>
      </c>
    </row>
    <row r="235" spans="1:3" x14ac:dyDescent="0.35">
      <c r="A235">
        <v>2005</v>
      </c>
      <c r="B235" t="s">
        <v>15</v>
      </c>
      <c r="C235">
        <v>11</v>
      </c>
    </row>
    <row r="236" spans="1:3" x14ac:dyDescent="0.35">
      <c r="A236">
        <v>2006</v>
      </c>
      <c r="B236" t="s">
        <v>15</v>
      </c>
      <c r="C236">
        <v>14</v>
      </c>
    </row>
    <row r="237" spans="1:3" x14ac:dyDescent="0.35">
      <c r="A237">
        <v>2007</v>
      </c>
      <c r="B237" t="s">
        <v>15</v>
      </c>
      <c r="C237">
        <v>18</v>
      </c>
    </row>
    <row r="238" spans="1:3" x14ac:dyDescent="0.35">
      <c r="A238">
        <v>2008</v>
      </c>
      <c r="B238" t="s">
        <v>15</v>
      </c>
      <c r="C238">
        <v>23</v>
      </c>
    </row>
    <row r="239" spans="1:3" x14ac:dyDescent="0.35">
      <c r="A239">
        <v>2009</v>
      </c>
      <c r="B239" t="s">
        <v>15</v>
      </c>
      <c r="C239">
        <v>27</v>
      </c>
    </row>
    <row r="240" spans="1:3" x14ac:dyDescent="0.35">
      <c r="A240">
        <v>2010</v>
      </c>
      <c r="B240" t="s">
        <v>15</v>
      </c>
      <c r="C240">
        <v>95</v>
      </c>
    </row>
    <row r="241" spans="1:3" x14ac:dyDescent="0.35">
      <c r="A241">
        <v>2011</v>
      </c>
      <c r="B241" t="s">
        <v>15</v>
      </c>
      <c r="C241">
        <v>1000</v>
      </c>
    </row>
    <row r="242" spans="1:3" x14ac:dyDescent="0.35">
      <c r="A242">
        <v>2012</v>
      </c>
      <c r="B242" t="s">
        <v>15</v>
      </c>
      <c r="C242">
        <v>1753</v>
      </c>
    </row>
    <row r="243" spans="1:3" x14ac:dyDescent="0.35">
      <c r="A243">
        <v>2013</v>
      </c>
      <c r="B243" t="s">
        <v>15</v>
      </c>
      <c r="C243">
        <v>2937</v>
      </c>
    </row>
    <row r="244" spans="1:3" x14ac:dyDescent="0.35">
      <c r="A244">
        <v>2014</v>
      </c>
      <c r="B244" t="s">
        <v>15</v>
      </c>
      <c r="C244">
        <v>5528</v>
      </c>
    </row>
    <row r="245" spans="1:3" x14ac:dyDescent="0.35">
      <c r="A245">
        <v>2015</v>
      </c>
      <c r="B245" t="s">
        <v>15</v>
      </c>
      <c r="C245">
        <v>9601.2189999999991</v>
      </c>
    </row>
    <row r="246" spans="1:3" x14ac:dyDescent="0.35">
      <c r="A246">
        <v>2016</v>
      </c>
      <c r="B246" t="s">
        <v>15</v>
      </c>
      <c r="C246">
        <v>11914</v>
      </c>
    </row>
    <row r="247" spans="1:3" x14ac:dyDescent="0.35">
      <c r="A247">
        <v>2017</v>
      </c>
      <c r="B247" t="s">
        <v>15</v>
      </c>
      <c r="C247">
        <v>12760</v>
      </c>
    </row>
    <row r="248" spans="1:3" x14ac:dyDescent="0.35">
      <c r="A248">
        <v>2018</v>
      </c>
      <c r="B248" t="s">
        <v>15</v>
      </c>
      <c r="C248">
        <v>13073</v>
      </c>
    </row>
    <row r="249" spans="1:3" x14ac:dyDescent="0.35">
      <c r="A249">
        <v>2019</v>
      </c>
      <c r="B249" t="s">
        <v>15</v>
      </c>
      <c r="C249">
        <v>13346</v>
      </c>
    </row>
    <row r="250" spans="1:3" x14ac:dyDescent="0.35">
      <c r="A250">
        <v>2020</v>
      </c>
      <c r="B250" t="s">
        <v>15</v>
      </c>
      <c r="C250">
        <v>13871.3773659048</v>
      </c>
    </row>
    <row r="251" spans="1:3" x14ac:dyDescent="0.35">
      <c r="A251">
        <v>2021</v>
      </c>
      <c r="B251" t="s">
        <v>15</v>
      </c>
      <c r="C251">
        <v>14261.978633196</v>
      </c>
    </row>
    <row r="252" spans="1:3" x14ac:dyDescent="0.35">
      <c r="A252">
        <v>2022</v>
      </c>
      <c r="B252" t="s">
        <v>15</v>
      </c>
      <c r="C252">
        <v>14981.8915754215</v>
      </c>
    </row>
    <row r="253" spans="1:3" x14ac:dyDescent="0.35">
      <c r="A253">
        <v>2023</v>
      </c>
      <c r="B253" t="s">
        <v>15</v>
      </c>
      <c r="C253">
        <v>16276.482577594599</v>
      </c>
    </row>
    <row r="254" spans="1:3" x14ac:dyDescent="0.35">
      <c r="A254">
        <v>2000</v>
      </c>
      <c r="B254" t="s">
        <v>18</v>
      </c>
      <c r="C254">
        <v>0</v>
      </c>
    </row>
    <row r="255" spans="1:3" x14ac:dyDescent="0.35">
      <c r="A255">
        <v>2001</v>
      </c>
      <c r="B255" t="s">
        <v>18</v>
      </c>
      <c r="C255">
        <v>1</v>
      </c>
    </row>
    <row r="256" spans="1:3" x14ac:dyDescent="0.35">
      <c r="A256">
        <v>2002</v>
      </c>
      <c r="B256" t="s">
        <v>18</v>
      </c>
      <c r="C256">
        <v>1</v>
      </c>
    </row>
    <row r="257" spans="1:3" x14ac:dyDescent="0.35">
      <c r="A257">
        <v>2003</v>
      </c>
      <c r="B257" t="s">
        <v>18</v>
      </c>
      <c r="C257">
        <v>1</v>
      </c>
    </row>
    <row r="258" spans="1:3" x14ac:dyDescent="0.35">
      <c r="A258">
        <v>2004</v>
      </c>
      <c r="B258" t="s">
        <v>18</v>
      </c>
      <c r="C258">
        <v>1</v>
      </c>
    </row>
    <row r="259" spans="1:3" x14ac:dyDescent="0.35">
      <c r="A259">
        <v>2005</v>
      </c>
      <c r="B259" t="s">
        <v>18</v>
      </c>
      <c r="C259">
        <v>1</v>
      </c>
    </row>
    <row r="260" spans="1:3" x14ac:dyDescent="0.35">
      <c r="A260">
        <v>2006</v>
      </c>
      <c r="B260" t="s">
        <v>18</v>
      </c>
      <c r="C260">
        <v>5</v>
      </c>
    </row>
    <row r="261" spans="1:3" x14ac:dyDescent="0.35">
      <c r="A261">
        <v>2007</v>
      </c>
      <c r="B261" t="s">
        <v>18</v>
      </c>
      <c r="C261">
        <v>9</v>
      </c>
    </row>
    <row r="262" spans="1:3" x14ac:dyDescent="0.35">
      <c r="A262">
        <v>2008</v>
      </c>
      <c r="B262" t="s">
        <v>18</v>
      </c>
      <c r="C262">
        <v>12</v>
      </c>
    </row>
    <row r="263" spans="1:3" x14ac:dyDescent="0.35">
      <c r="A263">
        <v>2009</v>
      </c>
      <c r="B263" t="s">
        <v>18</v>
      </c>
      <c r="C263">
        <v>46</v>
      </c>
    </row>
    <row r="264" spans="1:3" x14ac:dyDescent="0.35">
      <c r="A264">
        <v>2010</v>
      </c>
      <c r="B264" t="s">
        <v>18</v>
      </c>
      <c r="C264">
        <v>202</v>
      </c>
    </row>
    <row r="265" spans="1:3" x14ac:dyDescent="0.35">
      <c r="A265">
        <v>2011</v>
      </c>
      <c r="B265" t="s">
        <v>18</v>
      </c>
      <c r="C265">
        <v>612</v>
      </c>
    </row>
    <row r="266" spans="1:3" x14ac:dyDescent="0.35">
      <c r="A266">
        <v>2012</v>
      </c>
      <c r="B266" t="s">
        <v>18</v>
      </c>
      <c r="C266">
        <v>1536</v>
      </c>
    </row>
    <row r="267" spans="1:3" x14ac:dyDescent="0.35">
      <c r="A267">
        <v>2013</v>
      </c>
      <c r="B267" t="s">
        <v>18</v>
      </c>
      <c r="C267">
        <v>2579</v>
      </c>
    </row>
    <row r="268" spans="1:3" x14ac:dyDescent="0.35">
      <c r="A268">
        <v>2014</v>
      </c>
      <c r="B268" t="s">
        <v>18</v>
      </c>
      <c r="C268">
        <v>2596</v>
      </c>
    </row>
    <row r="269" spans="1:3" x14ac:dyDescent="0.35">
      <c r="A269">
        <v>2015</v>
      </c>
      <c r="B269" t="s">
        <v>18</v>
      </c>
      <c r="C269">
        <v>2604</v>
      </c>
    </row>
    <row r="270" spans="1:3" x14ac:dyDescent="0.35">
      <c r="A270">
        <v>2016</v>
      </c>
      <c r="B270" t="s">
        <v>18</v>
      </c>
      <c r="C270">
        <v>2604</v>
      </c>
    </row>
    <row r="271" spans="1:3" x14ac:dyDescent="0.35">
      <c r="A271">
        <v>2017</v>
      </c>
      <c r="B271" t="s">
        <v>18</v>
      </c>
      <c r="C271">
        <v>2605.5300000000002</v>
      </c>
    </row>
    <row r="272" spans="1:3" x14ac:dyDescent="0.35">
      <c r="A272">
        <v>2018</v>
      </c>
      <c r="B272" t="s">
        <v>18</v>
      </c>
      <c r="C272">
        <v>2651.0309999999999</v>
      </c>
    </row>
    <row r="273" spans="1:3" x14ac:dyDescent="0.35">
      <c r="A273">
        <v>2019</v>
      </c>
      <c r="B273" t="s">
        <v>18</v>
      </c>
      <c r="C273">
        <v>2833.7979999999998</v>
      </c>
    </row>
    <row r="274" spans="1:3" x14ac:dyDescent="0.35">
      <c r="A274">
        <v>2020</v>
      </c>
      <c r="B274" t="s">
        <v>18</v>
      </c>
      <c r="C274">
        <v>3287.7150000000001</v>
      </c>
    </row>
    <row r="275" spans="1:3" x14ac:dyDescent="0.35">
      <c r="A275">
        <v>2021</v>
      </c>
      <c r="B275" t="s">
        <v>18</v>
      </c>
      <c r="C275">
        <v>4277.42</v>
      </c>
    </row>
    <row r="276" spans="1:3" x14ac:dyDescent="0.35">
      <c r="A276">
        <v>2022</v>
      </c>
      <c r="B276" t="s">
        <v>18</v>
      </c>
      <c r="C276">
        <v>5430.0829999999996</v>
      </c>
    </row>
    <row r="277" spans="1:3" x14ac:dyDescent="0.35">
      <c r="A277">
        <v>2023</v>
      </c>
      <c r="B277" t="s">
        <v>18</v>
      </c>
      <c r="C277">
        <v>6688.7030000000004</v>
      </c>
    </row>
    <row r="278" spans="1:3" x14ac:dyDescent="0.35">
      <c r="A278">
        <v>2000</v>
      </c>
      <c r="B278" t="s">
        <v>36</v>
      </c>
      <c r="C278">
        <v>0</v>
      </c>
    </row>
    <row r="279" spans="1:3" x14ac:dyDescent="0.35">
      <c r="A279">
        <v>2001</v>
      </c>
      <c r="B279" t="s">
        <v>36</v>
      </c>
      <c r="C279">
        <v>0</v>
      </c>
    </row>
    <row r="280" spans="1:3" x14ac:dyDescent="0.35">
      <c r="A280">
        <v>2002</v>
      </c>
      <c r="B280" t="s">
        <v>36</v>
      </c>
      <c r="C280">
        <v>0</v>
      </c>
    </row>
    <row r="281" spans="1:3" x14ac:dyDescent="0.35">
      <c r="A281">
        <v>2003</v>
      </c>
      <c r="B281" t="s">
        <v>36</v>
      </c>
      <c r="C281">
        <v>0</v>
      </c>
    </row>
    <row r="282" spans="1:3" x14ac:dyDescent="0.35">
      <c r="A282">
        <v>2004</v>
      </c>
      <c r="B282" t="s">
        <v>36</v>
      </c>
      <c r="C282">
        <v>0</v>
      </c>
    </row>
    <row r="283" spans="1:3" x14ac:dyDescent="0.35">
      <c r="A283">
        <v>2005</v>
      </c>
      <c r="B283" t="s">
        <v>36</v>
      </c>
      <c r="C283">
        <v>0</v>
      </c>
    </row>
    <row r="284" spans="1:3" x14ac:dyDescent="0.35">
      <c r="A284">
        <v>2006</v>
      </c>
      <c r="B284" t="s">
        <v>36</v>
      </c>
      <c r="C284">
        <v>0</v>
      </c>
    </row>
    <row r="285" spans="1:3" x14ac:dyDescent="0.35">
      <c r="A285">
        <v>2007</v>
      </c>
      <c r="B285" t="s">
        <v>36</v>
      </c>
      <c r="C285">
        <v>0</v>
      </c>
    </row>
    <row r="286" spans="1:3" x14ac:dyDescent="0.35">
      <c r="A286">
        <v>2008</v>
      </c>
      <c r="B286" t="s">
        <v>36</v>
      </c>
      <c r="C286">
        <v>1</v>
      </c>
    </row>
    <row r="287" spans="1:3" x14ac:dyDescent="0.35">
      <c r="A287">
        <v>2009</v>
      </c>
      <c r="B287" t="s">
        <v>36</v>
      </c>
      <c r="C287">
        <v>1</v>
      </c>
    </row>
    <row r="288" spans="1:3" x14ac:dyDescent="0.35">
      <c r="A288">
        <v>2010</v>
      </c>
      <c r="B288" t="s">
        <v>36</v>
      </c>
      <c r="C288">
        <v>2</v>
      </c>
    </row>
    <row r="289" spans="1:3" x14ac:dyDescent="0.35">
      <c r="A289">
        <v>2011</v>
      </c>
      <c r="B289" t="s">
        <v>36</v>
      </c>
      <c r="C289">
        <v>4</v>
      </c>
    </row>
    <row r="290" spans="1:3" x14ac:dyDescent="0.35">
      <c r="A290">
        <v>2012</v>
      </c>
      <c r="B290" t="s">
        <v>36</v>
      </c>
      <c r="C290">
        <v>12</v>
      </c>
    </row>
    <row r="291" spans="1:3" x14ac:dyDescent="0.35">
      <c r="A291">
        <v>2013</v>
      </c>
      <c r="B291" t="s">
        <v>36</v>
      </c>
      <c r="C291">
        <v>35</v>
      </c>
    </row>
    <row r="292" spans="1:3" x14ac:dyDescent="0.35">
      <c r="A292">
        <v>2014</v>
      </c>
      <c r="B292" t="s">
        <v>36</v>
      </c>
      <c r="C292">
        <v>89</v>
      </c>
    </row>
    <row r="293" spans="1:3" x14ac:dyDescent="0.35">
      <c r="A293">
        <v>2015</v>
      </c>
      <c r="B293" t="s">
        <v>36</v>
      </c>
      <c r="C293">
        <v>172</v>
      </c>
    </row>
    <row r="294" spans="1:3" x14ac:dyDescent="0.35">
      <c r="A294">
        <v>2016</v>
      </c>
      <c r="B294" t="s">
        <v>36</v>
      </c>
      <c r="C294">
        <v>235</v>
      </c>
    </row>
    <row r="295" spans="1:3" x14ac:dyDescent="0.35">
      <c r="A295">
        <v>2017</v>
      </c>
      <c r="B295" t="s">
        <v>36</v>
      </c>
      <c r="C295">
        <v>344</v>
      </c>
    </row>
    <row r="296" spans="1:3" x14ac:dyDescent="0.35">
      <c r="A296">
        <v>2018</v>
      </c>
      <c r="B296" t="s">
        <v>36</v>
      </c>
      <c r="C296">
        <v>728</v>
      </c>
    </row>
    <row r="297" spans="1:3" x14ac:dyDescent="0.35">
      <c r="A297">
        <v>2019</v>
      </c>
      <c r="B297" t="s">
        <v>36</v>
      </c>
      <c r="C297">
        <v>1400</v>
      </c>
    </row>
    <row r="298" spans="1:3" x14ac:dyDescent="0.35">
      <c r="A298">
        <v>2020</v>
      </c>
      <c r="B298" t="s">
        <v>36</v>
      </c>
      <c r="C298">
        <v>2131</v>
      </c>
    </row>
    <row r="299" spans="1:3" x14ac:dyDescent="0.35">
      <c r="A299">
        <v>2021</v>
      </c>
      <c r="B299" t="s">
        <v>36</v>
      </c>
      <c r="C299">
        <v>2968</v>
      </c>
    </row>
    <row r="300" spans="1:3" x14ac:dyDescent="0.35">
      <c r="A300">
        <v>2022</v>
      </c>
      <c r="B300" t="s">
        <v>36</v>
      </c>
      <c r="C300">
        <v>4235</v>
      </c>
    </row>
    <row r="301" spans="1:3" x14ac:dyDescent="0.35">
      <c r="A301">
        <v>2023</v>
      </c>
      <c r="B301" t="s">
        <v>36</v>
      </c>
      <c r="C301">
        <v>5910</v>
      </c>
    </row>
    <row r="302" spans="1:3" x14ac:dyDescent="0.35">
      <c r="A302">
        <v>2000</v>
      </c>
      <c r="B302" t="s">
        <v>20</v>
      </c>
      <c r="C302">
        <v>19</v>
      </c>
    </row>
    <row r="303" spans="1:3" x14ac:dyDescent="0.35">
      <c r="A303">
        <v>2001</v>
      </c>
      <c r="B303" t="s">
        <v>20</v>
      </c>
      <c r="C303">
        <v>20</v>
      </c>
    </row>
    <row r="304" spans="1:3" x14ac:dyDescent="0.35">
      <c r="A304">
        <v>2002</v>
      </c>
      <c r="B304" t="s">
        <v>20</v>
      </c>
      <c r="C304">
        <v>22</v>
      </c>
    </row>
    <row r="305" spans="1:3" x14ac:dyDescent="0.35">
      <c r="A305">
        <v>2003</v>
      </c>
      <c r="B305" t="s">
        <v>20</v>
      </c>
      <c r="C305">
        <v>26</v>
      </c>
    </row>
    <row r="306" spans="1:3" x14ac:dyDescent="0.35">
      <c r="A306">
        <v>2004</v>
      </c>
      <c r="B306" t="s">
        <v>20</v>
      </c>
      <c r="C306">
        <v>31</v>
      </c>
    </row>
    <row r="307" spans="1:3" x14ac:dyDescent="0.35">
      <c r="A307">
        <v>2005</v>
      </c>
      <c r="B307" t="s">
        <v>20</v>
      </c>
      <c r="C307">
        <v>34</v>
      </c>
    </row>
    <row r="308" spans="1:3" x14ac:dyDescent="0.35">
      <c r="A308">
        <v>2006</v>
      </c>
      <c r="B308" t="s">
        <v>20</v>
      </c>
      <c r="C308">
        <v>45</v>
      </c>
    </row>
    <row r="309" spans="1:3" x14ac:dyDescent="0.35">
      <c r="A309">
        <v>2007</v>
      </c>
      <c r="B309" t="s">
        <v>20</v>
      </c>
      <c r="C309">
        <v>110</v>
      </c>
    </row>
    <row r="310" spans="1:3" x14ac:dyDescent="0.35">
      <c r="A310">
        <v>2008</v>
      </c>
      <c r="B310" t="s">
        <v>20</v>
      </c>
      <c r="C310">
        <v>483</v>
      </c>
    </row>
    <row r="311" spans="1:3" x14ac:dyDescent="0.35">
      <c r="A311">
        <v>2009</v>
      </c>
      <c r="B311" t="s">
        <v>20</v>
      </c>
      <c r="C311">
        <v>1264</v>
      </c>
    </row>
    <row r="312" spans="1:3" x14ac:dyDescent="0.35">
      <c r="A312">
        <v>2010</v>
      </c>
      <c r="B312" t="s">
        <v>20</v>
      </c>
      <c r="C312">
        <v>3592</v>
      </c>
    </row>
    <row r="313" spans="1:3" x14ac:dyDescent="0.35">
      <c r="A313">
        <v>2011</v>
      </c>
      <c r="B313" t="s">
        <v>20</v>
      </c>
      <c r="C313">
        <v>13131</v>
      </c>
    </row>
    <row r="314" spans="1:3" x14ac:dyDescent="0.35">
      <c r="A314">
        <v>2012</v>
      </c>
      <c r="B314" t="s">
        <v>20</v>
      </c>
      <c r="C314">
        <v>16785</v>
      </c>
    </row>
    <row r="315" spans="1:3" x14ac:dyDescent="0.35">
      <c r="A315">
        <v>2013</v>
      </c>
      <c r="B315" t="s">
        <v>20</v>
      </c>
      <c r="C315">
        <v>18185</v>
      </c>
    </row>
    <row r="316" spans="1:3" x14ac:dyDescent="0.35">
      <c r="A316">
        <v>2014</v>
      </c>
      <c r="B316" t="s">
        <v>20</v>
      </c>
      <c r="C316">
        <v>18594</v>
      </c>
    </row>
    <row r="317" spans="1:3" x14ac:dyDescent="0.35">
      <c r="A317">
        <v>2015</v>
      </c>
      <c r="B317" t="s">
        <v>20</v>
      </c>
      <c r="C317">
        <v>18901</v>
      </c>
    </row>
    <row r="318" spans="1:3" x14ac:dyDescent="0.35">
      <c r="A318">
        <v>2016</v>
      </c>
      <c r="B318" t="s">
        <v>20</v>
      </c>
      <c r="C318">
        <v>19283</v>
      </c>
    </row>
    <row r="319" spans="1:3" x14ac:dyDescent="0.35">
      <c r="A319">
        <v>2017</v>
      </c>
      <c r="B319" t="s">
        <v>20</v>
      </c>
      <c r="C319">
        <v>19682.293000000001</v>
      </c>
    </row>
    <row r="320" spans="1:3" x14ac:dyDescent="0.35">
      <c r="A320">
        <v>2018</v>
      </c>
      <c r="B320" t="s">
        <v>20</v>
      </c>
      <c r="C320">
        <v>20107.589</v>
      </c>
    </row>
    <row r="321" spans="1:3" x14ac:dyDescent="0.35">
      <c r="A321">
        <v>2019</v>
      </c>
      <c r="B321" t="s">
        <v>20</v>
      </c>
      <c r="C321">
        <v>20865.275000000001</v>
      </c>
    </row>
    <row r="322" spans="1:3" x14ac:dyDescent="0.35">
      <c r="A322">
        <v>2020</v>
      </c>
      <c r="B322" t="s">
        <v>20</v>
      </c>
      <c r="C322">
        <v>21650.04</v>
      </c>
    </row>
    <row r="323" spans="1:3" x14ac:dyDescent="0.35">
      <c r="A323">
        <v>2021</v>
      </c>
      <c r="B323" t="s">
        <v>20</v>
      </c>
      <c r="C323">
        <v>22280.951000000001</v>
      </c>
    </row>
    <row r="324" spans="1:3" x14ac:dyDescent="0.35">
      <c r="A324">
        <v>2022</v>
      </c>
      <c r="B324" t="s">
        <v>20</v>
      </c>
      <c r="C324">
        <v>24555.248</v>
      </c>
    </row>
    <row r="325" spans="1:3" x14ac:dyDescent="0.35">
      <c r="A325">
        <v>2023</v>
      </c>
      <c r="B325" t="s">
        <v>20</v>
      </c>
      <c r="C325">
        <v>29351.396000000001</v>
      </c>
    </row>
    <row r="326" spans="1:3" x14ac:dyDescent="0.35">
      <c r="A326">
        <v>2001</v>
      </c>
      <c r="B326" t="s">
        <v>37</v>
      </c>
      <c r="C326">
        <v>0</v>
      </c>
    </row>
    <row r="327" spans="1:3" x14ac:dyDescent="0.35">
      <c r="A327">
        <v>2002</v>
      </c>
      <c r="B327" t="s">
        <v>37</v>
      </c>
      <c r="C327">
        <v>0</v>
      </c>
    </row>
    <row r="328" spans="1:3" x14ac:dyDescent="0.35">
      <c r="A328">
        <v>2003</v>
      </c>
      <c r="B328" t="s">
        <v>37</v>
      </c>
      <c r="C328">
        <v>0</v>
      </c>
    </row>
    <row r="329" spans="1:3" x14ac:dyDescent="0.35">
      <c r="A329">
        <v>2004</v>
      </c>
      <c r="B329" t="s">
        <v>37</v>
      </c>
      <c r="C329">
        <v>0</v>
      </c>
    </row>
    <row r="330" spans="1:3" x14ac:dyDescent="0.35">
      <c r="A330">
        <v>2005</v>
      </c>
      <c r="B330" t="s">
        <v>37</v>
      </c>
      <c r="C330">
        <v>0</v>
      </c>
    </row>
    <row r="331" spans="1:3" x14ac:dyDescent="0.35">
      <c r="A331">
        <v>2006</v>
      </c>
      <c r="B331" t="s">
        <v>37</v>
      </c>
      <c r="C331">
        <v>0</v>
      </c>
    </row>
    <row r="332" spans="1:3" x14ac:dyDescent="0.35">
      <c r="A332">
        <v>2007</v>
      </c>
      <c r="B332" t="s">
        <v>37</v>
      </c>
      <c r="C332">
        <v>0</v>
      </c>
    </row>
    <row r="333" spans="1:3" x14ac:dyDescent="0.35">
      <c r="A333">
        <v>2008</v>
      </c>
      <c r="B333" t="s">
        <v>37</v>
      </c>
      <c r="C333">
        <v>0</v>
      </c>
    </row>
    <row r="334" spans="1:3" x14ac:dyDescent="0.35">
      <c r="A334">
        <v>2009</v>
      </c>
      <c r="B334" t="s">
        <v>37</v>
      </c>
      <c r="C334">
        <v>0</v>
      </c>
    </row>
    <row r="335" spans="1:3" x14ac:dyDescent="0.35">
      <c r="A335">
        <v>2010</v>
      </c>
      <c r="B335" t="s">
        <v>37</v>
      </c>
      <c r="C335">
        <v>0</v>
      </c>
    </row>
    <row r="336" spans="1:3" x14ac:dyDescent="0.35">
      <c r="A336">
        <v>2011</v>
      </c>
      <c r="B336" t="s">
        <v>37</v>
      </c>
      <c r="C336">
        <v>0</v>
      </c>
    </row>
    <row r="337" spans="1:3" x14ac:dyDescent="0.35">
      <c r="A337">
        <v>2012</v>
      </c>
      <c r="B337" t="s">
        <v>37</v>
      </c>
      <c r="C337">
        <v>7</v>
      </c>
    </row>
    <row r="338" spans="1:3" x14ac:dyDescent="0.35">
      <c r="A338">
        <v>2013</v>
      </c>
      <c r="B338" t="s">
        <v>37</v>
      </c>
      <c r="C338">
        <v>68</v>
      </c>
    </row>
    <row r="339" spans="1:3" x14ac:dyDescent="0.35">
      <c r="A339">
        <v>2014</v>
      </c>
      <c r="B339" t="s">
        <v>37</v>
      </c>
      <c r="C339">
        <v>69</v>
      </c>
    </row>
    <row r="340" spans="1:3" x14ac:dyDescent="0.35">
      <c r="A340">
        <v>2015</v>
      </c>
      <c r="B340" t="s">
        <v>37</v>
      </c>
      <c r="C340">
        <v>69</v>
      </c>
    </row>
    <row r="341" spans="1:3" x14ac:dyDescent="0.35">
      <c r="A341">
        <v>2016</v>
      </c>
      <c r="B341" t="s">
        <v>37</v>
      </c>
      <c r="C341">
        <v>70</v>
      </c>
    </row>
    <row r="342" spans="1:3" x14ac:dyDescent="0.35">
      <c r="A342">
        <v>2017</v>
      </c>
      <c r="B342" t="s">
        <v>37</v>
      </c>
      <c r="C342">
        <v>71.247</v>
      </c>
    </row>
    <row r="343" spans="1:3" x14ac:dyDescent="0.35">
      <c r="A343">
        <v>2018</v>
      </c>
      <c r="B343" t="s">
        <v>37</v>
      </c>
      <c r="C343">
        <v>79.087000000000003</v>
      </c>
    </row>
    <row r="344" spans="1:3" x14ac:dyDescent="0.35">
      <c r="A344">
        <v>2019</v>
      </c>
      <c r="B344" t="s">
        <v>37</v>
      </c>
      <c r="C344">
        <v>100.01300000000001</v>
      </c>
    </row>
    <row r="345" spans="1:3" x14ac:dyDescent="0.35">
      <c r="A345">
        <v>2020</v>
      </c>
      <c r="B345" t="s">
        <v>37</v>
      </c>
      <c r="C345">
        <v>160.495</v>
      </c>
    </row>
    <row r="346" spans="1:3" x14ac:dyDescent="0.35">
      <c r="A346">
        <v>2021</v>
      </c>
      <c r="B346" t="s">
        <v>37</v>
      </c>
      <c r="C346">
        <v>250.881</v>
      </c>
    </row>
    <row r="347" spans="1:3" x14ac:dyDescent="0.35">
      <c r="A347">
        <v>2022</v>
      </c>
      <c r="B347" t="s">
        <v>37</v>
      </c>
      <c r="C347">
        <v>567.46799999999996</v>
      </c>
    </row>
    <row r="348" spans="1:3" x14ac:dyDescent="0.35">
      <c r="A348">
        <v>2023</v>
      </c>
      <c r="B348" t="s">
        <v>37</v>
      </c>
      <c r="C348">
        <v>1153</v>
      </c>
    </row>
    <row r="349" spans="1:3" x14ac:dyDescent="0.35">
      <c r="A349">
        <v>2000</v>
      </c>
      <c r="B349" t="s">
        <v>23</v>
      </c>
      <c r="C349">
        <v>13</v>
      </c>
    </row>
    <row r="350" spans="1:3" x14ac:dyDescent="0.35">
      <c r="A350">
        <v>2001</v>
      </c>
      <c r="B350" t="s">
        <v>23</v>
      </c>
      <c r="C350">
        <v>21</v>
      </c>
    </row>
    <row r="351" spans="1:3" x14ac:dyDescent="0.35">
      <c r="A351">
        <v>2002</v>
      </c>
      <c r="B351" t="s">
        <v>23</v>
      </c>
      <c r="C351">
        <v>26</v>
      </c>
    </row>
    <row r="352" spans="1:3" x14ac:dyDescent="0.35">
      <c r="A352">
        <v>2003</v>
      </c>
      <c r="B352" t="s">
        <v>23</v>
      </c>
      <c r="C352">
        <v>46</v>
      </c>
    </row>
    <row r="353" spans="1:3" x14ac:dyDescent="0.35">
      <c r="A353">
        <v>2004</v>
      </c>
      <c r="B353" t="s">
        <v>23</v>
      </c>
      <c r="C353">
        <v>50</v>
      </c>
    </row>
    <row r="354" spans="1:3" x14ac:dyDescent="0.35">
      <c r="A354">
        <v>2005</v>
      </c>
      <c r="B354" t="s">
        <v>23</v>
      </c>
      <c r="C354">
        <v>51</v>
      </c>
    </row>
    <row r="355" spans="1:3" x14ac:dyDescent="0.35">
      <c r="A355">
        <v>2006</v>
      </c>
      <c r="B355" t="s">
        <v>23</v>
      </c>
      <c r="C355">
        <v>53</v>
      </c>
    </row>
    <row r="356" spans="1:3" x14ac:dyDescent="0.35">
      <c r="A356">
        <v>2007</v>
      </c>
      <c r="B356" t="s">
        <v>23</v>
      </c>
      <c r="C356">
        <v>54</v>
      </c>
    </row>
    <row r="357" spans="1:3" x14ac:dyDescent="0.35">
      <c r="A357">
        <v>2008</v>
      </c>
      <c r="B357" t="s">
        <v>23</v>
      </c>
      <c r="C357">
        <v>59</v>
      </c>
    </row>
    <row r="358" spans="1:3" x14ac:dyDescent="0.35">
      <c r="A358">
        <v>2009</v>
      </c>
      <c r="B358" t="s">
        <v>23</v>
      </c>
      <c r="C358">
        <v>69</v>
      </c>
    </row>
    <row r="359" spans="1:3" x14ac:dyDescent="0.35">
      <c r="A359">
        <v>2010</v>
      </c>
      <c r="B359" t="s">
        <v>23</v>
      </c>
      <c r="C359">
        <v>90</v>
      </c>
    </row>
    <row r="360" spans="1:3" x14ac:dyDescent="0.35">
      <c r="A360">
        <v>2011</v>
      </c>
      <c r="B360" t="s">
        <v>23</v>
      </c>
      <c r="C360">
        <v>149</v>
      </c>
    </row>
    <row r="361" spans="1:3" x14ac:dyDescent="0.35">
      <c r="A361">
        <v>2012</v>
      </c>
      <c r="B361" t="s">
        <v>23</v>
      </c>
      <c r="C361">
        <v>287</v>
      </c>
    </row>
    <row r="362" spans="1:3" x14ac:dyDescent="0.35">
      <c r="A362">
        <v>2013</v>
      </c>
      <c r="B362" t="s">
        <v>23</v>
      </c>
      <c r="C362">
        <v>650</v>
      </c>
    </row>
    <row r="363" spans="1:3" x14ac:dyDescent="0.35">
      <c r="A363">
        <v>2014</v>
      </c>
      <c r="B363" t="s">
        <v>23</v>
      </c>
      <c r="C363">
        <v>1007</v>
      </c>
    </row>
    <row r="364" spans="1:3" x14ac:dyDescent="0.35">
      <c r="A364">
        <v>2015</v>
      </c>
      <c r="B364" t="s">
        <v>23</v>
      </c>
      <c r="C364">
        <v>1526.259</v>
      </c>
    </row>
    <row r="365" spans="1:3" x14ac:dyDescent="0.35">
      <c r="A365">
        <v>2016</v>
      </c>
      <c r="B365" t="s">
        <v>23</v>
      </c>
      <c r="C365">
        <v>2135.0210000000002</v>
      </c>
    </row>
    <row r="366" spans="1:3" x14ac:dyDescent="0.35">
      <c r="A366">
        <v>2017</v>
      </c>
      <c r="B366" t="s">
        <v>23</v>
      </c>
      <c r="C366">
        <v>2910.8919999999998</v>
      </c>
    </row>
    <row r="367" spans="1:3" x14ac:dyDescent="0.35">
      <c r="A367">
        <v>2018</v>
      </c>
      <c r="B367" t="s">
        <v>23</v>
      </c>
      <c r="C367">
        <v>4608</v>
      </c>
    </row>
    <row r="368" spans="1:3" x14ac:dyDescent="0.35">
      <c r="A368">
        <v>2019</v>
      </c>
      <c r="B368" t="s">
        <v>23</v>
      </c>
      <c r="C368">
        <v>7227.5950000000003</v>
      </c>
    </row>
    <row r="369" spans="1:3" x14ac:dyDescent="0.35">
      <c r="A369">
        <v>2020</v>
      </c>
      <c r="B369" t="s">
        <v>23</v>
      </c>
      <c r="C369">
        <v>11110.022000000001</v>
      </c>
    </row>
    <row r="370" spans="1:3" x14ac:dyDescent="0.35">
      <c r="A370">
        <v>2021</v>
      </c>
      <c r="B370" t="s">
        <v>23</v>
      </c>
      <c r="C370">
        <v>14822.88</v>
      </c>
    </row>
    <row r="371" spans="1:3" x14ac:dyDescent="0.35">
      <c r="A371">
        <v>2022</v>
      </c>
      <c r="B371" t="s">
        <v>23</v>
      </c>
      <c r="C371">
        <v>17356.464</v>
      </c>
    </row>
    <row r="372" spans="1:3" x14ac:dyDescent="0.35">
      <c r="A372">
        <v>2023</v>
      </c>
      <c r="B372" t="s">
        <v>23</v>
      </c>
      <c r="C372">
        <v>21274.636999999999</v>
      </c>
    </row>
    <row r="373" spans="1:3" x14ac:dyDescent="0.35">
      <c r="A373">
        <v>2000</v>
      </c>
      <c r="B373" t="s">
        <v>25</v>
      </c>
      <c r="C373">
        <v>0</v>
      </c>
    </row>
    <row r="374" spans="1:3" x14ac:dyDescent="0.35">
      <c r="A374">
        <v>2001</v>
      </c>
      <c r="B374" t="s">
        <v>25</v>
      </c>
      <c r="C374">
        <v>0</v>
      </c>
    </row>
    <row r="375" spans="1:3" x14ac:dyDescent="0.35">
      <c r="A375">
        <v>2002</v>
      </c>
      <c r="B375" t="s">
        <v>25</v>
      </c>
      <c r="C375">
        <v>0</v>
      </c>
    </row>
    <row r="376" spans="1:3" x14ac:dyDescent="0.35">
      <c r="A376">
        <v>2003</v>
      </c>
      <c r="B376" t="s">
        <v>25</v>
      </c>
      <c r="C376">
        <v>0</v>
      </c>
    </row>
    <row r="377" spans="1:3" x14ac:dyDescent="0.35">
      <c r="A377">
        <v>2004</v>
      </c>
      <c r="B377" t="s">
        <v>25</v>
      </c>
      <c r="C377">
        <v>0</v>
      </c>
    </row>
    <row r="378" spans="1:3" x14ac:dyDescent="0.35">
      <c r="A378">
        <v>2005</v>
      </c>
      <c r="B378" t="s">
        <v>25</v>
      </c>
      <c r="C378">
        <v>0</v>
      </c>
    </row>
    <row r="379" spans="1:3" x14ac:dyDescent="0.35">
      <c r="A379">
        <v>2006</v>
      </c>
      <c r="B379" t="s">
        <v>25</v>
      </c>
      <c r="C379">
        <v>0</v>
      </c>
    </row>
    <row r="380" spans="1:3" x14ac:dyDescent="0.35">
      <c r="A380">
        <v>2007</v>
      </c>
      <c r="B380" t="s">
        <v>25</v>
      </c>
      <c r="C380">
        <v>0</v>
      </c>
    </row>
    <row r="381" spans="1:3" x14ac:dyDescent="0.35">
      <c r="A381">
        <v>2008</v>
      </c>
      <c r="B381" t="s">
        <v>25</v>
      </c>
      <c r="C381">
        <v>0</v>
      </c>
    </row>
    <row r="382" spans="1:3" x14ac:dyDescent="0.35">
      <c r="A382">
        <v>2009</v>
      </c>
      <c r="B382" t="s">
        <v>25</v>
      </c>
      <c r="C382">
        <v>0</v>
      </c>
    </row>
    <row r="383" spans="1:3" x14ac:dyDescent="0.35">
      <c r="A383">
        <v>2010</v>
      </c>
      <c r="B383" t="s">
        <v>25</v>
      </c>
      <c r="C383">
        <v>0</v>
      </c>
    </row>
    <row r="384" spans="1:3" x14ac:dyDescent="0.35">
      <c r="A384">
        <v>2011</v>
      </c>
      <c r="B384" t="s">
        <v>25</v>
      </c>
      <c r="C384">
        <v>1.1100000000000001</v>
      </c>
    </row>
    <row r="385" spans="1:3" x14ac:dyDescent="0.35">
      <c r="A385">
        <v>2012</v>
      </c>
      <c r="B385" t="s">
        <v>25</v>
      </c>
      <c r="C385">
        <v>1.3</v>
      </c>
    </row>
    <row r="386" spans="1:3" x14ac:dyDescent="0.35">
      <c r="A386">
        <v>2013</v>
      </c>
      <c r="B386" t="s">
        <v>25</v>
      </c>
      <c r="C386">
        <v>2.3929999999999998</v>
      </c>
    </row>
    <row r="387" spans="1:3" x14ac:dyDescent="0.35">
      <c r="A387">
        <v>2014</v>
      </c>
      <c r="B387" t="s">
        <v>25</v>
      </c>
      <c r="C387">
        <v>27.15</v>
      </c>
    </row>
    <row r="388" spans="1:3" x14ac:dyDescent="0.35">
      <c r="A388">
        <v>2015</v>
      </c>
      <c r="B388" t="s">
        <v>25</v>
      </c>
      <c r="C388">
        <v>107.777</v>
      </c>
    </row>
    <row r="389" spans="1:3" x14ac:dyDescent="0.35">
      <c r="A389">
        <v>2016</v>
      </c>
      <c r="B389" t="s">
        <v>25</v>
      </c>
      <c r="C389">
        <v>187.24700000000001</v>
      </c>
    </row>
    <row r="390" spans="1:3" x14ac:dyDescent="0.35">
      <c r="A390">
        <v>2017</v>
      </c>
      <c r="B390" t="s">
        <v>25</v>
      </c>
      <c r="C390">
        <v>287.09100000000001</v>
      </c>
    </row>
    <row r="391" spans="1:3" x14ac:dyDescent="0.35">
      <c r="A391">
        <v>2018</v>
      </c>
      <c r="B391" t="s">
        <v>25</v>
      </c>
      <c r="C391">
        <v>561.976</v>
      </c>
    </row>
    <row r="392" spans="1:3" x14ac:dyDescent="0.35">
      <c r="A392">
        <v>2019</v>
      </c>
      <c r="B392" t="s">
        <v>25</v>
      </c>
      <c r="C392">
        <v>1539.259</v>
      </c>
    </row>
    <row r="393" spans="1:3" x14ac:dyDescent="0.35">
      <c r="A393">
        <v>2020</v>
      </c>
      <c r="B393" t="s">
        <v>25</v>
      </c>
      <c r="C393">
        <v>3954.9630000000002</v>
      </c>
    </row>
    <row r="394" spans="1:3" x14ac:dyDescent="0.35">
      <c r="A394">
        <v>2021</v>
      </c>
      <c r="B394" t="s">
        <v>25</v>
      </c>
      <c r="C394">
        <v>7415.518</v>
      </c>
    </row>
    <row r="395" spans="1:3" x14ac:dyDescent="0.35">
      <c r="A395">
        <v>2022</v>
      </c>
      <c r="B395" t="s">
        <v>25</v>
      </c>
      <c r="C395">
        <v>12170.392</v>
      </c>
    </row>
    <row r="396" spans="1:3" x14ac:dyDescent="0.35">
      <c r="A396">
        <v>2023</v>
      </c>
      <c r="B396" t="s">
        <v>25</v>
      </c>
      <c r="C396">
        <v>16427.526000000002</v>
      </c>
    </row>
    <row r="397" spans="1:3" x14ac:dyDescent="0.35">
      <c r="A397">
        <v>2000</v>
      </c>
      <c r="B397" t="s">
        <v>38</v>
      </c>
      <c r="C397">
        <v>1</v>
      </c>
    </row>
    <row r="398" spans="1:3" x14ac:dyDescent="0.35">
      <c r="A398">
        <v>2001</v>
      </c>
      <c r="B398" t="s">
        <v>38</v>
      </c>
      <c r="C398">
        <v>1</v>
      </c>
    </row>
    <row r="399" spans="1:3" x14ac:dyDescent="0.35">
      <c r="A399">
        <v>2002</v>
      </c>
      <c r="B399" t="s">
        <v>38</v>
      </c>
      <c r="C399">
        <v>1</v>
      </c>
    </row>
    <row r="400" spans="1:3" x14ac:dyDescent="0.35">
      <c r="A400">
        <v>2003</v>
      </c>
      <c r="B400" t="s">
        <v>38</v>
      </c>
      <c r="C400">
        <v>2</v>
      </c>
    </row>
    <row r="401" spans="1:3" x14ac:dyDescent="0.35">
      <c r="A401">
        <v>2004</v>
      </c>
      <c r="B401" t="s">
        <v>38</v>
      </c>
      <c r="C401">
        <v>2</v>
      </c>
    </row>
    <row r="402" spans="1:3" x14ac:dyDescent="0.35">
      <c r="A402">
        <v>2005</v>
      </c>
      <c r="B402" t="s">
        <v>38</v>
      </c>
      <c r="C402">
        <v>2</v>
      </c>
    </row>
    <row r="403" spans="1:3" x14ac:dyDescent="0.35">
      <c r="A403">
        <v>2006</v>
      </c>
      <c r="B403" t="s">
        <v>38</v>
      </c>
      <c r="C403">
        <v>3</v>
      </c>
    </row>
    <row r="404" spans="1:3" x14ac:dyDescent="0.35">
      <c r="A404">
        <v>2007</v>
      </c>
      <c r="B404" t="s">
        <v>38</v>
      </c>
      <c r="C404">
        <v>24</v>
      </c>
    </row>
    <row r="405" spans="1:3" x14ac:dyDescent="0.35">
      <c r="A405">
        <v>2008</v>
      </c>
      <c r="B405" t="s">
        <v>38</v>
      </c>
      <c r="C405">
        <v>59</v>
      </c>
    </row>
    <row r="406" spans="1:3" x14ac:dyDescent="0.35">
      <c r="A406">
        <v>2009</v>
      </c>
      <c r="B406" t="s">
        <v>38</v>
      </c>
      <c r="C406">
        <v>115</v>
      </c>
    </row>
    <row r="407" spans="1:3" x14ac:dyDescent="0.35">
      <c r="A407">
        <v>2010</v>
      </c>
      <c r="B407" t="s">
        <v>38</v>
      </c>
      <c r="C407">
        <v>134</v>
      </c>
    </row>
    <row r="408" spans="1:3" x14ac:dyDescent="0.35">
      <c r="A408">
        <v>2011</v>
      </c>
      <c r="B408" t="s">
        <v>38</v>
      </c>
      <c r="C408">
        <v>172</v>
      </c>
    </row>
    <row r="409" spans="1:3" x14ac:dyDescent="0.35">
      <c r="A409">
        <v>2012</v>
      </c>
      <c r="B409" t="s">
        <v>38</v>
      </c>
      <c r="C409">
        <v>238</v>
      </c>
    </row>
    <row r="410" spans="1:3" x14ac:dyDescent="0.35">
      <c r="A410">
        <v>2013</v>
      </c>
      <c r="B410" t="s">
        <v>38</v>
      </c>
      <c r="C410">
        <v>296</v>
      </c>
    </row>
    <row r="411" spans="1:3" x14ac:dyDescent="0.35">
      <c r="A411">
        <v>2014</v>
      </c>
      <c r="B411" t="s">
        <v>38</v>
      </c>
      <c r="C411">
        <v>415</v>
      </c>
    </row>
    <row r="412" spans="1:3" x14ac:dyDescent="0.35">
      <c r="A412">
        <v>2015</v>
      </c>
      <c r="B412" t="s">
        <v>38</v>
      </c>
      <c r="C412">
        <v>447</v>
      </c>
    </row>
    <row r="413" spans="1:3" x14ac:dyDescent="0.35">
      <c r="A413">
        <v>2016</v>
      </c>
      <c r="B413" t="s">
        <v>38</v>
      </c>
      <c r="C413">
        <v>512.82399999999996</v>
      </c>
    </row>
    <row r="414" spans="1:3" x14ac:dyDescent="0.35">
      <c r="A414">
        <v>2017</v>
      </c>
      <c r="B414" t="s">
        <v>38</v>
      </c>
      <c r="C414">
        <v>579.23599999999999</v>
      </c>
    </row>
    <row r="415" spans="1:3" x14ac:dyDescent="0.35">
      <c r="A415">
        <v>2018</v>
      </c>
      <c r="B415" t="s">
        <v>38</v>
      </c>
      <c r="C415">
        <v>667.43100000000004</v>
      </c>
    </row>
    <row r="416" spans="1:3" x14ac:dyDescent="0.35">
      <c r="A416">
        <v>2019</v>
      </c>
      <c r="B416" t="s">
        <v>38</v>
      </c>
      <c r="C416">
        <v>901.43799999999999</v>
      </c>
    </row>
    <row r="417" spans="1:3" x14ac:dyDescent="0.35">
      <c r="A417">
        <v>2020</v>
      </c>
      <c r="B417" t="s">
        <v>38</v>
      </c>
      <c r="C417">
        <v>1100.2919999999999</v>
      </c>
    </row>
    <row r="418" spans="1:3" x14ac:dyDescent="0.35">
      <c r="A418">
        <v>2021</v>
      </c>
      <c r="B418" t="s">
        <v>38</v>
      </c>
      <c r="C418">
        <v>1645.9939999999999</v>
      </c>
    </row>
    <row r="419" spans="1:3" x14ac:dyDescent="0.35">
      <c r="A419">
        <v>2022</v>
      </c>
      <c r="B419" t="s">
        <v>38</v>
      </c>
      <c r="C419">
        <v>2646.2570000000001</v>
      </c>
    </row>
    <row r="420" spans="1:3" x14ac:dyDescent="0.35">
      <c r="A420">
        <v>2023</v>
      </c>
      <c r="B420" t="s">
        <v>38</v>
      </c>
      <c r="C420">
        <v>3868.7910000000002</v>
      </c>
    </row>
    <row r="421" spans="1:3" x14ac:dyDescent="0.35">
      <c r="A421">
        <v>2002</v>
      </c>
      <c r="B421" t="s">
        <v>39</v>
      </c>
      <c r="C421">
        <v>1</v>
      </c>
    </row>
    <row r="422" spans="1:3" x14ac:dyDescent="0.35">
      <c r="A422">
        <v>2003</v>
      </c>
      <c r="B422" t="s">
        <v>39</v>
      </c>
      <c r="C422">
        <v>1</v>
      </c>
    </row>
    <row r="423" spans="1:3" x14ac:dyDescent="0.35">
      <c r="A423">
        <v>2004</v>
      </c>
      <c r="B423" t="s">
        <v>39</v>
      </c>
      <c r="C423">
        <v>1</v>
      </c>
    </row>
    <row r="424" spans="1:3" x14ac:dyDescent="0.35">
      <c r="A424">
        <v>2005</v>
      </c>
      <c r="B424" t="s">
        <v>39</v>
      </c>
      <c r="C424">
        <v>1</v>
      </c>
    </row>
    <row r="425" spans="1:3" x14ac:dyDescent="0.35">
      <c r="A425">
        <v>2006</v>
      </c>
      <c r="B425" t="s">
        <v>39</v>
      </c>
      <c r="C425">
        <v>1</v>
      </c>
    </row>
    <row r="426" spans="1:3" x14ac:dyDescent="0.35">
      <c r="A426">
        <v>2007</v>
      </c>
      <c r="B426" t="s">
        <v>39</v>
      </c>
      <c r="C426">
        <v>1</v>
      </c>
    </row>
    <row r="427" spans="1:3" x14ac:dyDescent="0.35">
      <c r="A427">
        <v>2008</v>
      </c>
      <c r="B427" t="s">
        <v>39</v>
      </c>
      <c r="C427">
        <v>1</v>
      </c>
    </row>
    <row r="428" spans="1:3" x14ac:dyDescent="0.35">
      <c r="A428">
        <v>2009</v>
      </c>
      <c r="B428" t="s">
        <v>39</v>
      </c>
      <c r="C428">
        <v>4</v>
      </c>
    </row>
    <row r="429" spans="1:3" x14ac:dyDescent="0.35">
      <c r="A429">
        <v>2010</v>
      </c>
      <c r="B429" t="s">
        <v>39</v>
      </c>
      <c r="C429">
        <v>12</v>
      </c>
    </row>
    <row r="430" spans="1:3" x14ac:dyDescent="0.35">
      <c r="A430">
        <v>2011</v>
      </c>
      <c r="B430" t="s">
        <v>39</v>
      </c>
      <c r="C430">
        <v>57</v>
      </c>
    </row>
    <row r="431" spans="1:3" x14ac:dyDescent="0.35">
      <c r="A431">
        <v>2012</v>
      </c>
      <c r="B431" t="s">
        <v>39</v>
      </c>
      <c r="C431">
        <v>142</v>
      </c>
    </row>
    <row r="432" spans="1:3" x14ac:dyDescent="0.35">
      <c r="A432">
        <v>2013</v>
      </c>
      <c r="B432" t="s">
        <v>39</v>
      </c>
      <c r="C432">
        <v>187</v>
      </c>
    </row>
    <row r="433" spans="1:3" x14ac:dyDescent="0.35">
      <c r="A433">
        <v>2014</v>
      </c>
      <c r="B433" t="s">
        <v>39</v>
      </c>
      <c r="C433">
        <v>223</v>
      </c>
    </row>
    <row r="434" spans="1:3" x14ac:dyDescent="0.35">
      <c r="A434">
        <v>2015</v>
      </c>
      <c r="B434" t="s">
        <v>39</v>
      </c>
      <c r="C434">
        <v>238</v>
      </c>
    </row>
    <row r="435" spans="1:3" x14ac:dyDescent="0.35">
      <c r="A435">
        <v>2016</v>
      </c>
      <c r="B435" t="s">
        <v>39</v>
      </c>
      <c r="C435">
        <v>233</v>
      </c>
    </row>
    <row r="436" spans="1:3" x14ac:dyDescent="0.35">
      <c r="A436">
        <v>2017</v>
      </c>
      <c r="B436" t="s">
        <v>39</v>
      </c>
      <c r="C436">
        <v>246.8</v>
      </c>
    </row>
    <row r="437" spans="1:3" x14ac:dyDescent="0.35">
      <c r="A437">
        <v>2018</v>
      </c>
      <c r="B437" t="s">
        <v>39</v>
      </c>
      <c r="C437">
        <v>246.8</v>
      </c>
    </row>
    <row r="438" spans="1:3" x14ac:dyDescent="0.35">
      <c r="A438">
        <v>2019</v>
      </c>
      <c r="B438" t="s">
        <v>39</v>
      </c>
      <c r="C438">
        <v>277.87700000000001</v>
      </c>
    </row>
    <row r="439" spans="1:3" x14ac:dyDescent="0.35">
      <c r="A439">
        <v>2020</v>
      </c>
      <c r="B439" t="s">
        <v>39</v>
      </c>
      <c r="C439">
        <v>369.78</v>
      </c>
    </row>
    <row r="440" spans="1:3" x14ac:dyDescent="0.35">
      <c r="A440">
        <v>2021</v>
      </c>
      <c r="B440" t="s">
        <v>39</v>
      </c>
      <c r="C440">
        <v>461.16399999999999</v>
      </c>
    </row>
    <row r="441" spans="1:3" x14ac:dyDescent="0.35">
      <c r="A441">
        <v>2022</v>
      </c>
      <c r="B441" t="s">
        <v>39</v>
      </c>
      <c r="C441">
        <v>626.16399999999999</v>
      </c>
    </row>
    <row r="442" spans="1:3" x14ac:dyDescent="0.35">
      <c r="A442">
        <v>2023</v>
      </c>
      <c r="B442" t="s">
        <v>39</v>
      </c>
      <c r="C442">
        <v>1031.2</v>
      </c>
    </row>
    <row r="443" spans="1:3" x14ac:dyDescent="0.35">
      <c r="A443">
        <v>2000</v>
      </c>
      <c r="B443" t="s">
        <v>40</v>
      </c>
      <c r="C443">
        <v>3</v>
      </c>
    </row>
    <row r="444" spans="1:3" x14ac:dyDescent="0.35">
      <c r="A444">
        <v>2001</v>
      </c>
      <c r="B444" t="s">
        <v>40</v>
      </c>
      <c r="C444">
        <v>3</v>
      </c>
    </row>
    <row r="445" spans="1:3" x14ac:dyDescent="0.35">
      <c r="A445">
        <v>2002</v>
      </c>
      <c r="B445" t="s">
        <v>40</v>
      </c>
      <c r="C445">
        <v>3</v>
      </c>
    </row>
    <row r="446" spans="1:3" x14ac:dyDescent="0.35">
      <c r="A446">
        <v>2003</v>
      </c>
      <c r="B446" t="s">
        <v>40</v>
      </c>
      <c r="C446">
        <v>4</v>
      </c>
    </row>
    <row r="447" spans="1:3" x14ac:dyDescent="0.35">
      <c r="A447">
        <v>2004</v>
      </c>
      <c r="B447" t="s">
        <v>40</v>
      </c>
      <c r="C447">
        <v>4</v>
      </c>
    </row>
    <row r="448" spans="1:3" x14ac:dyDescent="0.35">
      <c r="A448">
        <v>2005</v>
      </c>
      <c r="B448" t="s">
        <v>40</v>
      </c>
      <c r="C448">
        <v>4</v>
      </c>
    </row>
    <row r="449" spans="1:3" x14ac:dyDescent="0.35">
      <c r="A449">
        <v>2006</v>
      </c>
      <c r="B449" t="s">
        <v>40</v>
      </c>
      <c r="C449">
        <v>5</v>
      </c>
    </row>
    <row r="450" spans="1:3" x14ac:dyDescent="0.35">
      <c r="A450">
        <v>2007</v>
      </c>
      <c r="B450" t="s">
        <v>40</v>
      </c>
      <c r="C450">
        <v>6</v>
      </c>
    </row>
    <row r="451" spans="1:3" x14ac:dyDescent="0.35">
      <c r="A451">
        <v>2008</v>
      </c>
      <c r="B451" t="s">
        <v>40</v>
      </c>
      <c r="C451">
        <v>8</v>
      </c>
    </row>
    <row r="452" spans="1:3" x14ac:dyDescent="0.35">
      <c r="A452">
        <v>2009</v>
      </c>
      <c r="B452" t="s">
        <v>40</v>
      </c>
      <c r="C452">
        <v>9</v>
      </c>
    </row>
    <row r="453" spans="1:3" x14ac:dyDescent="0.35">
      <c r="A453">
        <v>2010</v>
      </c>
      <c r="B453" t="s">
        <v>40</v>
      </c>
      <c r="C453">
        <v>11</v>
      </c>
    </row>
    <row r="454" spans="1:3" x14ac:dyDescent="0.35">
      <c r="A454">
        <v>2011</v>
      </c>
      <c r="B454" t="s">
        <v>40</v>
      </c>
      <c r="C454">
        <v>12</v>
      </c>
    </row>
    <row r="455" spans="1:3" x14ac:dyDescent="0.35">
      <c r="A455">
        <v>2012</v>
      </c>
      <c r="B455" t="s">
        <v>40</v>
      </c>
      <c r="C455">
        <v>24</v>
      </c>
    </row>
    <row r="456" spans="1:3" x14ac:dyDescent="0.35">
      <c r="A456">
        <v>2013</v>
      </c>
      <c r="B456" t="s">
        <v>40</v>
      </c>
      <c r="C456">
        <v>43</v>
      </c>
    </row>
    <row r="457" spans="1:3" x14ac:dyDescent="0.35">
      <c r="A457">
        <v>2014</v>
      </c>
      <c r="B457" t="s">
        <v>40</v>
      </c>
      <c r="C457">
        <v>60</v>
      </c>
    </row>
    <row r="458" spans="1:3" x14ac:dyDescent="0.35">
      <c r="A458">
        <v>2015</v>
      </c>
      <c r="B458" t="s">
        <v>40</v>
      </c>
      <c r="C458">
        <v>104</v>
      </c>
    </row>
    <row r="459" spans="1:3" x14ac:dyDescent="0.35">
      <c r="A459">
        <v>2016</v>
      </c>
      <c r="B459" t="s">
        <v>40</v>
      </c>
      <c r="C459">
        <v>153</v>
      </c>
    </row>
    <row r="460" spans="1:3" x14ac:dyDescent="0.35">
      <c r="A460">
        <v>2017</v>
      </c>
      <c r="B460" t="s">
        <v>40</v>
      </c>
      <c r="C460">
        <v>244</v>
      </c>
    </row>
    <row r="461" spans="1:3" x14ac:dyDescent="0.35">
      <c r="A461">
        <v>2018</v>
      </c>
      <c r="B461" t="s">
        <v>40</v>
      </c>
      <c r="C461">
        <v>428</v>
      </c>
    </row>
    <row r="462" spans="1:3" x14ac:dyDescent="0.35">
      <c r="A462">
        <v>2019</v>
      </c>
      <c r="B462" t="s">
        <v>40</v>
      </c>
      <c r="C462">
        <v>714</v>
      </c>
    </row>
    <row r="463" spans="1:3" x14ac:dyDescent="0.35">
      <c r="A463">
        <v>2020</v>
      </c>
      <c r="B463" t="s">
        <v>40</v>
      </c>
      <c r="C463">
        <v>1107</v>
      </c>
    </row>
    <row r="464" spans="1:3" x14ac:dyDescent="0.35">
      <c r="A464">
        <v>2021</v>
      </c>
      <c r="B464" t="s">
        <v>40</v>
      </c>
      <c r="C464">
        <v>1606</v>
      </c>
    </row>
    <row r="465" spans="1:3" x14ac:dyDescent="0.35">
      <c r="A465">
        <v>2022</v>
      </c>
      <c r="B465" t="s">
        <v>40</v>
      </c>
      <c r="C465">
        <v>2388</v>
      </c>
    </row>
    <row r="466" spans="1:3" x14ac:dyDescent="0.35">
      <c r="A466">
        <v>2023</v>
      </c>
      <c r="B466" t="s">
        <v>40</v>
      </c>
      <c r="C466">
        <v>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EA01-8CF9-4401-99B6-FC39AF617D4E}">
  <dimension ref="A1:L446"/>
  <sheetViews>
    <sheetView workbookViewId="0">
      <selection activeCell="G2" sqref="G2"/>
    </sheetView>
  </sheetViews>
  <sheetFormatPr defaultRowHeight="14.5" x14ac:dyDescent="0.35"/>
  <cols>
    <col min="11" max="11" width="14.6328125" bestFit="1" customWidth="1"/>
  </cols>
  <sheetData>
    <row r="1" spans="1:12" x14ac:dyDescent="0.35">
      <c r="A1" t="s">
        <v>0</v>
      </c>
      <c r="B1" t="s">
        <v>1</v>
      </c>
      <c r="C1" t="s">
        <v>43</v>
      </c>
      <c r="G1" s="3" t="s">
        <v>44</v>
      </c>
      <c r="K1" s="1" t="s">
        <v>42</v>
      </c>
      <c r="L1" s="1">
        <v>2023</v>
      </c>
    </row>
    <row r="2" spans="1:12" x14ac:dyDescent="0.35">
      <c r="A2" t="s">
        <v>29</v>
      </c>
      <c r="B2">
        <v>2001</v>
      </c>
      <c r="C2">
        <v>37.662573053836098</v>
      </c>
      <c r="G2" s="2">
        <f>SUMIF(B2:B446,$L$1,C2:C446)/1000</f>
        <v>247.80783022984855</v>
      </c>
    </row>
    <row r="3" spans="1:12" x14ac:dyDescent="0.35">
      <c r="A3" t="s">
        <v>29</v>
      </c>
      <c r="B3">
        <v>2002</v>
      </c>
      <c r="C3">
        <v>67.605946259848594</v>
      </c>
    </row>
    <row r="4" spans="1:12" x14ac:dyDescent="0.35">
      <c r="A4" t="s">
        <v>29</v>
      </c>
      <c r="B4">
        <v>2003</v>
      </c>
      <c r="C4">
        <v>111.458532541628</v>
      </c>
    </row>
    <row r="5" spans="1:12" x14ac:dyDescent="0.35">
      <c r="A5" t="s">
        <v>29</v>
      </c>
      <c r="B5">
        <v>2004</v>
      </c>
      <c r="C5">
        <v>179.590202460499</v>
      </c>
    </row>
    <row r="6" spans="1:12" x14ac:dyDescent="0.35">
      <c r="A6" t="s">
        <v>29</v>
      </c>
      <c r="B6">
        <v>2005</v>
      </c>
      <c r="C6">
        <v>248.19561843428301</v>
      </c>
    </row>
    <row r="7" spans="1:12" x14ac:dyDescent="0.35">
      <c r="A7" t="s">
        <v>29</v>
      </c>
      <c r="B7">
        <v>2006</v>
      </c>
      <c r="C7">
        <v>322.68045763181402</v>
      </c>
    </row>
    <row r="8" spans="1:12" x14ac:dyDescent="0.35">
      <c r="A8" t="s">
        <v>29</v>
      </c>
      <c r="B8">
        <v>2007</v>
      </c>
      <c r="C8">
        <v>402.12565359890198</v>
      </c>
    </row>
    <row r="9" spans="1:12" x14ac:dyDescent="0.35">
      <c r="A9" t="s">
        <v>29</v>
      </c>
      <c r="B9">
        <v>2008</v>
      </c>
      <c r="C9">
        <v>499.52628268554298</v>
      </c>
    </row>
    <row r="10" spans="1:12" x14ac:dyDescent="0.35">
      <c r="A10" t="s">
        <v>29</v>
      </c>
      <c r="B10">
        <v>2009</v>
      </c>
      <c r="C10">
        <v>601.77341150974803</v>
      </c>
    </row>
    <row r="11" spans="1:12" x14ac:dyDescent="0.35">
      <c r="A11" t="s">
        <v>29</v>
      </c>
      <c r="B11">
        <v>2010</v>
      </c>
      <c r="C11">
        <v>745.20817653054803</v>
      </c>
    </row>
    <row r="12" spans="1:12" x14ac:dyDescent="0.35">
      <c r="A12" t="s">
        <v>29</v>
      </c>
      <c r="B12">
        <v>2011</v>
      </c>
      <c r="C12">
        <v>942.06132768279394</v>
      </c>
    </row>
    <row r="13" spans="1:12" x14ac:dyDescent="0.35">
      <c r="A13" t="s">
        <v>29</v>
      </c>
      <c r="B13">
        <v>2012</v>
      </c>
      <c r="C13">
        <v>1181.3721924640799</v>
      </c>
    </row>
    <row r="14" spans="1:12" x14ac:dyDescent="0.35">
      <c r="A14" t="s">
        <v>29</v>
      </c>
      <c r="B14">
        <v>2013</v>
      </c>
      <c r="C14">
        <v>1478.00971741488</v>
      </c>
    </row>
    <row r="15" spans="1:12" x14ac:dyDescent="0.35">
      <c r="A15" t="s">
        <v>29</v>
      </c>
      <c r="B15">
        <v>2014</v>
      </c>
      <c r="C15">
        <v>1789.77984982015</v>
      </c>
    </row>
    <row r="16" spans="1:12" x14ac:dyDescent="0.35">
      <c r="A16" t="s">
        <v>29</v>
      </c>
      <c r="B16">
        <v>2015</v>
      </c>
      <c r="C16">
        <v>2056.9107953227799</v>
      </c>
    </row>
    <row r="17" spans="1:3" x14ac:dyDescent="0.35">
      <c r="A17" t="s">
        <v>29</v>
      </c>
      <c r="B17">
        <v>2016</v>
      </c>
      <c r="C17">
        <v>2306.72690194598</v>
      </c>
    </row>
    <row r="18" spans="1:3" x14ac:dyDescent="0.35">
      <c r="A18" t="s">
        <v>29</v>
      </c>
      <c r="B18">
        <v>2017</v>
      </c>
      <c r="C18">
        <v>2608.7572250563298</v>
      </c>
    </row>
    <row r="19" spans="1:3" x14ac:dyDescent="0.35">
      <c r="A19" t="s">
        <v>29</v>
      </c>
      <c r="B19">
        <v>2018</v>
      </c>
      <c r="C19">
        <v>2958.26963868026</v>
      </c>
    </row>
    <row r="20" spans="1:3" x14ac:dyDescent="0.35">
      <c r="A20" t="s">
        <v>29</v>
      </c>
      <c r="B20">
        <v>2019</v>
      </c>
      <c r="C20">
        <v>3240.6345058628699</v>
      </c>
    </row>
    <row r="21" spans="1:3" x14ac:dyDescent="0.35">
      <c r="A21" t="s">
        <v>29</v>
      </c>
      <c r="B21">
        <v>2020</v>
      </c>
      <c r="C21">
        <v>3477.29520889074</v>
      </c>
    </row>
    <row r="22" spans="1:3" x14ac:dyDescent="0.35">
      <c r="A22" t="s">
        <v>29</v>
      </c>
      <c r="B22">
        <v>2021</v>
      </c>
      <c r="C22">
        <v>3741.8486909742901</v>
      </c>
    </row>
    <row r="23" spans="1:3" x14ac:dyDescent="0.35">
      <c r="A23" t="s">
        <v>29</v>
      </c>
      <c r="B23">
        <v>2022</v>
      </c>
      <c r="C23">
        <v>4212.6803191906902</v>
      </c>
    </row>
    <row r="24" spans="1:3" x14ac:dyDescent="0.35">
      <c r="A24" t="s">
        <v>29</v>
      </c>
      <c r="B24">
        <v>2023</v>
      </c>
      <c r="C24">
        <v>4802.3445979236403</v>
      </c>
    </row>
    <row r="25" spans="1:3" x14ac:dyDescent="0.35">
      <c r="A25" t="s">
        <v>30</v>
      </c>
      <c r="B25">
        <v>2001</v>
      </c>
      <c r="C25">
        <v>100.108939927264</v>
      </c>
    </row>
    <row r="26" spans="1:3" x14ac:dyDescent="0.35">
      <c r="A26" t="s">
        <v>30</v>
      </c>
      <c r="B26">
        <v>2002</v>
      </c>
      <c r="C26">
        <v>191.18880717227901</v>
      </c>
    </row>
    <row r="27" spans="1:3" x14ac:dyDescent="0.35">
      <c r="A27" t="s">
        <v>30</v>
      </c>
      <c r="B27">
        <v>2003</v>
      </c>
      <c r="C27">
        <v>301.26270982708797</v>
      </c>
    </row>
    <row r="28" spans="1:3" x14ac:dyDescent="0.35">
      <c r="A28" t="s">
        <v>30</v>
      </c>
      <c r="B28">
        <v>2004</v>
      </c>
      <c r="C28">
        <v>440.65569155494302</v>
      </c>
    </row>
    <row r="29" spans="1:3" x14ac:dyDescent="0.35">
      <c r="A29" t="s">
        <v>30</v>
      </c>
      <c r="B29">
        <v>2005</v>
      </c>
      <c r="C29">
        <v>578.00966051140495</v>
      </c>
    </row>
    <row r="30" spans="1:3" x14ac:dyDescent="0.35">
      <c r="A30" t="s">
        <v>30</v>
      </c>
      <c r="B30">
        <v>2006</v>
      </c>
      <c r="C30">
        <v>721.68252472451195</v>
      </c>
    </row>
    <row r="31" spans="1:3" x14ac:dyDescent="0.35">
      <c r="A31" t="s">
        <v>30</v>
      </c>
      <c r="B31">
        <v>2007</v>
      </c>
      <c r="C31">
        <v>870.92112041919597</v>
      </c>
    </row>
    <row r="32" spans="1:3" x14ac:dyDescent="0.35">
      <c r="A32" t="s">
        <v>30</v>
      </c>
      <c r="B32">
        <v>2008</v>
      </c>
      <c r="C32">
        <v>1040.36240053867</v>
      </c>
    </row>
    <row r="33" spans="1:3" x14ac:dyDescent="0.35">
      <c r="A33" t="s">
        <v>30</v>
      </c>
      <c r="B33">
        <v>2009</v>
      </c>
      <c r="C33">
        <v>1216.27876654735</v>
      </c>
    </row>
    <row r="34" spans="1:3" x14ac:dyDescent="0.35">
      <c r="A34" t="s">
        <v>30</v>
      </c>
      <c r="B34">
        <v>2010</v>
      </c>
      <c r="C34">
        <v>1452.2801322687999</v>
      </c>
    </row>
    <row r="35" spans="1:3" x14ac:dyDescent="0.35">
      <c r="A35" t="s">
        <v>30</v>
      </c>
      <c r="B35">
        <v>2011</v>
      </c>
      <c r="C35">
        <v>1774.02012287665</v>
      </c>
    </row>
    <row r="36" spans="1:3" x14ac:dyDescent="0.35">
      <c r="A36" t="s">
        <v>30</v>
      </c>
      <c r="B36">
        <v>2012</v>
      </c>
      <c r="C36">
        <v>2141.7768985078201</v>
      </c>
    </row>
    <row r="37" spans="1:3" x14ac:dyDescent="0.35">
      <c r="A37" t="s">
        <v>30</v>
      </c>
      <c r="B37">
        <v>2013</v>
      </c>
      <c r="C37">
        <v>2571.7895677082001</v>
      </c>
    </row>
    <row r="38" spans="1:3" x14ac:dyDescent="0.35">
      <c r="A38" t="s">
        <v>30</v>
      </c>
      <c r="B38">
        <v>2014</v>
      </c>
      <c r="C38">
        <v>3010.2229405039002</v>
      </c>
    </row>
    <row r="39" spans="1:3" x14ac:dyDescent="0.35">
      <c r="A39" t="s">
        <v>30</v>
      </c>
      <c r="B39">
        <v>2015</v>
      </c>
      <c r="C39">
        <v>3381.25813367519</v>
      </c>
    </row>
    <row r="40" spans="1:3" x14ac:dyDescent="0.35">
      <c r="A40" t="s">
        <v>30</v>
      </c>
      <c r="B40">
        <v>2016</v>
      </c>
      <c r="C40">
        <v>3743.4350321807901</v>
      </c>
    </row>
    <row r="41" spans="1:3" x14ac:dyDescent="0.35">
      <c r="A41" t="s">
        <v>30</v>
      </c>
      <c r="B41">
        <v>2017</v>
      </c>
      <c r="C41">
        <v>4166.6916330575204</v>
      </c>
    </row>
    <row r="42" spans="1:3" x14ac:dyDescent="0.35">
      <c r="A42" t="s">
        <v>30</v>
      </c>
      <c r="B42">
        <v>2018</v>
      </c>
      <c r="C42">
        <v>4645.5840073742902</v>
      </c>
    </row>
    <row r="43" spans="1:3" x14ac:dyDescent="0.35">
      <c r="A43" t="s">
        <v>30</v>
      </c>
      <c r="B43">
        <v>2019</v>
      </c>
      <c r="C43">
        <v>5048.8258417911202</v>
      </c>
    </row>
    <row r="44" spans="1:3" x14ac:dyDescent="0.35">
      <c r="A44" t="s">
        <v>30</v>
      </c>
      <c r="B44">
        <v>2020</v>
      </c>
      <c r="C44">
        <v>5401.3625222760002</v>
      </c>
    </row>
    <row r="45" spans="1:3" x14ac:dyDescent="0.35">
      <c r="A45" t="s">
        <v>30</v>
      </c>
      <c r="B45">
        <v>2021</v>
      </c>
      <c r="C45">
        <v>5788.72286726107</v>
      </c>
    </row>
    <row r="46" spans="1:3" x14ac:dyDescent="0.35">
      <c r="A46" t="s">
        <v>30</v>
      </c>
      <c r="B46">
        <v>2022</v>
      </c>
      <c r="C46">
        <v>6402.0658058641802</v>
      </c>
    </row>
    <row r="47" spans="1:3" x14ac:dyDescent="0.35">
      <c r="A47" t="s">
        <v>30</v>
      </c>
      <c r="B47">
        <v>2023</v>
      </c>
      <c r="C47">
        <v>7158.50602520548</v>
      </c>
    </row>
    <row r="48" spans="1:3" x14ac:dyDescent="0.35">
      <c r="A48" t="s">
        <v>31</v>
      </c>
      <c r="B48">
        <v>2003</v>
      </c>
      <c r="C48">
        <v>-32.808114720943102</v>
      </c>
    </row>
    <row r="49" spans="1:3" x14ac:dyDescent="0.35">
      <c r="A49" t="s">
        <v>31</v>
      </c>
      <c r="B49">
        <v>2004</v>
      </c>
      <c r="C49">
        <v>-59.42298623253</v>
      </c>
    </row>
    <row r="50" spans="1:3" x14ac:dyDescent="0.35">
      <c r="A50" t="s">
        <v>31</v>
      </c>
      <c r="B50">
        <v>2005</v>
      </c>
      <c r="C50">
        <v>-94.260043956942397</v>
      </c>
    </row>
    <row r="51" spans="1:3" x14ac:dyDescent="0.35">
      <c r="A51" t="s">
        <v>31</v>
      </c>
      <c r="B51">
        <v>2006</v>
      </c>
      <c r="C51">
        <v>-125.535808808447</v>
      </c>
    </row>
    <row r="52" spans="1:3" x14ac:dyDescent="0.35">
      <c r="A52" t="s">
        <v>31</v>
      </c>
      <c r="B52">
        <v>2007</v>
      </c>
      <c r="C52">
        <v>-155.560359191906</v>
      </c>
    </row>
    <row r="53" spans="1:3" x14ac:dyDescent="0.35">
      <c r="A53" t="s">
        <v>31</v>
      </c>
      <c r="B53">
        <v>2008</v>
      </c>
      <c r="C53">
        <v>-157.72614907185499</v>
      </c>
    </row>
    <row r="54" spans="1:3" x14ac:dyDescent="0.35">
      <c r="A54" t="s">
        <v>31</v>
      </c>
      <c r="B54">
        <v>2009</v>
      </c>
      <c r="C54">
        <v>-119.269382700484</v>
      </c>
    </row>
    <row r="55" spans="1:3" x14ac:dyDescent="0.35">
      <c r="A55" t="s">
        <v>31</v>
      </c>
      <c r="B55">
        <v>2010</v>
      </c>
      <c r="C55">
        <v>-46.850378740716103</v>
      </c>
    </row>
    <row r="56" spans="1:3" x14ac:dyDescent="0.35">
      <c r="A56" t="s">
        <v>31</v>
      </c>
      <c r="B56">
        <v>2011</v>
      </c>
      <c r="C56">
        <v>55.785767551946201</v>
      </c>
    </row>
    <row r="57" spans="1:3" x14ac:dyDescent="0.35">
      <c r="A57" t="s">
        <v>31</v>
      </c>
      <c r="B57">
        <v>2012</v>
      </c>
      <c r="C57">
        <v>204.263457735044</v>
      </c>
    </row>
    <row r="58" spans="1:3" x14ac:dyDescent="0.35">
      <c r="A58" t="s">
        <v>31</v>
      </c>
      <c r="B58">
        <v>2013</v>
      </c>
      <c r="C58">
        <v>388.39182344098901</v>
      </c>
    </row>
    <row r="59" spans="1:3" x14ac:dyDescent="0.35">
      <c r="A59" t="s">
        <v>31</v>
      </c>
      <c r="B59">
        <v>2014</v>
      </c>
      <c r="C59">
        <v>609.73283571233696</v>
      </c>
    </row>
    <row r="60" spans="1:3" x14ac:dyDescent="0.35">
      <c r="A60" t="s">
        <v>31</v>
      </c>
      <c r="B60">
        <v>2015</v>
      </c>
      <c r="C60">
        <v>806.22699251666904</v>
      </c>
    </row>
    <row r="61" spans="1:3" x14ac:dyDescent="0.35">
      <c r="A61" t="s">
        <v>31</v>
      </c>
      <c r="B61">
        <v>2016</v>
      </c>
      <c r="C61">
        <v>1013.41920176915</v>
      </c>
    </row>
    <row r="62" spans="1:3" x14ac:dyDescent="0.35">
      <c r="A62" t="s">
        <v>31</v>
      </c>
      <c r="B62">
        <v>2017</v>
      </c>
      <c r="C62">
        <v>1214.39636113694</v>
      </c>
    </row>
    <row r="63" spans="1:3" x14ac:dyDescent="0.35">
      <c r="A63" t="s">
        <v>31</v>
      </c>
      <c r="B63">
        <v>2018</v>
      </c>
      <c r="C63">
        <v>1401.94088393835</v>
      </c>
    </row>
    <row r="64" spans="1:3" x14ac:dyDescent="0.35">
      <c r="A64" t="s">
        <v>31</v>
      </c>
      <c r="B64">
        <v>2019</v>
      </c>
      <c r="C64">
        <v>1554.02030393258</v>
      </c>
    </row>
    <row r="65" spans="1:3" x14ac:dyDescent="0.35">
      <c r="A65" t="s">
        <v>31</v>
      </c>
      <c r="B65">
        <v>2020</v>
      </c>
      <c r="C65">
        <v>1695.60662687585</v>
      </c>
    </row>
    <row r="66" spans="1:3" x14ac:dyDescent="0.35">
      <c r="A66" t="s">
        <v>31</v>
      </c>
      <c r="B66">
        <v>2021</v>
      </c>
      <c r="C66">
        <v>1842.06242889084</v>
      </c>
    </row>
    <row r="67" spans="1:3" x14ac:dyDescent="0.35">
      <c r="A67" t="s">
        <v>31</v>
      </c>
      <c r="B67">
        <v>2022</v>
      </c>
      <c r="C67">
        <v>2105.02942855418</v>
      </c>
    </row>
    <row r="68" spans="1:3" x14ac:dyDescent="0.35">
      <c r="A68" t="s">
        <v>31</v>
      </c>
      <c r="B68">
        <v>2023</v>
      </c>
      <c r="C68">
        <v>2507.3816385158302</v>
      </c>
    </row>
    <row r="69" spans="1:3" x14ac:dyDescent="0.35">
      <c r="A69" t="s">
        <v>32</v>
      </c>
      <c r="B69">
        <v>2002</v>
      </c>
      <c r="C69">
        <v>53.3746322169794</v>
      </c>
    </row>
    <row r="70" spans="1:3" x14ac:dyDescent="0.35">
      <c r="A70" t="s">
        <v>32</v>
      </c>
      <c r="B70">
        <v>2003</v>
      </c>
      <c r="C70">
        <v>125.148331654594</v>
      </c>
    </row>
    <row r="71" spans="1:3" x14ac:dyDescent="0.35">
      <c r="A71" t="s">
        <v>32</v>
      </c>
      <c r="B71">
        <v>2004</v>
      </c>
      <c r="C71">
        <v>241.32567317835901</v>
      </c>
    </row>
    <row r="72" spans="1:3" x14ac:dyDescent="0.35">
      <c r="A72" t="s">
        <v>32</v>
      </c>
      <c r="B72">
        <v>2005</v>
      </c>
      <c r="C72">
        <v>346.51776556748302</v>
      </c>
    </row>
    <row r="73" spans="1:3" x14ac:dyDescent="0.35">
      <c r="A73" t="s">
        <v>32</v>
      </c>
      <c r="B73">
        <v>2006</v>
      </c>
      <c r="C73">
        <v>457.068740746797</v>
      </c>
    </row>
    <row r="74" spans="1:3" x14ac:dyDescent="0.35">
      <c r="A74" t="s">
        <v>32</v>
      </c>
      <c r="B74">
        <v>2007</v>
      </c>
      <c r="C74">
        <v>573.86536495835401</v>
      </c>
    </row>
    <row r="75" spans="1:3" x14ac:dyDescent="0.35">
      <c r="A75" t="s">
        <v>32</v>
      </c>
      <c r="B75">
        <v>2008</v>
      </c>
      <c r="C75">
        <v>715.83860552282999</v>
      </c>
    </row>
    <row r="76" spans="1:3" x14ac:dyDescent="0.35">
      <c r="A76" t="s">
        <v>32</v>
      </c>
      <c r="B76">
        <v>2009</v>
      </c>
      <c r="C76">
        <v>881.73394821849001</v>
      </c>
    </row>
    <row r="77" spans="1:3" x14ac:dyDescent="0.35">
      <c r="A77" t="s">
        <v>32</v>
      </c>
      <c r="B77">
        <v>2010</v>
      </c>
      <c r="C77">
        <v>1092.7020181314001</v>
      </c>
    </row>
    <row r="78" spans="1:3" x14ac:dyDescent="0.35">
      <c r="A78" t="s">
        <v>32</v>
      </c>
      <c r="B78">
        <v>2011</v>
      </c>
      <c r="C78">
        <v>1352.6187379611499</v>
      </c>
    </row>
    <row r="79" spans="1:3" x14ac:dyDescent="0.35">
      <c r="A79" t="s">
        <v>32</v>
      </c>
      <c r="B79">
        <v>2012</v>
      </c>
      <c r="C79">
        <v>1368.10764147188</v>
      </c>
    </row>
    <row r="80" spans="1:3" x14ac:dyDescent="0.35">
      <c r="A80" t="s">
        <v>32</v>
      </c>
      <c r="B80">
        <v>2013</v>
      </c>
      <c r="C80">
        <v>1409.5697288271199</v>
      </c>
    </row>
    <row r="81" spans="1:3" x14ac:dyDescent="0.35">
      <c r="A81" t="s">
        <v>32</v>
      </c>
      <c r="B81">
        <v>2014</v>
      </c>
      <c r="C81">
        <v>1461.4958818099001</v>
      </c>
    </row>
    <row r="82" spans="1:3" x14ac:dyDescent="0.35">
      <c r="A82" t="s">
        <v>32</v>
      </c>
      <c r="B82">
        <v>2015</v>
      </c>
      <c r="C82">
        <v>1475.3981882354401</v>
      </c>
    </row>
    <row r="83" spans="1:3" x14ac:dyDescent="0.35">
      <c r="A83" t="s">
        <v>32</v>
      </c>
      <c r="B83">
        <v>2016</v>
      </c>
      <c r="C83">
        <v>1490.10082861097</v>
      </c>
    </row>
    <row r="84" spans="1:3" x14ac:dyDescent="0.35">
      <c r="A84" t="s">
        <v>32</v>
      </c>
      <c r="B84">
        <v>2017</v>
      </c>
      <c r="C84">
        <v>1558.8666197804</v>
      </c>
    </row>
    <row r="85" spans="1:3" x14ac:dyDescent="0.35">
      <c r="A85" t="s">
        <v>32</v>
      </c>
      <c r="B85">
        <v>2018</v>
      </c>
      <c r="C85">
        <v>1700.4258928122399</v>
      </c>
    </row>
    <row r="86" spans="1:3" x14ac:dyDescent="0.35">
      <c r="A86" t="s">
        <v>32</v>
      </c>
      <c r="B86">
        <v>2019</v>
      </c>
      <c r="C86">
        <v>1825.0443998104899</v>
      </c>
    </row>
    <row r="87" spans="1:3" x14ac:dyDescent="0.35">
      <c r="A87" t="s">
        <v>32</v>
      </c>
      <c r="B87">
        <v>2020</v>
      </c>
      <c r="C87">
        <v>1921.1102235384501</v>
      </c>
    </row>
    <row r="88" spans="1:3" x14ac:dyDescent="0.35">
      <c r="A88" t="s">
        <v>32</v>
      </c>
      <c r="B88">
        <v>2021</v>
      </c>
      <c r="C88">
        <v>2068.28472593678</v>
      </c>
    </row>
    <row r="89" spans="1:3" x14ac:dyDescent="0.35">
      <c r="A89" t="s">
        <v>32</v>
      </c>
      <c r="B89">
        <v>2022</v>
      </c>
      <c r="C89">
        <v>2318.8005156849499</v>
      </c>
    </row>
    <row r="90" spans="1:3" x14ac:dyDescent="0.35">
      <c r="A90" t="s">
        <v>32</v>
      </c>
      <c r="B90">
        <v>2023</v>
      </c>
      <c r="C90">
        <v>2582.7091775643298</v>
      </c>
    </row>
    <row r="91" spans="1:3" x14ac:dyDescent="0.35">
      <c r="A91" t="s">
        <v>6</v>
      </c>
      <c r="B91">
        <v>2001</v>
      </c>
      <c r="C91">
        <v>149.753053509414</v>
      </c>
    </row>
    <row r="92" spans="1:3" x14ac:dyDescent="0.35">
      <c r="A92" t="s">
        <v>6</v>
      </c>
      <c r="B92">
        <v>2002</v>
      </c>
      <c r="C92">
        <v>290.81986445002201</v>
      </c>
    </row>
    <row r="93" spans="1:3" x14ac:dyDescent="0.35">
      <c r="A93" t="s">
        <v>6</v>
      </c>
      <c r="B93">
        <v>2003</v>
      </c>
      <c r="C93">
        <v>454.56693857169802</v>
      </c>
    </row>
    <row r="94" spans="1:3" x14ac:dyDescent="0.35">
      <c r="A94" t="s">
        <v>6</v>
      </c>
      <c r="B94">
        <v>2004</v>
      </c>
      <c r="C94">
        <v>861.52713903975098</v>
      </c>
    </row>
    <row r="95" spans="1:3" x14ac:dyDescent="0.35">
      <c r="A95" t="s">
        <v>6</v>
      </c>
      <c r="B95">
        <v>2005</v>
      </c>
      <c r="C95">
        <v>1580.02199469686</v>
      </c>
    </row>
    <row r="96" spans="1:3" x14ac:dyDescent="0.35">
      <c r="A96" t="s">
        <v>6</v>
      </c>
      <c r="B96">
        <v>2006</v>
      </c>
      <c r="C96">
        <v>2759.0891417447501</v>
      </c>
    </row>
    <row r="97" spans="1:3" x14ac:dyDescent="0.35">
      <c r="A97" t="s">
        <v>6</v>
      </c>
      <c r="B97">
        <v>2007</v>
      </c>
      <c r="C97">
        <v>4582.2138093777303</v>
      </c>
    </row>
    <row r="98" spans="1:3" x14ac:dyDescent="0.35">
      <c r="A98" t="s">
        <v>6</v>
      </c>
      <c r="B98">
        <v>2008</v>
      </c>
      <c r="C98">
        <v>7388.9904790195096</v>
      </c>
    </row>
    <row r="99" spans="1:3" x14ac:dyDescent="0.35">
      <c r="A99" t="s">
        <v>6</v>
      </c>
      <c r="B99">
        <v>2009</v>
      </c>
      <c r="C99">
        <v>11452.947121760501</v>
      </c>
    </row>
    <row r="100" spans="1:3" x14ac:dyDescent="0.35">
      <c r="A100" t="s">
        <v>6</v>
      </c>
      <c r="B100">
        <v>2010</v>
      </c>
      <c r="C100">
        <v>18060.3533947088</v>
      </c>
    </row>
    <row r="101" spans="1:3" x14ac:dyDescent="0.35">
      <c r="A101" t="s">
        <v>6</v>
      </c>
      <c r="B101">
        <v>2011</v>
      </c>
      <c r="C101">
        <v>28606.683035417202</v>
      </c>
    </row>
    <row r="102" spans="1:3" x14ac:dyDescent="0.35">
      <c r="A102" t="s">
        <v>6</v>
      </c>
      <c r="B102">
        <v>2012</v>
      </c>
      <c r="C102">
        <v>33982.226103510096</v>
      </c>
    </row>
    <row r="103" spans="1:3" x14ac:dyDescent="0.35">
      <c r="A103" t="s">
        <v>6</v>
      </c>
      <c r="B103">
        <v>2013</v>
      </c>
      <c r="C103">
        <v>36970.529212166402</v>
      </c>
    </row>
    <row r="104" spans="1:3" x14ac:dyDescent="0.35">
      <c r="A104" t="s">
        <v>6</v>
      </c>
      <c r="B104">
        <v>2014</v>
      </c>
      <c r="C104">
        <v>38365.196223855302</v>
      </c>
    </row>
    <row r="105" spans="1:3" x14ac:dyDescent="0.35">
      <c r="A105" t="s">
        <v>6</v>
      </c>
      <c r="B105">
        <v>2015</v>
      </c>
      <c r="C105">
        <v>39863.611268310902</v>
      </c>
    </row>
    <row r="106" spans="1:3" x14ac:dyDescent="0.35">
      <c r="A106" t="s">
        <v>6</v>
      </c>
      <c r="B106">
        <v>2016</v>
      </c>
      <c r="C106">
        <v>41558.827284113198</v>
      </c>
    </row>
    <row r="107" spans="1:3" x14ac:dyDescent="0.35">
      <c r="A107" t="s">
        <v>6</v>
      </c>
      <c r="B107">
        <v>2017</v>
      </c>
      <c r="C107">
        <v>43795.488936563997</v>
      </c>
    </row>
    <row r="108" spans="1:3" x14ac:dyDescent="0.35">
      <c r="A108" t="s">
        <v>6</v>
      </c>
      <c r="B108">
        <v>2018</v>
      </c>
      <c r="C108">
        <v>46654.645656665802</v>
      </c>
    </row>
    <row r="109" spans="1:3" x14ac:dyDescent="0.35">
      <c r="A109" t="s">
        <v>6</v>
      </c>
      <c r="B109">
        <v>2019</v>
      </c>
      <c r="C109">
        <v>49565.609027122598</v>
      </c>
    </row>
    <row r="110" spans="1:3" x14ac:dyDescent="0.35">
      <c r="A110" t="s">
        <v>6</v>
      </c>
      <c r="B110">
        <v>2020</v>
      </c>
      <c r="C110">
        <v>52640.637195375697</v>
      </c>
    </row>
    <row r="111" spans="1:3" x14ac:dyDescent="0.35">
      <c r="A111" t="s">
        <v>6</v>
      </c>
      <c r="B111">
        <v>2021</v>
      </c>
      <c r="C111">
        <v>56461.499093436803</v>
      </c>
    </row>
    <row r="112" spans="1:3" x14ac:dyDescent="0.35">
      <c r="A112" t="s">
        <v>6</v>
      </c>
      <c r="B112">
        <v>2022</v>
      </c>
      <c r="C112">
        <v>62665.859607255501</v>
      </c>
    </row>
    <row r="113" spans="1:3" x14ac:dyDescent="0.35">
      <c r="A113" t="s">
        <v>6</v>
      </c>
      <c r="B113">
        <v>2023</v>
      </c>
      <c r="C113">
        <v>71143.520039322102</v>
      </c>
    </row>
    <row r="114" spans="1:3" x14ac:dyDescent="0.35">
      <c r="A114" t="s">
        <v>33</v>
      </c>
      <c r="B114">
        <v>2001</v>
      </c>
      <c r="C114">
        <v>-1.4924322129041301</v>
      </c>
    </row>
    <row r="115" spans="1:3" x14ac:dyDescent="0.35">
      <c r="A115" t="s">
        <v>33</v>
      </c>
      <c r="B115">
        <v>2002</v>
      </c>
      <c r="C115">
        <v>-8.6521616812804591</v>
      </c>
    </row>
    <row r="116" spans="1:3" x14ac:dyDescent="0.35">
      <c r="A116" t="s">
        <v>33</v>
      </c>
      <c r="B116">
        <v>2003</v>
      </c>
      <c r="C116">
        <v>-1.36778314102236</v>
      </c>
    </row>
    <row r="117" spans="1:3" x14ac:dyDescent="0.35">
      <c r="A117" t="s">
        <v>33</v>
      </c>
      <c r="B117">
        <v>2004</v>
      </c>
      <c r="C117">
        <v>27.862988680082299</v>
      </c>
    </row>
    <row r="118" spans="1:3" x14ac:dyDescent="0.35">
      <c r="A118" t="s">
        <v>33</v>
      </c>
      <c r="B118">
        <v>2005</v>
      </c>
      <c r="C118">
        <v>53.657718296517999</v>
      </c>
    </row>
    <row r="119" spans="1:3" x14ac:dyDescent="0.35">
      <c r="A119" t="s">
        <v>33</v>
      </c>
      <c r="B119">
        <v>2006</v>
      </c>
      <c r="C119">
        <v>84.9479325210648</v>
      </c>
    </row>
    <row r="120" spans="1:3" x14ac:dyDescent="0.35">
      <c r="A120" t="s">
        <v>33</v>
      </c>
      <c r="B120">
        <v>2007</v>
      </c>
      <c r="C120">
        <v>119.36398550488001</v>
      </c>
    </row>
    <row r="121" spans="1:3" x14ac:dyDescent="0.35">
      <c r="A121" t="s">
        <v>33</v>
      </c>
      <c r="B121">
        <v>2008</v>
      </c>
      <c r="C121">
        <v>166.54433486340301</v>
      </c>
    </row>
    <row r="122" spans="1:3" x14ac:dyDescent="0.35">
      <c r="A122" t="s">
        <v>33</v>
      </c>
      <c r="B122">
        <v>2009</v>
      </c>
      <c r="C122">
        <v>212.36095844572901</v>
      </c>
    </row>
    <row r="123" spans="1:3" x14ac:dyDescent="0.35">
      <c r="A123" t="s">
        <v>33</v>
      </c>
      <c r="B123">
        <v>2010</v>
      </c>
      <c r="C123">
        <v>292.54863293074499</v>
      </c>
    </row>
    <row r="124" spans="1:3" x14ac:dyDescent="0.35">
      <c r="A124" t="s">
        <v>33</v>
      </c>
      <c r="B124">
        <v>2011</v>
      </c>
      <c r="C124">
        <v>407.924474805361</v>
      </c>
    </row>
    <row r="125" spans="1:3" x14ac:dyDescent="0.35">
      <c r="A125" t="s">
        <v>33</v>
      </c>
      <c r="B125">
        <v>2012</v>
      </c>
      <c r="C125">
        <v>533.80630683066499</v>
      </c>
    </row>
    <row r="126" spans="1:3" x14ac:dyDescent="0.35">
      <c r="A126" t="s">
        <v>33</v>
      </c>
      <c r="B126">
        <v>2013</v>
      </c>
      <c r="C126">
        <v>746.781747594016</v>
      </c>
    </row>
    <row r="127" spans="1:3" x14ac:dyDescent="0.35">
      <c r="A127" t="s">
        <v>33</v>
      </c>
      <c r="B127">
        <v>2014</v>
      </c>
      <c r="C127">
        <v>971.81016756238398</v>
      </c>
    </row>
    <row r="128" spans="1:3" x14ac:dyDescent="0.35">
      <c r="A128" t="s">
        <v>33</v>
      </c>
      <c r="B128">
        <v>2015</v>
      </c>
      <c r="C128">
        <v>1163.6609197842499</v>
      </c>
    </row>
    <row r="129" spans="1:3" x14ac:dyDescent="0.35">
      <c r="A129" t="s">
        <v>33</v>
      </c>
      <c r="B129">
        <v>2016</v>
      </c>
      <c r="C129">
        <v>1339.7868384604601</v>
      </c>
    </row>
    <row r="130" spans="1:3" x14ac:dyDescent="0.35">
      <c r="A130" t="s">
        <v>33</v>
      </c>
      <c r="B130">
        <v>2017</v>
      </c>
      <c r="C130">
        <v>1562.7055553662999</v>
      </c>
    </row>
    <row r="131" spans="1:3" x14ac:dyDescent="0.35">
      <c r="A131" t="s">
        <v>33</v>
      </c>
      <c r="B131">
        <v>2018</v>
      </c>
      <c r="C131">
        <v>1817.66383055242</v>
      </c>
    </row>
    <row r="132" spans="1:3" x14ac:dyDescent="0.35">
      <c r="A132" t="s">
        <v>33</v>
      </c>
      <c r="B132">
        <v>2019</v>
      </c>
      <c r="C132">
        <v>1995.9607855627401</v>
      </c>
    </row>
    <row r="133" spans="1:3" x14ac:dyDescent="0.35">
      <c r="A133" t="s">
        <v>33</v>
      </c>
      <c r="B133">
        <v>2020</v>
      </c>
      <c r="C133">
        <v>2145.4840890066798</v>
      </c>
    </row>
    <row r="134" spans="1:3" x14ac:dyDescent="0.35">
      <c r="A134" t="s">
        <v>33</v>
      </c>
      <c r="B134">
        <v>2021</v>
      </c>
      <c r="C134">
        <v>2348.5500119690801</v>
      </c>
    </row>
    <row r="135" spans="1:3" x14ac:dyDescent="0.35">
      <c r="A135" t="s">
        <v>33</v>
      </c>
      <c r="B135">
        <v>2022</v>
      </c>
      <c r="C135">
        <v>2719.2863456378</v>
      </c>
    </row>
    <row r="136" spans="1:3" x14ac:dyDescent="0.35">
      <c r="A136" t="s">
        <v>33</v>
      </c>
      <c r="B136">
        <v>2023</v>
      </c>
      <c r="C136">
        <v>3183.3026153319402</v>
      </c>
    </row>
    <row r="137" spans="1:3" x14ac:dyDescent="0.35">
      <c r="A137" t="s">
        <v>9</v>
      </c>
      <c r="B137">
        <v>2001</v>
      </c>
      <c r="C137">
        <v>16.8195051885514</v>
      </c>
    </row>
    <row r="138" spans="1:3" x14ac:dyDescent="0.35">
      <c r="A138" t="s">
        <v>9</v>
      </c>
      <c r="B138">
        <v>2002</v>
      </c>
      <c r="C138">
        <v>26.430340687388899</v>
      </c>
    </row>
    <row r="139" spans="1:3" x14ac:dyDescent="0.35">
      <c r="A139" t="s">
        <v>9</v>
      </c>
      <c r="B139">
        <v>2003</v>
      </c>
      <c r="C139">
        <v>49.428071072468803</v>
      </c>
    </row>
    <row r="140" spans="1:3" x14ac:dyDescent="0.35">
      <c r="A140" t="s">
        <v>9</v>
      </c>
      <c r="B140">
        <v>2004</v>
      </c>
      <c r="C140">
        <v>94.964021925057196</v>
      </c>
    </row>
    <row r="141" spans="1:3" x14ac:dyDescent="0.35">
      <c r="A141" t="s">
        <v>9</v>
      </c>
      <c r="B141">
        <v>2005</v>
      </c>
      <c r="C141">
        <v>141.111942436097</v>
      </c>
    </row>
    <row r="142" spans="1:3" x14ac:dyDescent="0.35">
      <c r="A142" t="s">
        <v>9</v>
      </c>
      <c r="B142">
        <v>2006</v>
      </c>
      <c r="C142">
        <v>192.52908203008101</v>
      </c>
    </row>
    <row r="143" spans="1:3" x14ac:dyDescent="0.35">
      <c r="A143" t="s">
        <v>9</v>
      </c>
      <c r="B143">
        <v>2007</v>
      </c>
      <c r="C143">
        <v>697.91067113471001</v>
      </c>
    </row>
    <row r="144" spans="1:3" x14ac:dyDescent="0.35">
      <c r="A144" t="s">
        <v>9</v>
      </c>
      <c r="B144">
        <v>2008</v>
      </c>
      <c r="C144">
        <v>2276.00308084987</v>
      </c>
    </row>
    <row r="145" spans="1:3" x14ac:dyDescent="0.35">
      <c r="A145" t="s">
        <v>9</v>
      </c>
      <c r="B145">
        <v>2009</v>
      </c>
      <c r="C145">
        <v>3385.7522687505698</v>
      </c>
    </row>
    <row r="146" spans="1:3" x14ac:dyDescent="0.35">
      <c r="A146" t="s">
        <v>9</v>
      </c>
      <c r="B146">
        <v>2010</v>
      </c>
      <c r="C146">
        <v>4303.2738513294098</v>
      </c>
    </row>
    <row r="147" spans="1:3" x14ac:dyDescent="0.35">
      <c r="A147" t="s">
        <v>9</v>
      </c>
      <c r="B147">
        <v>2011</v>
      </c>
      <c r="C147">
        <v>5054.9416138074102</v>
      </c>
    </row>
    <row r="148" spans="1:3" x14ac:dyDescent="0.35">
      <c r="A148" t="s">
        <v>9</v>
      </c>
      <c r="B148">
        <v>2012</v>
      </c>
      <c r="C148">
        <v>5670.2314896451098</v>
      </c>
    </row>
    <row r="149" spans="1:3" x14ac:dyDescent="0.35">
      <c r="A149" t="s">
        <v>9</v>
      </c>
      <c r="B149">
        <v>2013</v>
      </c>
      <c r="C149">
        <v>6095.8346856296002</v>
      </c>
    </row>
    <row r="150" spans="1:3" x14ac:dyDescent="0.35">
      <c r="A150" t="s">
        <v>9</v>
      </c>
      <c r="B150">
        <v>2014</v>
      </c>
      <c r="C150">
        <v>6303.1704724007104</v>
      </c>
    </row>
    <row r="151" spans="1:3" x14ac:dyDescent="0.35">
      <c r="A151" t="s">
        <v>9</v>
      </c>
      <c r="B151">
        <v>2015</v>
      </c>
      <c r="C151">
        <v>6347.8493754137598</v>
      </c>
    </row>
    <row r="152" spans="1:3" x14ac:dyDescent="0.35">
      <c r="A152" t="s">
        <v>9</v>
      </c>
      <c r="B152">
        <v>2016</v>
      </c>
      <c r="C152">
        <v>6299.6352212310303</v>
      </c>
    </row>
    <row r="153" spans="1:3" x14ac:dyDescent="0.35">
      <c r="A153" t="s">
        <v>9</v>
      </c>
      <c r="B153">
        <v>2017</v>
      </c>
      <c r="C153">
        <v>6317.6739089981702</v>
      </c>
    </row>
    <row r="154" spans="1:3" x14ac:dyDescent="0.35">
      <c r="A154" t="s">
        <v>9</v>
      </c>
      <c r="B154">
        <v>2018</v>
      </c>
      <c r="C154">
        <v>6400.8545353192903</v>
      </c>
    </row>
    <row r="155" spans="1:3" x14ac:dyDescent="0.35">
      <c r="A155" t="s">
        <v>9</v>
      </c>
      <c r="B155">
        <v>2019</v>
      </c>
      <c r="C155">
        <v>9302.2667100382605</v>
      </c>
    </row>
    <row r="156" spans="1:3" x14ac:dyDescent="0.35">
      <c r="A156" t="s">
        <v>9</v>
      </c>
      <c r="B156">
        <v>2020</v>
      </c>
      <c r="C156">
        <v>12461.478434099001</v>
      </c>
    </row>
    <row r="157" spans="1:3" x14ac:dyDescent="0.35">
      <c r="A157" t="s">
        <v>9</v>
      </c>
      <c r="B157">
        <v>2021</v>
      </c>
      <c r="C157">
        <v>16188.089887214101</v>
      </c>
    </row>
    <row r="158" spans="1:3" x14ac:dyDescent="0.35">
      <c r="A158" t="s">
        <v>9</v>
      </c>
      <c r="B158">
        <v>2022</v>
      </c>
      <c r="C158">
        <v>21973.731315572801</v>
      </c>
    </row>
    <row r="159" spans="1:3" x14ac:dyDescent="0.35">
      <c r="A159" t="s">
        <v>9</v>
      </c>
      <c r="B159">
        <v>2023</v>
      </c>
      <c r="C159">
        <v>29617.804550995999</v>
      </c>
    </row>
    <row r="160" spans="1:3" x14ac:dyDescent="0.35">
      <c r="A160" t="s">
        <v>34</v>
      </c>
      <c r="B160">
        <v>2001</v>
      </c>
      <c r="C160">
        <v>-5.1107038072414097</v>
      </c>
    </row>
    <row r="161" spans="1:3" x14ac:dyDescent="0.35">
      <c r="A161" t="s">
        <v>34</v>
      </c>
      <c r="B161">
        <v>2002</v>
      </c>
      <c r="C161">
        <v>-29.995745847588999</v>
      </c>
    </row>
    <row r="162" spans="1:3" x14ac:dyDescent="0.35">
      <c r="A162" t="s">
        <v>34</v>
      </c>
      <c r="B162">
        <v>2003</v>
      </c>
      <c r="C162">
        <v>-62.820071471269202</v>
      </c>
    </row>
    <row r="163" spans="1:3" x14ac:dyDescent="0.35">
      <c r="A163" t="s">
        <v>34</v>
      </c>
      <c r="B163">
        <v>2004</v>
      </c>
      <c r="C163">
        <v>-88.824680280018598</v>
      </c>
    </row>
    <row r="164" spans="1:3" x14ac:dyDescent="0.35">
      <c r="A164" t="s">
        <v>34</v>
      </c>
      <c r="B164">
        <v>2005</v>
      </c>
      <c r="C164">
        <v>-101.446092768954</v>
      </c>
    </row>
    <row r="165" spans="1:3" x14ac:dyDescent="0.35">
      <c r="A165" t="s">
        <v>34</v>
      </c>
      <c r="B165">
        <v>2006</v>
      </c>
      <c r="C165">
        <v>-101.055300646682</v>
      </c>
    </row>
    <row r="166" spans="1:3" x14ac:dyDescent="0.35">
      <c r="A166" t="s">
        <v>34</v>
      </c>
      <c r="B166">
        <v>2007</v>
      </c>
      <c r="C166">
        <v>-87.5338856786653</v>
      </c>
    </row>
    <row r="167" spans="1:3" x14ac:dyDescent="0.35">
      <c r="A167" t="s">
        <v>34</v>
      </c>
      <c r="B167">
        <v>2008</v>
      </c>
      <c r="C167">
        <v>-34.472413618423097</v>
      </c>
    </row>
    <row r="168" spans="1:3" x14ac:dyDescent="0.35">
      <c r="A168" t="s">
        <v>34</v>
      </c>
      <c r="B168">
        <v>2009</v>
      </c>
      <c r="C168">
        <v>23.2936795644436</v>
      </c>
    </row>
    <row r="169" spans="1:3" x14ac:dyDescent="0.35">
      <c r="A169" t="s">
        <v>34</v>
      </c>
      <c r="B169">
        <v>2010</v>
      </c>
      <c r="C169">
        <v>106.14736597208901</v>
      </c>
    </row>
    <row r="170" spans="1:3" x14ac:dyDescent="0.35">
      <c r="A170" t="s">
        <v>34</v>
      </c>
      <c r="B170">
        <v>2020</v>
      </c>
      <c r="C170">
        <v>240.07617432784301</v>
      </c>
    </row>
    <row r="171" spans="1:3" x14ac:dyDescent="0.35">
      <c r="A171" t="s">
        <v>34</v>
      </c>
      <c r="B171">
        <v>2021</v>
      </c>
      <c r="C171">
        <v>397.10393105341302</v>
      </c>
    </row>
    <row r="172" spans="1:3" x14ac:dyDescent="0.35">
      <c r="A172" t="s">
        <v>34</v>
      </c>
      <c r="B172">
        <v>2022</v>
      </c>
      <c r="C172">
        <v>726.031996141798</v>
      </c>
    </row>
    <row r="173" spans="1:3" x14ac:dyDescent="0.35">
      <c r="A173" t="s">
        <v>34</v>
      </c>
      <c r="B173">
        <v>2023</v>
      </c>
      <c r="C173">
        <v>1147.1429775786801</v>
      </c>
    </row>
    <row r="174" spans="1:3" x14ac:dyDescent="0.35">
      <c r="A174" t="s">
        <v>35</v>
      </c>
      <c r="B174">
        <v>2001</v>
      </c>
      <c r="C174">
        <v>-59.1173238087313</v>
      </c>
    </row>
    <row r="175" spans="1:3" x14ac:dyDescent="0.35">
      <c r="A175" t="s">
        <v>35</v>
      </c>
      <c r="B175">
        <v>2002</v>
      </c>
      <c r="C175">
        <v>-122.445146129433</v>
      </c>
    </row>
    <row r="176" spans="1:3" x14ac:dyDescent="0.35">
      <c r="A176" t="s">
        <v>35</v>
      </c>
      <c r="B176">
        <v>2003</v>
      </c>
      <c r="C176">
        <v>-175.172874611927</v>
      </c>
    </row>
    <row r="177" spans="1:3" x14ac:dyDescent="0.35">
      <c r="A177" t="s">
        <v>35</v>
      </c>
      <c r="B177">
        <v>2004</v>
      </c>
      <c r="C177">
        <v>-209.57256887314099</v>
      </c>
    </row>
    <row r="178" spans="1:3" x14ac:dyDescent="0.35">
      <c r="A178" t="s">
        <v>35</v>
      </c>
      <c r="B178">
        <v>2005</v>
      </c>
      <c r="C178">
        <v>-243.31466131852699</v>
      </c>
    </row>
    <row r="179" spans="1:3" x14ac:dyDescent="0.35">
      <c r="A179" t="s">
        <v>35</v>
      </c>
      <c r="B179">
        <v>2006</v>
      </c>
      <c r="C179">
        <v>-272.49684779780898</v>
      </c>
    </row>
    <row r="180" spans="1:3" x14ac:dyDescent="0.35">
      <c r="A180" t="s">
        <v>35</v>
      </c>
      <c r="B180">
        <v>2007</v>
      </c>
      <c r="C180">
        <v>-297.51339426535299</v>
      </c>
    </row>
    <row r="181" spans="1:3" x14ac:dyDescent="0.35">
      <c r="A181" t="s">
        <v>35</v>
      </c>
      <c r="B181">
        <v>2008</v>
      </c>
      <c r="C181">
        <v>-311.38170094888</v>
      </c>
    </row>
    <row r="182" spans="1:3" x14ac:dyDescent="0.35">
      <c r="A182" t="s">
        <v>35</v>
      </c>
      <c r="B182">
        <v>2009</v>
      </c>
      <c r="C182">
        <v>-325.68586787597002</v>
      </c>
    </row>
    <row r="183" spans="1:3" x14ac:dyDescent="0.35">
      <c r="A183" t="s">
        <v>35</v>
      </c>
      <c r="B183">
        <v>2010</v>
      </c>
      <c r="C183">
        <v>-310.44395814367101</v>
      </c>
    </row>
    <row r="184" spans="1:3" x14ac:dyDescent="0.35">
      <c r="A184" t="s">
        <v>35</v>
      </c>
      <c r="B184">
        <v>2011</v>
      </c>
      <c r="C184">
        <v>-259.52371011894297</v>
      </c>
    </row>
    <row r="185" spans="1:3" x14ac:dyDescent="0.35">
      <c r="A185" t="s">
        <v>35</v>
      </c>
      <c r="B185">
        <v>2012</v>
      </c>
      <c r="C185">
        <v>-188.89630313239601</v>
      </c>
    </row>
    <row r="186" spans="1:3" x14ac:dyDescent="0.35">
      <c r="A186" t="s">
        <v>35</v>
      </c>
      <c r="B186">
        <v>2013</v>
      </c>
      <c r="C186">
        <v>-62.895314091641403</v>
      </c>
    </row>
    <row r="187" spans="1:3" x14ac:dyDescent="0.35">
      <c r="A187" t="s">
        <v>35</v>
      </c>
      <c r="B187">
        <v>2014</v>
      </c>
      <c r="C187">
        <v>72.897113303881497</v>
      </c>
    </row>
    <row r="188" spans="1:3" x14ac:dyDescent="0.35">
      <c r="A188" t="s">
        <v>35</v>
      </c>
      <c r="B188">
        <v>2015</v>
      </c>
      <c r="C188">
        <v>175.231069534639</v>
      </c>
    </row>
    <row r="189" spans="1:3" x14ac:dyDescent="0.35">
      <c r="A189" t="s">
        <v>35</v>
      </c>
      <c r="B189">
        <v>2016</v>
      </c>
      <c r="C189">
        <v>272.12544254415701</v>
      </c>
    </row>
    <row r="190" spans="1:3" x14ac:dyDescent="0.35">
      <c r="A190" t="s">
        <v>35</v>
      </c>
      <c r="B190">
        <v>2017</v>
      </c>
      <c r="C190">
        <v>407.92417092025602</v>
      </c>
    </row>
    <row r="191" spans="1:3" x14ac:dyDescent="0.35">
      <c r="A191" t="s">
        <v>35</v>
      </c>
      <c r="B191">
        <v>2018</v>
      </c>
      <c r="C191">
        <v>577.88218929166806</v>
      </c>
    </row>
    <row r="192" spans="1:3" x14ac:dyDescent="0.35">
      <c r="A192" t="s">
        <v>35</v>
      </c>
      <c r="B192">
        <v>2019</v>
      </c>
      <c r="C192">
        <v>698.85577396230997</v>
      </c>
    </row>
    <row r="193" spans="1:3" x14ac:dyDescent="0.35">
      <c r="A193" t="s">
        <v>35</v>
      </c>
      <c r="B193">
        <v>2020</v>
      </c>
      <c r="C193">
        <v>788.89336313426304</v>
      </c>
    </row>
    <row r="194" spans="1:3" x14ac:dyDescent="0.35">
      <c r="A194" t="s">
        <v>35</v>
      </c>
      <c r="B194">
        <v>2021</v>
      </c>
      <c r="C194">
        <v>898.82072575257996</v>
      </c>
    </row>
    <row r="195" spans="1:3" x14ac:dyDescent="0.35">
      <c r="A195" t="s">
        <v>35</v>
      </c>
      <c r="B195">
        <v>2022</v>
      </c>
      <c r="C195">
        <v>1158.1680686872901</v>
      </c>
    </row>
    <row r="196" spans="1:3" x14ac:dyDescent="0.35">
      <c r="A196" t="s">
        <v>35</v>
      </c>
      <c r="B196">
        <v>2023</v>
      </c>
      <c r="C196">
        <v>1499.76686833345</v>
      </c>
    </row>
    <row r="197" spans="1:3" x14ac:dyDescent="0.35">
      <c r="A197" t="s">
        <v>13</v>
      </c>
      <c r="B197">
        <v>2001</v>
      </c>
      <c r="C197">
        <v>13.676863904641699</v>
      </c>
    </row>
    <row r="198" spans="1:3" x14ac:dyDescent="0.35">
      <c r="A198" t="s">
        <v>13</v>
      </c>
      <c r="B198">
        <v>2002</v>
      </c>
      <c r="C198">
        <v>21.5187276874614</v>
      </c>
    </row>
    <row r="199" spans="1:3" x14ac:dyDescent="0.35">
      <c r="A199" t="s">
        <v>13</v>
      </c>
      <c r="B199">
        <v>2003</v>
      </c>
      <c r="C199">
        <v>44.006690142415898</v>
      </c>
    </row>
    <row r="200" spans="1:3" x14ac:dyDescent="0.35">
      <c r="A200" t="s">
        <v>13</v>
      </c>
      <c r="B200">
        <v>2004</v>
      </c>
      <c r="C200">
        <v>89.324122995689194</v>
      </c>
    </row>
    <row r="201" spans="1:3" x14ac:dyDescent="0.35">
      <c r="A201" t="s">
        <v>13</v>
      </c>
      <c r="B201">
        <v>2005</v>
      </c>
      <c r="C201">
        <v>134.79282858983501</v>
      </c>
    </row>
    <row r="202" spans="1:3" x14ac:dyDescent="0.35">
      <c r="A202" t="s">
        <v>13</v>
      </c>
      <c r="B202">
        <v>2006</v>
      </c>
      <c r="C202">
        <v>185.23839138330499</v>
      </c>
    </row>
    <row r="203" spans="1:3" x14ac:dyDescent="0.35">
      <c r="A203" t="s">
        <v>13</v>
      </c>
      <c r="B203">
        <v>2007</v>
      </c>
      <c r="C203">
        <v>239.60370240267801</v>
      </c>
    </row>
    <row r="204" spans="1:3" x14ac:dyDescent="0.35">
      <c r="A204" t="s">
        <v>13</v>
      </c>
      <c r="B204">
        <v>2008</v>
      </c>
      <c r="C204">
        <v>305.59638819704401</v>
      </c>
    </row>
    <row r="205" spans="1:3" x14ac:dyDescent="0.35">
      <c r="A205" t="s">
        <v>13</v>
      </c>
      <c r="B205">
        <v>2009</v>
      </c>
      <c r="C205">
        <v>375.973126567875</v>
      </c>
    </row>
    <row r="206" spans="1:3" x14ac:dyDescent="0.35">
      <c r="A206" t="s">
        <v>13</v>
      </c>
      <c r="B206">
        <v>2010</v>
      </c>
      <c r="C206">
        <v>1269.3524201815001</v>
      </c>
    </row>
    <row r="207" spans="1:3" x14ac:dyDescent="0.35">
      <c r="A207" t="s">
        <v>13</v>
      </c>
      <c r="B207">
        <v>2011</v>
      </c>
      <c r="C207">
        <v>2311.5964946107902</v>
      </c>
    </row>
    <row r="208" spans="1:3" x14ac:dyDescent="0.35">
      <c r="A208" t="s">
        <v>13</v>
      </c>
      <c r="B208">
        <v>2012</v>
      </c>
      <c r="C208">
        <v>3478.09602417936</v>
      </c>
    </row>
    <row r="209" spans="1:3" x14ac:dyDescent="0.35">
      <c r="A209" t="s">
        <v>13</v>
      </c>
      <c r="B209">
        <v>2013</v>
      </c>
      <c r="C209">
        <v>4815.64823197637</v>
      </c>
    </row>
    <row r="210" spans="1:3" x14ac:dyDescent="0.35">
      <c r="A210" t="s">
        <v>13</v>
      </c>
      <c r="B210">
        <v>2014</v>
      </c>
      <c r="C210">
        <v>6200.4731899267399</v>
      </c>
    </row>
    <row r="211" spans="1:3" x14ac:dyDescent="0.35">
      <c r="A211" t="s">
        <v>13</v>
      </c>
      <c r="B211">
        <v>2015</v>
      </c>
      <c r="C211">
        <v>7432.0552726962396</v>
      </c>
    </row>
    <row r="212" spans="1:3" x14ac:dyDescent="0.35">
      <c r="A212" t="s">
        <v>13</v>
      </c>
      <c r="B212">
        <v>2016</v>
      </c>
      <c r="C212">
        <v>8643.8351919924207</v>
      </c>
    </row>
    <row r="213" spans="1:3" x14ac:dyDescent="0.35">
      <c r="A213" t="s">
        <v>13</v>
      </c>
      <c r="B213">
        <v>2017</v>
      </c>
      <c r="C213">
        <v>10019.966849791501</v>
      </c>
    </row>
    <row r="214" spans="1:3" x14ac:dyDescent="0.35">
      <c r="A214" t="s">
        <v>13</v>
      </c>
      <c r="B214">
        <v>2018</v>
      </c>
      <c r="C214">
        <v>11496.6610826287</v>
      </c>
    </row>
    <row r="215" spans="1:3" x14ac:dyDescent="0.35">
      <c r="A215" t="s">
        <v>13</v>
      </c>
      <c r="B215">
        <v>2019</v>
      </c>
      <c r="C215">
        <v>12769.544690348201</v>
      </c>
    </row>
    <row r="216" spans="1:3" x14ac:dyDescent="0.35">
      <c r="A216" t="s">
        <v>13</v>
      </c>
      <c r="B216">
        <v>2020</v>
      </c>
      <c r="C216">
        <v>13956.744224877901</v>
      </c>
    </row>
    <row r="217" spans="1:3" x14ac:dyDescent="0.35">
      <c r="A217" t="s">
        <v>13</v>
      </c>
      <c r="B217">
        <v>2021</v>
      </c>
      <c r="C217">
        <v>15221.5313655885</v>
      </c>
    </row>
    <row r="218" spans="1:3" x14ac:dyDescent="0.35">
      <c r="A218" t="s">
        <v>13</v>
      </c>
      <c r="B218">
        <v>2022</v>
      </c>
      <c r="C218">
        <v>16993.998531917699</v>
      </c>
    </row>
    <row r="219" spans="1:3" x14ac:dyDescent="0.35">
      <c r="A219" t="s">
        <v>13</v>
      </c>
      <c r="B219">
        <v>2023</v>
      </c>
      <c r="C219">
        <v>16678.476877441699</v>
      </c>
    </row>
    <row r="220" spans="1:3" x14ac:dyDescent="0.35">
      <c r="A220" t="s">
        <v>15</v>
      </c>
      <c r="B220">
        <v>2001</v>
      </c>
      <c r="C220">
        <v>-19.8713632382801</v>
      </c>
    </row>
    <row r="221" spans="1:3" x14ac:dyDescent="0.35">
      <c r="A221" t="s">
        <v>15</v>
      </c>
      <c r="B221">
        <v>2002</v>
      </c>
      <c r="C221">
        <v>-46.154986263933999</v>
      </c>
    </row>
    <row r="222" spans="1:3" x14ac:dyDescent="0.35">
      <c r="A222" t="s">
        <v>15</v>
      </c>
      <c r="B222">
        <v>2003</v>
      </c>
      <c r="C222">
        <v>-49.4396163785757</v>
      </c>
    </row>
    <row r="223" spans="1:3" x14ac:dyDescent="0.35">
      <c r="A223" t="s">
        <v>15</v>
      </c>
      <c r="B223">
        <v>2004</v>
      </c>
      <c r="C223">
        <v>-26.263573065519601</v>
      </c>
    </row>
    <row r="224" spans="1:3" x14ac:dyDescent="0.35">
      <c r="A224" t="s">
        <v>15</v>
      </c>
      <c r="B224">
        <v>2005</v>
      </c>
      <c r="C224">
        <v>5.5599839677210001</v>
      </c>
    </row>
    <row r="225" spans="1:3" x14ac:dyDescent="0.35">
      <c r="A225" t="s">
        <v>15</v>
      </c>
      <c r="B225">
        <v>2006</v>
      </c>
      <c r="C225">
        <v>30.946471457832299</v>
      </c>
    </row>
    <row r="226" spans="1:3" x14ac:dyDescent="0.35">
      <c r="A226" t="s">
        <v>15</v>
      </c>
      <c r="B226">
        <v>2007</v>
      </c>
      <c r="C226">
        <v>62.570665270266304</v>
      </c>
    </row>
    <row r="227" spans="1:3" x14ac:dyDescent="0.35">
      <c r="A227" t="s">
        <v>15</v>
      </c>
      <c r="B227">
        <v>2008</v>
      </c>
      <c r="C227">
        <v>95.468502503175401</v>
      </c>
    </row>
    <row r="228" spans="1:3" x14ac:dyDescent="0.35">
      <c r="A228" t="s">
        <v>15</v>
      </c>
      <c r="B228">
        <v>2009</v>
      </c>
      <c r="C228">
        <v>118.512073925987</v>
      </c>
    </row>
    <row r="229" spans="1:3" x14ac:dyDescent="0.35">
      <c r="A229" t="s">
        <v>15</v>
      </c>
      <c r="B229">
        <v>2010</v>
      </c>
      <c r="C229">
        <v>354.77642118041598</v>
      </c>
    </row>
    <row r="230" spans="1:3" x14ac:dyDescent="0.35">
      <c r="A230" t="s">
        <v>15</v>
      </c>
      <c r="B230">
        <v>2011</v>
      </c>
      <c r="C230">
        <v>877.89860370763995</v>
      </c>
    </row>
    <row r="231" spans="1:3" x14ac:dyDescent="0.35">
      <c r="A231" t="s">
        <v>15</v>
      </c>
      <c r="B231">
        <v>2012</v>
      </c>
      <c r="C231">
        <v>1791.5979004803901</v>
      </c>
    </row>
    <row r="232" spans="1:3" x14ac:dyDescent="0.35">
      <c r="A232" t="s">
        <v>15</v>
      </c>
      <c r="B232">
        <v>2013</v>
      </c>
      <c r="C232">
        <v>3531.6573606807501</v>
      </c>
    </row>
    <row r="233" spans="1:3" x14ac:dyDescent="0.35">
      <c r="A233" t="s">
        <v>15</v>
      </c>
      <c r="B233">
        <v>2014</v>
      </c>
      <c r="C233">
        <v>6395.4462609149396</v>
      </c>
    </row>
    <row r="234" spans="1:3" x14ac:dyDescent="0.35">
      <c r="A234" t="s">
        <v>15</v>
      </c>
      <c r="B234">
        <v>2015</v>
      </c>
      <c r="C234">
        <v>10526.315172266201</v>
      </c>
    </row>
    <row r="235" spans="1:3" x14ac:dyDescent="0.35">
      <c r="A235" t="s">
        <v>15</v>
      </c>
      <c r="B235">
        <v>2016</v>
      </c>
      <c r="C235">
        <v>12429.495612168799</v>
      </c>
    </row>
    <row r="236" spans="1:3" x14ac:dyDescent="0.35">
      <c r="A236" t="s">
        <v>15</v>
      </c>
      <c r="B236">
        <v>2017</v>
      </c>
      <c r="C236">
        <v>13307.3368696324</v>
      </c>
    </row>
    <row r="237" spans="1:3" x14ac:dyDescent="0.35">
      <c r="A237" t="s">
        <v>15</v>
      </c>
      <c r="B237">
        <v>2018</v>
      </c>
      <c r="C237">
        <v>13667.4481041177</v>
      </c>
    </row>
    <row r="238" spans="1:3" x14ac:dyDescent="0.35">
      <c r="A238" t="s">
        <v>15</v>
      </c>
      <c r="B238">
        <v>2019</v>
      </c>
      <c r="C238">
        <v>14057.6463157137</v>
      </c>
    </row>
    <row r="239" spans="1:3" x14ac:dyDescent="0.35">
      <c r="A239" t="s">
        <v>15</v>
      </c>
      <c r="B239">
        <v>2020</v>
      </c>
      <c r="C239">
        <v>14443.980616820299</v>
      </c>
    </row>
    <row r="240" spans="1:3" x14ac:dyDescent="0.35">
      <c r="A240" t="s">
        <v>15</v>
      </c>
      <c r="B240">
        <v>2021</v>
      </c>
      <c r="C240">
        <v>14989.3256448968</v>
      </c>
    </row>
    <row r="241" spans="1:3" x14ac:dyDescent="0.35">
      <c r="A241" t="s">
        <v>15</v>
      </c>
      <c r="B241">
        <v>2022</v>
      </c>
      <c r="C241">
        <v>15863.5450753979</v>
      </c>
    </row>
    <row r="242" spans="1:3" x14ac:dyDescent="0.35">
      <c r="A242" t="s">
        <v>15</v>
      </c>
      <c r="B242">
        <v>2023</v>
      </c>
      <c r="C242">
        <v>17063.129080405499</v>
      </c>
    </row>
    <row r="243" spans="1:3" x14ac:dyDescent="0.35">
      <c r="A243" t="s">
        <v>18</v>
      </c>
      <c r="B243">
        <v>2001</v>
      </c>
      <c r="C243">
        <v>13.814550103489101</v>
      </c>
    </row>
    <row r="244" spans="1:3" x14ac:dyDescent="0.35">
      <c r="A244" t="s">
        <v>18</v>
      </c>
      <c r="B244">
        <v>2002</v>
      </c>
      <c r="C244">
        <v>19.799470837789901</v>
      </c>
    </row>
    <row r="245" spans="1:3" x14ac:dyDescent="0.35">
      <c r="A245" t="s">
        <v>18</v>
      </c>
      <c r="B245">
        <v>2003</v>
      </c>
      <c r="C245">
        <v>43.118084449973402</v>
      </c>
    </row>
    <row r="246" spans="1:3" x14ac:dyDescent="0.35">
      <c r="A246" t="s">
        <v>18</v>
      </c>
      <c r="B246">
        <v>2004</v>
      </c>
      <c r="C246">
        <v>90.540908230658303</v>
      </c>
    </row>
    <row r="247" spans="1:3" x14ac:dyDescent="0.35">
      <c r="A247" t="s">
        <v>18</v>
      </c>
      <c r="B247">
        <v>2005</v>
      </c>
      <c r="C247">
        <v>138.44413466792099</v>
      </c>
    </row>
    <row r="248" spans="1:3" x14ac:dyDescent="0.35">
      <c r="A248" t="s">
        <v>18</v>
      </c>
      <c r="B248">
        <v>2006</v>
      </c>
      <c r="C248">
        <v>194.885945995215</v>
      </c>
    </row>
    <row r="249" spans="1:3" x14ac:dyDescent="0.35">
      <c r="A249" t="s">
        <v>18</v>
      </c>
      <c r="B249">
        <v>2007</v>
      </c>
      <c r="C249">
        <v>253.19405665696999</v>
      </c>
    </row>
    <row r="250" spans="1:3" x14ac:dyDescent="0.35">
      <c r="A250" t="s">
        <v>18</v>
      </c>
      <c r="B250">
        <v>2008</v>
      </c>
      <c r="C250">
        <v>331.84016412751402</v>
      </c>
    </row>
    <row r="251" spans="1:3" x14ac:dyDescent="0.35">
      <c r="A251" t="s">
        <v>18</v>
      </c>
      <c r="B251">
        <v>2009</v>
      </c>
      <c r="C251">
        <v>435.60233878677502</v>
      </c>
    </row>
    <row r="252" spans="1:3" x14ac:dyDescent="0.35">
      <c r="A252" t="s">
        <v>18</v>
      </c>
      <c r="B252">
        <v>2010</v>
      </c>
      <c r="C252">
        <v>678.662803985663</v>
      </c>
    </row>
    <row r="253" spans="1:3" x14ac:dyDescent="0.35">
      <c r="A253" t="s">
        <v>18</v>
      </c>
      <c r="B253">
        <v>2011</v>
      </c>
      <c r="C253">
        <v>1081.73689261287</v>
      </c>
    </row>
    <row r="254" spans="1:3" x14ac:dyDescent="0.35">
      <c r="A254" t="s">
        <v>18</v>
      </c>
      <c r="B254">
        <v>2012</v>
      </c>
      <c r="C254">
        <v>1690.2646600603</v>
      </c>
    </row>
    <row r="255" spans="1:3" x14ac:dyDescent="0.35">
      <c r="A255" t="s">
        <v>18</v>
      </c>
      <c r="B255">
        <v>2013</v>
      </c>
      <c r="C255">
        <v>2200.43595362009</v>
      </c>
    </row>
    <row r="256" spans="1:3" x14ac:dyDescent="0.35">
      <c r="A256" t="s">
        <v>18</v>
      </c>
      <c r="B256">
        <v>2014</v>
      </c>
      <c r="C256">
        <v>2306.40676848865</v>
      </c>
    </row>
    <row r="257" spans="1:3" x14ac:dyDescent="0.35">
      <c r="A257" t="s">
        <v>18</v>
      </c>
      <c r="B257">
        <v>2015</v>
      </c>
      <c r="C257">
        <v>2239.4530323366498</v>
      </c>
    </row>
    <row r="258" spans="1:3" x14ac:dyDescent="0.35">
      <c r="A258" t="s">
        <v>18</v>
      </c>
      <c r="B258">
        <v>2016</v>
      </c>
      <c r="C258">
        <v>2246.22594064857</v>
      </c>
    </row>
    <row r="259" spans="1:3" x14ac:dyDescent="0.35">
      <c r="A259" t="s">
        <v>18</v>
      </c>
      <c r="B259">
        <v>2017</v>
      </c>
      <c r="C259">
        <v>2335.6378763910602</v>
      </c>
    </row>
    <row r="260" spans="1:3" x14ac:dyDescent="0.35">
      <c r="A260" t="s">
        <v>18</v>
      </c>
      <c r="B260">
        <v>2018</v>
      </c>
      <c r="C260">
        <v>2531.4641007827099</v>
      </c>
    </row>
    <row r="261" spans="1:3" x14ac:dyDescent="0.35">
      <c r="A261" t="s">
        <v>18</v>
      </c>
      <c r="B261">
        <v>2019</v>
      </c>
      <c r="C261">
        <v>2815.3128486252099</v>
      </c>
    </row>
    <row r="262" spans="1:3" x14ac:dyDescent="0.35">
      <c r="A262" t="s">
        <v>18</v>
      </c>
      <c r="B262">
        <v>2020</v>
      </c>
      <c r="C262">
        <v>3180.0089991199702</v>
      </c>
    </row>
    <row r="263" spans="1:3" x14ac:dyDescent="0.35">
      <c r="A263" t="s">
        <v>18</v>
      </c>
      <c r="B263">
        <v>2021</v>
      </c>
      <c r="C263">
        <v>3735.1072911287802</v>
      </c>
    </row>
    <row r="264" spans="1:3" x14ac:dyDescent="0.35">
      <c r="A264" t="s">
        <v>18</v>
      </c>
      <c r="B264">
        <v>2022</v>
      </c>
      <c r="C264">
        <v>4919.7199955112001</v>
      </c>
    </row>
    <row r="265" spans="1:3" x14ac:dyDescent="0.35">
      <c r="A265" t="s">
        <v>18</v>
      </c>
      <c r="B265">
        <v>2023</v>
      </c>
      <c r="C265">
        <v>6676.9880082039299</v>
      </c>
    </row>
    <row r="266" spans="1:3" x14ac:dyDescent="0.35">
      <c r="A266" t="s">
        <v>36</v>
      </c>
      <c r="B266">
        <v>2001</v>
      </c>
      <c r="C266">
        <v>-18.552183488772101</v>
      </c>
    </row>
    <row r="267" spans="1:3" x14ac:dyDescent="0.35">
      <c r="A267" t="s">
        <v>36</v>
      </c>
      <c r="B267">
        <v>2002</v>
      </c>
      <c r="C267">
        <v>-50.412265980145698</v>
      </c>
    </row>
    <row r="268" spans="1:3" x14ac:dyDescent="0.35">
      <c r="A268" t="s">
        <v>36</v>
      </c>
      <c r="B268">
        <v>2003</v>
      </c>
      <c r="C268">
        <v>-57.767383013444103</v>
      </c>
    </row>
    <row r="269" spans="1:3" x14ac:dyDescent="0.35">
      <c r="A269" t="s">
        <v>36</v>
      </c>
      <c r="B269">
        <v>2004</v>
      </c>
      <c r="C269">
        <v>-25.1140535582207</v>
      </c>
    </row>
    <row r="270" spans="1:3" x14ac:dyDescent="0.35">
      <c r="A270" t="s">
        <v>36</v>
      </c>
      <c r="B270">
        <v>2005</v>
      </c>
      <c r="C270">
        <v>3.75353913803036</v>
      </c>
    </row>
    <row r="271" spans="1:3" x14ac:dyDescent="0.35">
      <c r="A271" t="s">
        <v>36</v>
      </c>
      <c r="B271">
        <v>2006</v>
      </c>
      <c r="C271">
        <v>36.200965680717196</v>
      </c>
    </row>
    <row r="272" spans="1:3" x14ac:dyDescent="0.35">
      <c r="A272" t="s">
        <v>36</v>
      </c>
      <c r="B272">
        <v>2007</v>
      </c>
      <c r="C272">
        <v>55.764296345604201</v>
      </c>
    </row>
    <row r="273" spans="1:3" x14ac:dyDescent="0.35">
      <c r="A273" t="s">
        <v>36</v>
      </c>
      <c r="B273">
        <v>2008</v>
      </c>
      <c r="C273">
        <v>108.952368031703</v>
      </c>
    </row>
    <row r="274" spans="1:3" x14ac:dyDescent="0.35">
      <c r="A274" t="s">
        <v>36</v>
      </c>
      <c r="B274">
        <v>2009</v>
      </c>
      <c r="C274">
        <v>188.24778356505701</v>
      </c>
    </row>
    <row r="275" spans="1:3" x14ac:dyDescent="0.35">
      <c r="A275" t="s">
        <v>36</v>
      </c>
      <c r="B275">
        <v>2010</v>
      </c>
      <c r="C275">
        <v>299.43516737733199</v>
      </c>
    </row>
    <row r="276" spans="1:3" x14ac:dyDescent="0.35">
      <c r="A276" t="s">
        <v>36</v>
      </c>
      <c r="B276">
        <v>2011</v>
      </c>
      <c r="C276">
        <v>462.059818875676</v>
      </c>
    </row>
    <row r="277" spans="1:3" x14ac:dyDescent="0.35">
      <c r="A277" t="s">
        <v>36</v>
      </c>
      <c r="B277">
        <v>2012</v>
      </c>
      <c r="C277">
        <v>707.43031056713505</v>
      </c>
    </row>
    <row r="278" spans="1:3" x14ac:dyDescent="0.35">
      <c r="A278" t="s">
        <v>36</v>
      </c>
      <c r="B278">
        <v>2013</v>
      </c>
      <c r="C278">
        <v>985.91307904404005</v>
      </c>
    </row>
    <row r="279" spans="1:3" x14ac:dyDescent="0.35">
      <c r="A279" t="s">
        <v>36</v>
      </c>
      <c r="B279">
        <v>2014</v>
      </c>
      <c r="C279">
        <v>1281.2104918094301</v>
      </c>
    </row>
    <row r="280" spans="1:3" x14ac:dyDescent="0.35">
      <c r="A280" t="s">
        <v>36</v>
      </c>
      <c r="B280">
        <v>2015</v>
      </c>
      <c r="C280">
        <v>1538.7160347547599</v>
      </c>
    </row>
    <row r="281" spans="1:3" x14ac:dyDescent="0.35">
      <c r="A281" t="s">
        <v>36</v>
      </c>
      <c r="B281">
        <v>2016</v>
      </c>
      <c r="C281">
        <v>1804.9453681279599</v>
      </c>
    </row>
    <row r="282" spans="1:3" x14ac:dyDescent="0.35">
      <c r="A282" t="s">
        <v>36</v>
      </c>
      <c r="B282">
        <v>2017</v>
      </c>
      <c r="C282">
        <v>2101.4683504156001</v>
      </c>
    </row>
    <row r="283" spans="1:3" x14ac:dyDescent="0.35">
      <c r="A283" t="s">
        <v>36</v>
      </c>
      <c r="B283">
        <v>2018</v>
      </c>
      <c r="C283">
        <v>2442.4775711828902</v>
      </c>
    </row>
    <row r="284" spans="1:3" x14ac:dyDescent="0.35">
      <c r="A284" t="s">
        <v>36</v>
      </c>
      <c r="B284">
        <v>2019</v>
      </c>
      <c r="C284">
        <v>2757.01662255572</v>
      </c>
    </row>
    <row r="285" spans="1:3" x14ac:dyDescent="0.35">
      <c r="A285" t="s">
        <v>36</v>
      </c>
      <c r="B285">
        <v>2020</v>
      </c>
      <c r="C285">
        <v>3051.7437448291898</v>
      </c>
    </row>
    <row r="286" spans="1:3" x14ac:dyDescent="0.35">
      <c r="A286" t="s">
        <v>36</v>
      </c>
      <c r="B286">
        <v>2021</v>
      </c>
      <c r="C286">
        <v>3412.2258819938202</v>
      </c>
    </row>
    <row r="287" spans="1:3" x14ac:dyDescent="0.35">
      <c r="A287" t="s">
        <v>36</v>
      </c>
      <c r="B287">
        <v>2022</v>
      </c>
      <c r="C287">
        <v>3970.9600438261</v>
      </c>
    </row>
    <row r="288" spans="1:3" x14ac:dyDescent="0.35">
      <c r="A288" t="s">
        <v>36</v>
      </c>
      <c r="B288">
        <v>2023</v>
      </c>
      <c r="C288">
        <v>4543.9558666335797</v>
      </c>
    </row>
    <row r="289" spans="1:3" x14ac:dyDescent="0.35">
      <c r="A289" t="s">
        <v>20</v>
      </c>
      <c r="B289">
        <v>2001</v>
      </c>
      <c r="C289">
        <v>-0.91133655664663105</v>
      </c>
    </row>
    <row r="290" spans="1:3" x14ac:dyDescent="0.35">
      <c r="A290" t="s">
        <v>20</v>
      </c>
      <c r="B290">
        <v>2002</v>
      </c>
      <c r="C290">
        <v>-10.6722487273654</v>
      </c>
    </row>
    <row r="291" spans="1:3" x14ac:dyDescent="0.35">
      <c r="A291" t="s">
        <v>20</v>
      </c>
      <c r="B291">
        <v>2003</v>
      </c>
      <c r="C291">
        <v>-4.6246401113197599</v>
      </c>
    </row>
    <row r="292" spans="1:3" x14ac:dyDescent="0.35">
      <c r="A292" t="s">
        <v>20</v>
      </c>
      <c r="B292">
        <v>2004</v>
      </c>
      <c r="C292">
        <v>22.580813264524799</v>
      </c>
    </row>
    <row r="293" spans="1:3" x14ac:dyDescent="0.35">
      <c r="A293" t="s">
        <v>20</v>
      </c>
      <c r="B293">
        <v>2005</v>
      </c>
      <c r="C293">
        <v>50.248325750148602</v>
      </c>
    </row>
    <row r="294" spans="1:3" x14ac:dyDescent="0.35">
      <c r="A294" t="s">
        <v>20</v>
      </c>
      <c r="B294">
        <v>2006</v>
      </c>
      <c r="C294">
        <v>82.187122251533495</v>
      </c>
    </row>
    <row r="295" spans="1:3" x14ac:dyDescent="0.35">
      <c r="A295" t="s">
        <v>20</v>
      </c>
      <c r="B295">
        <v>2007</v>
      </c>
      <c r="C295">
        <v>117.11294915812999</v>
      </c>
    </row>
    <row r="296" spans="1:3" x14ac:dyDescent="0.35">
      <c r="A296" t="s">
        <v>20</v>
      </c>
      <c r="B296">
        <v>2008</v>
      </c>
      <c r="C296">
        <v>544.78400054952101</v>
      </c>
    </row>
    <row r="297" spans="1:3" x14ac:dyDescent="0.35">
      <c r="A297" t="s">
        <v>20</v>
      </c>
      <c r="B297">
        <v>2009</v>
      </c>
      <c r="C297">
        <v>1758.43336641163</v>
      </c>
    </row>
    <row r="298" spans="1:3" x14ac:dyDescent="0.35">
      <c r="A298" t="s">
        <v>20</v>
      </c>
      <c r="B298">
        <v>2010</v>
      </c>
      <c r="C298">
        <v>4939.08859571622</v>
      </c>
    </row>
    <row r="299" spans="1:3" x14ac:dyDescent="0.35">
      <c r="A299" t="s">
        <v>20</v>
      </c>
      <c r="B299">
        <v>2011</v>
      </c>
      <c r="C299">
        <v>13060.870643252099</v>
      </c>
    </row>
    <row r="300" spans="1:3" x14ac:dyDescent="0.35">
      <c r="A300" t="s">
        <v>20</v>
      </c>
      <c r="B300">
        <v>2012</v>
      </c>
      <c r="C300">
        <v>16468.797666455299</v>
      </c>
    </row>
    <row r="301" spans="1:3" x14ac:dyDescent="0.35">
      <c r="A301" t="s">
        <v>20</v>
      </c>
      <c r="B301">
        <v>2013</v>
      </c>
      <c r="C301">
        <v>17666.902268980401</v>
      </c>
    </row>
    <row r="302" spans="1:3" x14ac:dyDescent="0.35">
      <c r="A302" t="s">
        <v>20</v>
      </c>
      <c r="B302">
        <v>2014</v>
      </c>
      <c r="C302">
        <v>17915.5948619644</v>
      </c>
    </row>
    <row r="303" spans="1:3" x14ac:dyDescent="0.35">
      <c r="A303" t="s">
        <v>20</v>
      </c>
      <c r="B303">
        <v>2015</v>
      </c>
      <c r="C303">
        <v>18197.005625842401</v>
      </c>
    </row>
    <row r="304" spans="1:3" x14ac:dyDescent="0.35">
      <c r="A304" t="s">
        <v>20</v>
      </c>
      <c r="B304">
        <v>2016</v>
      </c>
      <c r="C304">
        <v>18582.0662553074</v>
      </c>
    </row>
    <row r="305" spans="1:3" x14ac:dyDescent="0.35">
      <c r="A305" t="s">
        <v>20</v>
      </c>
      <c r="B305">
        <v>2017</v>
      </c>
      <c r="C305">
        <v>19178.022920192099</v>
      </c>
    </row>
    <row r="306" spans="1:3" x14ac:dyDescent="0.35">
      <c r="A306" t="s">
        <v>20</v>
      </c>
      <c r="B306">
        <v>2018</v>
      </c>
      <c r="C306">
        <v>20030.427599834398</v>
      </c>
    </row>
    <row r="307" spans="1:3" x14ac:dyDescent="0.35">
      <c r="A307" t="s">
        <v>20</v>
      </c>
      <c r="B307">
        <v>2019</v>
      </c>
      <c r="C307">
        <v>20999.559024394901</v>
      </c>
    </row>
    <row r="308" spans="1:3" x14ac:dyDescent="0.35">
      <c r="A308" t="s">
        <v>20</v>
      </c>
      <c r="B308">
        <v>2020</v>
      </c>
      <c r="C308">
        <v>22031.293791529501</v>
      </c>
    </row>
    <row r="309" spans="1:3" x14ac:dyDescent="0.35">
      <c r="A309" t="s">
        <v>20</v>
      </c>
      <c r="B309">
        <v>2021</v>
      </c>
      <c r="C309">
        <v>23238.946045188601</v>
      </c>
    </row>
    <row r="310" spans="1:3" x14ac:dyDescent="0.35">
      <c r="A310" t="s">
        <v>20</v>
      </c>
      <c r="B310">
        <v>2022</v>
      </c>
      <c r="C310">
        <v>25226.240489878899</v>
      </c>
    </row>
    <row r="311" spans="1:3" x14ac:dyDescent="0.35">
      <c r="A311" t="s">
        <v>20</v>
      </c>
      <c r="B311">
        <v>2023</v>
      </c>
      <c r="C311">
        <v>27836.7988658533</v>
      </c>
    </row>
    <row r="312" spans="1:3" x14ac:dyDescent="0.35">
      <c r="A312" t="s">
        <v>37</v>
      </c>
      <c r="B312">
        <v>2002</v>
      </c>
      <c r="C312">
        <v>-84.011250100076595</v>
      </c>
    </row>
    <row r="313" spans="1:3" x14ac:dyDescent="0.35">
      <c r="A313" t="s">
        <v>37</v>
      </c>
      <c r="B313">
        <v>2003</v>
      </c>
      <c r="C313">
        <v>-152.31172712054101</v>
      </c>
    </row>
    <row r="314" spans="1:3" x14ac:dyDescent="0.35">
      <c r="A314" t="s">
        <v>37</v>
      </c>
      <c r="B314">
        <v>2004</v>
      </c>
      <c r="C314">
        <v>-213.09883597638299</v>
      </c>
    </row>
    <row r="315" spans="1:3" x14ac:dyDescent="0.35">
      <c r="A315" t="s">
        <v>37</v>
      </c>
      <c r="B315">
        <v>2005</v>
      </c>
      <c r="C315">
        <v>-271.93522310703099</v>
      </c>
    </row>
    <row r="316" spans="1:3" x14ac:dyDescent="0.35">
      <c r="A316" t="s">
        <v>37</v>
      </c>
      <c r="B316">
        <v>2006</v>
      </c>
      <c r="C316">
        <v>-325.27019494887799</v>
      </c>
    </row>
    <row r="317" spans="1:3" x14ac:dyDescent="0.35">
      <c r="A317" t="s">
        <v>37</v>
      </c>
      <c r="B317">
        <v>2007</v>
      </c>
      <c r="C317">
        <v>-374.32293796601601</v>
      </c>
    </row>
    <row r="318" spans="1:3" x14ac:dyDescent="0.35">
      <c r="A318" t="s">
        <v>37</v>
      </c>
      <c r="B318">
        <v>2008</v>
      </c>
      <c r="C318">
        <v>-395.666823350551</v>
      </c>
    </row>
    <row r="319" spans="1:3" x14ac:dyDescent="0.35">
      <c r="A319" t="s">
        <v>37</v>
      </c>
      <c r="B319">
        <v>2009</v>
      </c>
      <c r="C319">
        <v>-317.15763153817301</v>
      </c>
    </row>
    <row r="320" spans="1:3" x14ac:dyDescent="0.35">
      <c r="A320" t="s">
        <v>37</v>
      </c>
      <c r="B320">
        <v>2010</v>
      </c>
      <c r="C320">
        <v>-283.39327134842199</v>
      </c>
    </row>
    <row r="321" spans="1:3" x14ac:dyDescent="0.35">
      <c r="A321" t="s">
        <v>37</v>
      </c>
      <c r="B321">
        <v>2011</v>
      </c>
      <c r="C321">
        <v>-216.53013941457701</v>
      </c>
    </row>
    <row r="322" spans="1:3" x14ac:dyDescent="0.35">
      <c r="A322" t="s">
        <v>37</v>
      </c>
      <c r="B322">
        <v>2012</v>
      </c>
      <c r="C322">
        <v>-94.244256391591705</v>
      </c>
    </row>
    <row r="323" spans="1:3" x14ac:dyDescent="0.35">
      <c r="A323" t="s">
        <v>37</v>
      </c>
      <c r="B323">
        <v>2013</v>
      </c>
      <c r="C323">
        <v>65.913708376092401</v>
      </c>
    </row>
    <row r="324" spans="1:3" x14ac:dyDescent="0.35">
      <c r="A324" t="s">
        <v>37</v>
      </c>
      <c r="B324">
        <v>2014</v>
      </c>
      <c r="C324">
        <v>231.587241710413</v>
      </c>
    </row>
    <row r="325" spans="1:3" x14ac:dyDescent="0.35">
      <c r="A325" t="s">
        <v>37</v>
      </c>
      <c r="B325">
        <v>2015</v>
      </c>
      <c r="C325">
        <v>345.695160592967</v>
      </c>
    </row>
    <row r="326" spans="1:3" x14ac:dyDescent="0.35">
      <c r="A326" t="s">
        <v>37</v>
      </c>
      <c r="B326">
        <v>2016</v>
      </c>
      <c r="C326">
        <v>448.81416622999302</v>
      </c>
    </row>
    <row r="327" spans="1:3" x14ac:dyDescent="0.35">
      <c r="A327" t="s">
        <v>37</v>
      </c>
      <c r="B327">
        <v>2017</v>
      </c>
      <c r="C327">
        <v>536.45079796550203</v>
      </c>
    </row>
    <row r="328" spans="1:3" x14ac:dyDescent="0.35">
      <c r="A328" t="s">
        <v>37</v>
      </c>
      <c r="B328">
        <v>2018</v>
      </c>
      <c r="C328">
        <v>649.94806180252499</v>
      </c>
    </row>
    <row r="329" spans="1:3" x14ac:dyDescent="0.35">
      <c r="A329" t="s">
        <v>37</v>
      </c>
      <c r="B329">
        <v>2019</v>
      </c>
      <c r="C329">
        <v>766.09538195094103</v>
      </c>
    </row>
    <row r="330" spans="1:3" x14ac:dyDescent="0.35">
      <c r="A330" t="s">
        <v>37</v>
      </c>
      <c r="B330">
        <v>2020</v>
      </c>
      <c r="C330">
        <v>873.94362380964401</v>
      </c>
    </row>
    <row r="331" spans="1:3" x14ac:dyDescent="0.35">
      <c r="A331" t="s">
        <v>37</v>
      </c>
      <c r="B331">
        <v>2021</v>
      </c>
      <c r="C331">
        <v>993.37445652524195</v>
      </c>
    </row>
    <row r="332" spans="1:3" x14ac:dyDescent="0.35">
      <c r="A332" t="s">
        <v>37</v>
      </c>
      <c r="B332">
        <v>2022</v>
      </c>
      <c r="C332">
        <v>1155.2551276147001</v>
      </c>
    </row>
    <row r="333" spans="1:3" x14ac:dyDescent="0.35">
      <c r="A333" t="s">
        <v>37</v>
      </c>
      <c r="B333">
        <v>2023</v>
      </c>
      <c r="C333">
        <v>1464.1094134338</v>
      </c>
    </row>
    <row r="334" spans="1:3" x14ac:dyDescent="0.35">
      <c r="A334" t="s">
        <v>23</v>
      </c>
      <c r="B334">
        <v>2001</v>
      </c>
      <c r="C334">
        <v>-6.78199944582855</v>
      </c>
    </row>
    <row r="335" spans="1:3" x14ac:dyDescent="0.35">
      <c r="A335" t="s">
        <v>23</v>
      </c>
      <c r="B335">
        <v>2002</v>
      </c>
      <c r="C335">
        <v>-20.942982318838599</v>
      </c>
    </row>
    <row r="336" spans="1:3" x14ac:dyDescent="0.35">
      <c r="A336" t="s">
        <v>23</v>
      </c>
      <c r="B336">
        <v>2003</v>
      </c>
      <c r="C336">
        <v>-21.6224645771292</v>
      </c>
    </row>
    <row r="337" spans="1:3" x14ac:dyDescent="0.35">
      <c r="A337" t="s">
        <v>23</v>
      </c>
      <c r="B337">
        <v>2004</v>
      </c>
      <c r="C337">
        <v>-1.22008597754069</v>
      </c>
    </row>
    <row r="338" spans="1:3" x14ac:dyDescent="0.35">
      <c r="A338" t="s">
        <v>23</v>
      </c>
      <c r="B338">
        <v>2005</v>
      </c>
      <c r="C338">
        <v>19.708312700952</v>
      </c>
    </row>
    <row r="339" spans="1:3" x14ac:dyDescent="0.35">
      <c r="A339" t="s">
        <v>23</v>
      </c>
      <c r="B339">
        <v>2006</v>
      </c>
      <c r="C339">
        <v>45.937129639536501</v>
      </c>
    </row>
    <row r="340" spans="1:3" x14ac:dyDescent="0.35">
      <c r="A340" t="s">
        <v>23</v>
      </c>
      <c r="B340">
        <v>2007</v>
      </c>
      <c r="C340">
        <v>76.580679238003299</v>
      </c>
    </row>
    <row r="341" spans="1:3" x14ac:dyDescent="0.35">
      <c r="A341" t="s">
        <v>23</v>
      </c>
      <c r="B341">
        <v>2008</v>
      </c>
      <c r="C341">
        <v>119.048821321815</v>
      </c>
    </row>
    <row r="342" spans="1:3" x14ac:dyDescent="0.35">
      <c r="A342" t="s">
        <v>23</v>
      </c>
      <c r="B342">
        <v>2009</v>
      </c>
      <c r="C342">
        <v>165.25175007834301</v>
      </c>
    </row>
    <row r="343" spans="1:3" x14ac:dyDescent="0.35">
      <c r="A343" t="s">
        <v>23</v>
      </c>
      <c r="B343">
        <v>2010</v>
      </c>
      <c r="C343">
        <v>245.97439475135999</v>
      </c>
    </row>
    <row r="344" spans="1:3" x14ac:dyDescent="0.35">
      <c r="A344" t="s">
        <v>23</v>
      </c>
      <c r="B344">
        <v>2011</v>
      </c>
      <c r="C344">
        <v>368.867992316737</v>
      </c>
    </row>
    <row r="345" spans="1:3" x14ac:dyDescent="0.35">
      <c r="A345" t="s">
        <v>23</v>
      </c>
      <c r="B345">
        <v>2012</v>
      </c>
      <c r="C345">
        <v>515.61001491755599</v>
      </c>
    </row>
    <row r="346" spans="1:3" x14ac:dyDescent="0.35">
      <c r="A346" t="s">
        <v>23</v>
      </c>
      <c r="B346">
        <v>2013</v>
      </c>
      <c r="C346">
        <v>852.52498998608303</v>
      </c>
    </row>
    <row r="347" spans="1:3" x14ac:dyDescent="0.35">
      <c r="A347" t="s">
        <v>23</v>
      </c>
      <c r="B347">
        <v>2014</v>
      </c>
      <c r="C347">
        <v>1345.12909884087</v>
      </c>
    </row>
    <row r="348" spans="1:3" x14ac:dyDescent="0.35">
      <c r="A348" t="s">
        <v>23</v>
      </c>
      <c r="B348">
        <v>2015</v>
      </c>
      <c r="C348">
        <v>1944.61114001756</v>
      </c>
    </row>
    <row r="349" spans="1:3" x14ac:dyDescent="0.35">
      <c r="A349" t="s">
        <v>23</v>
      </c>
      <c r="B349">
        <v>2016</v>
      </c>
      <c r="C349">
        <v>2710.4362215431502</v>
      </c>
    </row>
    <row r="350" spans="1:3" x14ac:dyDescent="0.35">
      <c r="A350" t="s">
        <v>23</v>
      </c>
      <c r="B350">
        <v>2017</v>
      </c>
      <c r="C350">
        <v>3840.65938000607</v>
      </c>
    </row>
    <row r="351" spans="1:3" x14ac:dyDescent="0.35">
      <c r="A351" t="s">
        <v>23</v>
      </c>
      <c r="B351">
        <v>2018</v>
      </c>
      <c r="C351">
        <v>5426.5219524207796</v>
      </c>
    </row>
    <row r="352" spans="1:3" x14ac:dyDescent="0.35">
      <c r="A352" t="s">
        <v>23</v>
      </c>
      <c r="B352">
        <v>2019</v>
      </c>
      <c r="C352">
        <v>7138.1008175837496</v>
      </c>
    </row>
    <row r="353" spans="1:3" x14ac:dyDescent="0.35">
      <c r="A353" t="s">
        <v>23</v>
      </c>
      <c r="B353">
        <v>2020</v>
      </c>
      <c r="C353">
        <v>9090.2287379671598</v>
      </c>
    </row>
    <row r="354" spans="1:3" x14ac:dyDescent="0.35">
      <c r="A354" t="s">
        <v>23</v>
      </c>
      <c r="B354">
        <v>2021</v>
      </c>
      <c r="C354">
        <v>11701.5162193825</v>
      </c>
    </row>
    <row r="355" spans="1:3" x14ac:dyDescent="0.35">
      <c r="A355" t="s">
        <v>23</v>
      </c>
      <c r="B355">
        <v>2022</v>
      </c>
      <c r="C355">
        <v>16315.974484017899</v>
      </c>
    </row>
    <row r="356" spans="1:3" x14ac:dyDescent="0.35">
      <c r="A356" t="s">
        <v>23</v>
      </c>
      <c r="B356">
        <v>2023</v>
      </c>
      <c r="C356">
        <v>23007.3140027794</v>
      </c>
    </row>
    <row r="357" spans="1:3" x14ac:dyDescent="0.35">
      <c r="A357" t="s">
        <v>25</v>
      </c>
      <c r="B357">
        <v>2001</v>
      </c>
      <c r="C357">
        <v>-38.356414526312903</v>
      </c>
    </row>
    <row r="358" spans="1:3" x14ac:dyDescent="0.35">
      <c r="A358" t="s">
        <v>25</v>
      </c>
      <c r="B358">
        <v>2002</v>
      </c>
      <c r="C358">
        <v>-108.71590699618299</v>
      </c>
    </row>
    <row r="359" spans="1:3" x14ac:dyDescent="0.35">
      <c r="A359" t="s">
        <v>25</v>
      </c>
      <c r="B359">
        <v>2003</v>
      </c>
      <c r="C359">
        <v>-172.424664068059</v>
      </c>
    </row>
    <row r="360" spans="1:3" x14ac:dyDescent="0.35">
      <c r="A360" t="s">
        <v>25</v>
      </c>
      <c r="B360">
        <v>2004</v>
      </c>
      <c r="C360">
        <v>-204.97486877441301</v>
      </c>
    </row>
    <row r="361" spans="1:3" x14ac:dyDescent="0.35">
      <c r="A361" t="s">
        <v>25</v>
      </c>
      <c r="B361">
        <v>2005</v>
      </c>
      <c r="C361">
        <v>-245.24231121877199</v>
      </c>
    </row>
    <row r="362" spans="1:3" x14ac:dyDescent="0.35">
      <c r="A362" t="s">
        <v>25</v>
      </c>
      <c r="B362">
        <v>2006</v>
      </c>
      <c r="C362">
        <v>-287.54243222477601</v>
      </c>
    </row>
    <row r="363" spans="1:3" x14ac:dyDescent="0.35">
      <c r="A363" t="s">
        <v>25</v>
      </c>
      <c r="B363">
        <v>2007</v>
      </c>
      <c r="C363">
        <v>-329.44047107991099</v>
      </c>
    </row>
    <row r="364" spans="1:3" x14ac:dyDescent="0.35">
      <c r="A364" t="s">
        <v>25</v>
      </c>
      <c r="B364">
        <v>2008</v>
      </c>
      <c r="C364">
        <v>-351.38960564963099</v>
      </c>
    </row>
    <row r="365" spans="1:3" x14ac:dyDescent="0.35">
      <c r="A365" t="s">
        <v>25</v>
      </c>
      <c r="B365">
        <v>2009</v>
      </c>
      <c r="C365">
        <v>-358.16240030019901</v>
      </c>
    </row>
    <row r="366" spans="1:3" x14ac:dyDescent="0.35">
      <c r="A366" t="s">
        <v>25</v>
      </c>
      <c r="B366">
        <v>2010</v>
      </c>
      <c r="C366">
        <v>-322.237947923805</v>
      </c>
    </row>
    <row r="367" spans="1:3" x14ac:dyDescent="0.35">
      <c r="A367" t="s">
        <v>25</v>
      </c>
      <c r="B367">
        <v>2011</v>
      </c>
      <c r="C367">
        <v>-243.418319809727</v>
      </c>
    </row>
    <row r="368" spans="1:3" x14ac:dyDescent="0.35">
      <c r="A368" t="s">
        <v>25</v>
      </c>
      <c r="B368">
        <v>2012</v>
      </c>
      <c r="C368">
        <v>-121.73954026843001</v>
      </c>
    </row>
    <row r="369" spans="1:3" x14ac:dyDescent="0.35">
      <c r="A369" t="s">
        <v>25</v>
      </c>
      <c r="B369">
        <v>2013</v>
      </c>
      <c r="C369">
        <v>36.5166981760581</v>
      </c>
    </row>
    <row r="370" spans="1:3" x14ac:dyDescent="0.35">
      <c r="A370" t="s">
        <v>25</v>
      </c>
      <c r="B370">
        <v>2014</v>
      </c>
      <c r="C370">
        <v>218.76407715524499</v>
      </c>
    </row>
    <row r="371" spans="1:3" x14ac:dyDescent="0.35">
      <c r="A371" t="s">
        <v>25</v>
      </c>
      <c r="B371">
        <v>2015</v>
      </c>
      <c r="C371">
        <v>382.81607082811098</v>
      </c>
    </row>
    <row r="372" spans="1:3" x14ac:dyDescent="0.35">
      <c r="A372" t="s">
        <v>25</v>
      </c>
      <c r="B372">
        <v>2016</v>
      </c>
      <c r="C372">
        <v>576.75321491991201</v>
      </c>
    </row>
    <row r="373" spans="1:3" x14ac:dyDescent="0.35">
      <c r="A373" t="s">
        <v>25</v>
      </c>
      <c r="B373">
        <v>2017</v>
      </c>
      <c r="C373">
        <v>817.40024503485301</v>
      </c>
    </row>
    <row r="374" spans="1:3" x14ac:dyDescent="0.35">
      <c r="A374" t="s">
        <v>25</v>
      </c>
      <c r="B374">
        <v>2018</v>
      </c>
      <c r="C374">
        <v>1370.94245895259</v>
      </c>
    </row>
    <row r="375" spans="1:3" x14ac:dyDescent="0.35">
      <c r="A375" t="s">
        <v>25</v>
      </c>
      <c r="B375">
        <v>2019</v>
      </c>
      <c r="C375">
        <v>2275.7871479454402</v>
      </c>
    </row>
    <row r="376" spans="1:3" x14ac:dyDescent="0.35">
      <c r="A376" t="s">
        <v>25</v>
      </c>
      <c r="B376">
        <v>2020</v>
      </c>
      <c r="C376">
        <v>3617.2234389271698</v>
      </c>
    </row>
    <row r="377" spans="1:3" x14ac:dyDescent="0.35">
      <c r="A377" t="s">
        <v>25</v>
      </c>
      <c r="B377">
        <v>2021</v>
      </c>
      <c r="C377">
        <v>5972.3695161576898</v>
      </c>
    </row>
    <row r="378" spans="1:3" x14ac:dyDescent="0.35">
      <c r="A378" t="s">
        <v>25</v>
      </c>
      <c r="B378">
        <v>2022</v>
      </c>
      <c r="C378">
        <v>10950.2549707046</v>
      </c>
    </row>
    <row r="379" spans="1:3" x14ac:dyDescent="0.35">
      <c r="A379" t="s">
        <v>25</v>
      </c>
      <c r="B379">
        <v>2023</v>
      </c>
      <c r="C379">
        <v>18599.269061537401</v>
      </c>
    </row>
    <row r="380" spans="1:3" x14ac:dyDescent="0.35">
      <c r="A380" t="s">
        <v>38</v>
      </c>
      <c r="B380">
        <v>2001</v>
      </c>
      <c r="C380">
        <v>-33.471179038953899</v>
      </c>
    </row>
    <row r="381" spans="1:3" x14ac:dyDescent="0.35">
      <c r="A381" t="s">
        <v>38</v>
      </c>
      <c r="B381">
        <v>2002</v>
      </c>
      <c r="C381">
        <v>-74.838600460079704</v>
      </c>
    </row>
    <row r="382" spans="1:3" x14ac:dyDescent="0.35">
      <c r="A382" t="s">
        <v>38</v>
      </c>
      <c r="B382">
        <v>2003</v>
      </c>
      <c r="C382">
        <v>-104.088085527153</v>
      </c>
    </row>
    <row r="383" spans="1:3" x14ac:dyDescent="0.35">
      <c r="A383" t="s">
        <v>38</v>
      </c>
      <c r="B383">
        <v>2004</v>
      </c>
      <c r="C383">
        <v>-116.021362605486</v>
      </c>
    </row>
    <row r="384" spans="1:3" x14ac:dyDescent="0.35">
      <c r="A384" t="s">
        <v>38</v>
      </c>
      <c r="B384">
        <v>2005</v>
      </c>
      <c r="C384">
        <v>-127.94614716522101</v>
      </c>
    </row>
    <row r="385" spans="1:3" x14ac:dyDescent="0.35">
      <c r="A385" t="s">
        <v>38</v>
      </c>
      <c r="B385">
        <v>2006</v>
      </c>
      <c r="C385">
        <v>-133.844192035791</v>
      </c>
    </row>
    <row r="386" spans="1:3" x14ac:dyDescent="0.35">
      <c r="A386" t="s">
        <v>38</v>
      </c>
      <c r="B386">
        <v>2007</v>
      </c>
      <c r="C386">
        <v>-136.39371954625801</v>
      </c>
    </row>
    <row r="387" spans="1:3" x14ac:dyDescent="0.35">
      <c r="A387" t="s">
        <v>38</v>
      </c>
      <c r="B387">
        <v>2008</v>
      </c>
      <c r="C387">
        <v>-125.13923941339399</v>
      </c>
    </row>
    <row r="388" spans="1:3" x14ac:dyDescent="0.35">
      <c r="A388" t="s">
        <v>38</v>
      </c>
      <c r="B388">
        <v>2009</v>
      </c>
      <c r="C388">
        <v>-105.491798114288</v>
      </c>
    </row>
    <row r="389" spans="1:3" x14ac:dyDescent="0.35">
      <c r="A389" t="s">
        <v>38</v>
      </c>
      <c r="B389">
        <v>2010</v>
      </c>
      <c r="C389">
        <v>-9.2163336888456193</v>
      </c>
    </row>
    <row r="390" spans="1:3" x14ac:dyDescent="0.35">
      <c r="A390" t="s">
        <v>38</v>
      </c>
      <c r="B390">
        <v>2011</v>
      </c>
      <c r="C390">
        <v>218.18874831601599</v>
      </c>
    </row>
    <row r="391" spans="1:3" x14ac:dyDescent="0.35">
      <c r="A391" t="s">
        <v>38</v>
      </c>
      <c r="B391">
        <v>2012</v>
      </c>
      <c r="C391">
        <v>537.35161164625094</v>
      </c>
    </row>
    <row r="392" spans="1:3" x14ac:dyDescent="0.35">
      <c r="A392" t="s">
        <v>38</v>
      </c>
      <c r="B392">
        <v>2013</v>
      </c>
      <c r="C392">
        <v>848.09401687330705</v>
      </c>
    </row>
    <row r="393" spans="1:3" x14ac:dyDescent="0.35">
      <c r="A393" t="s">
        <v>38</v>
      </c>
      <c r="B393">
        <v>2014</v>
      </c>
      <c r="C393">
        <v>1126.9301617486999</v>
      </c>
    </row>
    <row r="394" spans="1:3" x14ac:dyDescent="0.35">
      <c r="A394" t="s">
        <v>38</v>
      </c>
      <c r="B394">
        <v>2015</v>
      </c>
      <c r="C394">
        <v>1357.4585920555</v>
      </c>
    </row>
    <row r="395" spans="1:3" x14ac:dyDescent="0.35">
      <c r="A395" t="s">
        <v>38</v>
      </c>
      <c r="B395">
        <v>2016</v>
      </c>
      <c r="C395">
        <v>1645.0521307541601</v>
      </c>
    </row>
    <row r="396" spans="1:3" x14ac:dyDescent="0.35">
      <c r="A396" t="s">
        <v>38</v>
      </c>
      <c r="B396">
        <v>2017</v>
      </c>
      <c r="C396">
        <v>1958.84182081683</v>
      </c>
    </row>
    <row r="397" spans="1:3" x14ac:dyDescent="0.35">
      <c r="A397" t="s">
        <v>38</v>
      </c>
      <c r="B397">
        <v>2018</v>
      </c>
      <c r="C397">
        <v>2244.8159556352398</v>
      </c>
    </row>
    <row r="398" spans="1:3" x14ac:dyDescent="0.35">
      <c r="A398" t="s">
        <v>38</v>
      </c>
      <c r="B398">
        <v>2019</v>
      </c>
      <c r="C398">
        <v>2463.4258848240702</v>
      </c>
    </row>
    <row r="399" spans="1:3" x14ac:dyDescent="0.35">
      <c r="A399" t="s">
        <v>38</v>
      </c>
      <c r="B399">
        <v>2020</v>
      </c>
      <c r="C399">
        <v>2643.0292018761702</v>
      </c>
    </row>
    <row r="400" spans="1:3" x14ac:dyDescent="0.35">
      <c r="A400" t="s">
        <v>38</v>
      </c>
      <c r="B400">
        <v>2021</v>
      </c>
      <c r="C400">
        <v>2826.3599122838</v>
      </c>
    </row>
    <row r="401" spans="1:3" x14ac:dyDescent="0.35">
      <c r="A401" t="s">
        <v>38</v>
      </c>
      <c r="B401">
        <v>2022</v>
      </c>
      <c r="C401">
        <v>3165.2980594740402</v>
      </c>
    </row>
    <row r="402" spans="1:3" x14ac:dyDescent="0.35">
      <c r="A402" t="s">
        <v>38</v>
      </c>
      <c r="B402">
        <v>2023</v>
      </c>
      <c r="C402">
        <v>3575.0392766576301</v>
      </c>
    </row>
    <row r="403" spans="1:3" x14ac:dyDescent="0.35">
      <c r="A403" t="s">
        <v>39</v>
      </c>
      <c r="B403">
        <v>2003</v>
      </c>
      <c r="C403">
        <v>-51.432775089171102</v>
      </c>
    </row>
    <row r="404" spans="1:3" x14ac:dyDescent="0.35">
      <c r="A404" t="s">
        <v>39</v>
      </c>
      <c r="B404">
        <v>2004</v>
      </c>
      <c r="C404">
        <v>-106.531235352452</v>
      </c>
    </row>
    <row r="405" spans="1:3" x14ac:dyDescent="0.35">
      <c r="A405" t="s">
        <v>39</v>
      </c>
      <c r="B405">
        <v>2005</v>
      </c>
      <c r="C405">
        <v>-162.69251293535899</v>
      </c>
    </row>
    <row r="406" spans="1:3" x14ac:dyDescent="0.35">
      <c r="A406" t="s">
        <v>39</v>
      </c>
      <c r="B406">
        <v>2006</v>
      </c>
      <c r="C406">
        <v>-219.379754870325</v>
      </c>
    </row>
    <row r="407" spans="1:3" x14ac:dyDescent="0.35">
      <c r="A407" t="s">
        <v>39</v>
      </c>
      <c r="B407">
        <v>2007</v>
      </c>
      <c r="C407">
        <v>-270.45293238362899</v>
      </c>
    </row>
    <row r="408" spans="1:3" x14ac:dyDescent="0.35">
      <c r="A408" t="s">
        <v>39</v>
      </c>
      <c r="B408">
        <v>2008</v>
      </c>
      <c r="C408">
        <v>-308.77912904845402</v>
      </c>
    </row>
    <row r="409" spans="1:3" x14ac:dyDescent="0.35">
      <c r="A409" t="s">
        <v>39</v>
      </c>
      <c r="B409">
        <v>2009</v>
      </c>
      <c r="C409">
        <v>-340.24434459619903</v>
      </c>
    </row>
    <row r="410" spans="1:3" x14ac:dyDescent="0.35">
      <c r="A410" t="s">
        <v>39</v>
      </c>
      <c r="B410">
        <v>2010</v>
      </c>
      <c r="C410">
        <v>-340.58797411720701</v>
      </c>
    </row>
    <row r="411" spans="1:3" x14ac:dyDescent="0.35">
      <c r="A411" t="s">
        <v>39</v>
      </c>
      <c r="B411">
        <v>2011</v>
      </c>
      <c r="C411">
        <v>-282.61174312495001</v>
      </c>
    </row>
    <row r="412" spans="1:3" x14ac:dyDescent="0.35">
      <c r="A412" t="s">
        <v>39</v>
      </c>
      <c r="B412">
        <v>2012</v>
      </c>
      <c r="C412">
        <v>-148.610725620632</v>
      </c>
    </row>
    <row r="413" spans="1:3" x14ac:dyDescent="0.35">
      <c r="A413" t="s">
        <v>39</v>
      </c>
      <c r="B413">
        <v>2013</v>
      </c>
      <c r="C413">
        <v>49.955729637233297</v>
      </c>
    </row>
    <row r="414" spans="1:3" x14ac:dyDescent="0.35">
      <c r="A414" t="s">
        <v>39</v>
      </c>
      <c r="B414">
        <v>2014</v>
      </c>
      <c r="C414">
        <v>217.732943968565</v>
      </c>
    </row>
    <row r="415" spans="1:3" x14ac:dyDescent="0.35">
      <c r="A415" t="s">
        <v>39</v>
      </c>
      <c r="B415">
        <v>2015</v>
      </c>
      <c r="C415">
        <v>331.576926046756</v>
      </c>
    </row>
    <row r="416" spans="1:3" x14ac:dyDescent="0.35">
      <c r="A416" t="s">
        <v>39</v>
      </c>
      <c r="B416">
        <v>2016</v>
      </c>
      <c r="C416">
        <v>431.47550747928301</v>
      </c>
    </row>
    <row r="417" spans="1:3" x14ac:dyDescent="0.35">
      <c r="A417" t="s">
        <v>39</v>
      </c>
      <c r="B417">
        <v>2017</v>
      </c>
      <c r="C417">
        <v>550.58338139621003</v>
      </c>
    </row>
    <row r="418" spans="1:3" x14ac:dyDescent="0.35">
      <c r="A418" t="s">
        <v>39</v>
      </c>
      <c r="B418">
        <v>2018</v>
      </c>
      <c r="C418">
        <v>690.71099617234904</v>
      </c>
    </row>
    <row r="419" spans="1:3" x14ac:dyDescent="0.35">
      <c r="A419" t="s">
        <v>39</v>
      </c>
      <c r="B419">
        <v>2019</v>
      </c>
      <c r="C419">
        <v>790.02459061259503</v>
      </c>
    </row>
    <row r="420" spans="1:3" x14ac:dyDescent="0.35">
      <c r="A420" t="s">
        <v>39</v>
      </c>
      <c r="B420">
        <v>2020</v>
      </c>
      <c r="C420">
        <v>870.58516803968496</v>
      </c>
    </row>
    <row r="421" spans="1:3" x14ac:dyDescent="0.35">
      <c r="A421" t="s">
        <v>39</v>
      </c>
      <c r="B421">
        <v>2021</v>
      </c>
      <c r="C421">
        <v>962.89693015823502</v>
      </c>
    </row>
    <row r="422" spans="1:3" x14ac:dyDescent="0.35">
      <c r="A422" t="s">
        <v>39</v>
      </c>
      <c r="B422">
        <v>2022</v>
      </c>
      <c r="C422">
        <v>1185.84867054704</v>
      </c>
    </row>
    <row r="423" spans="1:3" x14ac:dyDescent="0.35">
      <c r="A423" t="s">
        <v>39</v>
      </c>
      <c r="B423">
        <v>2023</v>
      </c>
      <c r="C423">
        <v>1493.1218468255599</v>
      </c>
    </row>
    <row r="424" spans="1:3" x14ac:dyDescent="0.35">
      <c r="A424" t="s">
        <v>40</v>
      </c>
      <c r="B424">
        <v>2001</v>
      </c>
      <c r="C424">
        <v>-10.012740720931699</v>
      </c>
    </row>
    <row r="425" spans="1:3" x14ac:dyDescent="0.35">
      <c r="A425" t="s">
        <v>40</v>
      </c>
      <c r="B425">
        <v>2002</v>
      </c>
      <c r="C425">
        <v>-21.830003689442801</v>
      </c>
    </row>
    <row r="426" spans="1:3" x14ac:dyDescent="0.35">
      <c r="A426" t="s">
        <v>40</v>
      </c>
      <c r="B426">
        <v>2003</v>
      </c>
      <c r="C426">
        <v>-16.4619479956758</v>
      </c>
    </row>
    <row r="427" spans="1:3" x14ac:dyDescent="0.35">
      <c r="A427" t="s">
        <v>40</v>
      </c>
      <c r="B427">
        <v>2004</v>
      </c>
      <c r="C427">
        <v>7.5149166737405704</v>
      </c>
    </row>
    <row r="428" spans="1:3" x14ac:dyDescent="0.35">
      <c r="A428" t="s">
        <v>40</v>
      </c>
      <c r="B428">
        <v>2005</v>
      </c>
      <c r="C428">
        <v>26.331579356115601</v>
      </c>
    </row>
    <row r="429" spans="1:3" x14ac:dyDescent="0.35">
      <c r="A429" t="s">
        <v>40</v>
      </c>
      <c r="B429">
        <v>2006</v>
      </c>
      <c r="C429">
        <v>48.556201030552302</v>
      </c>
    </row>
    <row r="430" spans="1:3" x14ac:dyDescent="0.35">
      <c r="A430" t="s">
        <v>40</v>
      </c>
      <c r="B430">
        <v>2007</v>
      </c>
      <c r="C430">
        <v>74.966316809542406</v>
      </c>
    </row>
    <row r="431" spans="1:3" x14ac:dyDescent="0.35">
      <c r="A431" t="s">
        <v>40</v>
      </c>
      <c r="B431">
        <v>2008</v>
      </c>
      <c r="C431">
        <v>107.361621553625</v>
      </c>
    </row>
    <row r="432" spans="1:3" x14ac:dyDescent="0.35">
      <c r="A432" t="s">
        <v>40</v>
      </c>
      <c r="B432">
        <v>2009</v>
      </c>
      <c r="C432">
        <v>139.84604775598899</v>
      </c>
    </row>
    <row r="433" spans="1:3" x14ac:dyDescent="0.35">
      <c r="A433" t="s">
        <v>40</v>
      </c>
      <c r="B433">
        <v>2010</v>
      </c>
      <c r="C433">
        <v>215.09246892683601</v>
      </c>
    </row>
    <row r="434" spans="1:3" x14ac:dyDescent="0.35">
      <c r="A434" t="s">
        <v>40</v>
      </c>
      <c r="B434">
        <v>2011</v>
      </c>
      <c r="C434">
        <v>322.42688077264802</v>
      </c>
    </row>
    <row r="435" spans="1:3" x14ac:dyDescent="0.35">
      <c r="A435" t="s">
        <v>40</v>
      </c>
      <c r="B435">
        <v>2012</v>
      </c>
      <c r="C435">
        <v>452.91681288217802</v>
      </c>
    </row>
    <row r="436" spans="1:3" x14ac:dyDescent="0.35">
      <c r="A436" t="s">
        <v>40</v>
      </c>
      <c r="B436">
        <v>2013</v>
      </c>
      <c r="C436">
        <v>674.96864833281097</v>
      </c>
    </row>
    <row r="437" spans="1:3" x14ac:dyDescent="0.35">
      <c r="A437" t="s">
        <v>40</v>
      </c>
      <c r="B437">
        <v>2014</v>
      </c>
      <c r="C437">
        <v>918.38031510683697</v>
      </c>
    </row>
    <row r="438" spans="1:3" x14ac:dyDescent="0.35">
      <c r="A438" t="s">
        <v>40</v>
      </c>
      <c r="B438">
        <v>2015</v>
      </c>
      <c r="C438">
        <v>1105.41770889908</v>
      </c>
    </row>
    <row r="439" spans="1:3" x14ac:dyDescent="0.35">
      <c r="A439" t="s">
        <v>40</v>
      </c>
      <c r="B439">
        <v>2016</v>
      </c>
      <c r="C439">
        <v>1293.51103835956</v>
      </c>
    </row>
    <row r="440" spans="1:3" x14ac:dyDescent="0.35">
      <c r="A440" t="s">
        <v>40</v>
      </c>
      <c r="B440">
        <v>2017</v>
      </c>
      <c r="C440">
        <v>1526.99507577655</v>
      </c>
    </row>
    <row r="441" spans="1:3" x14ac:dyDescent="0.35">
      <c r="A441" t="s">
        <v>40</v>
      </c>
      <c r="B441">
        <v>2018</v>
      </c>
      <c r="C441">
        <v>1792.6236354264699</v>
      </c>
    </row>
    <row r="442" spans="1:3" x14ac:dyDescent="0.35">
      <c r="A442" t="s">
        <v>40</v>
      </c>
      <c r="B442">
        <v>2019</v>
      </c>
      <c r="C442">
        <v>1988.2485422013301</v>
      </c>
    </row>
    <row r="443" spans="1:3" x14ac:dyDescent="0.35">
      <c r="A443" t="s">
        <v>40</v>
      </c>
      <c r="B443">
        <v>2020</v>
      </c>
      <c r="C443">
        <v>2181.9748124651701</v>
      </c>
    </row>
    <row r="444" spans="1:3" x14ac:dyDescent="0.35">
      <c r="A444" t="s">
        <v>40</v>
      </c>
      <c r="B444">
        <v>2021</v>
      </c>
      <c r="C444">
        <v>2422.5464514811802</v>
      </c>
    </row>
    <row r="445" spans="1:3" x14ac:dyDescent="0.35">
      <c r="A445" t="s">
        <v>40</v>
      </c>
      <c r="B445">
        <v>2022</v>
      </c>
      <c r="C445">
        <v>2782.9722988040899</v>
      </c>
    </row>
    <row r="446" spans="1:3" x14ac:dyDescent="0.35">
      <c r="A446" t="s">
        <v>40</v>
      </c>
      <c r="B446">
        <v>2023</v>
      </c>
      <c r="C446">
        <v>3227.1494393053599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D472-7EF6-43CB-A7D4-55C7AF0F6B24}">
  <sheetPr>
    <tabColor rgb="FFFFFF00"/>
  </sheetPr>
  <dimension ref="A1:C12"/>
  <sheetViews>
    <sheetView tabSelected="1" workbookViewId="0">
      <selection activeCell="C10" sqref="C10"/>
    </sheetView>
  </sheetViews>
  <sheetFormatPr defaultRowHeight="14.5" x14ac:dyDescent="0.35"/>
  <cols>
    <col min="1" max="1" width="32.36328125" style="5" bestFit="1" customWidth="1"/>
    <col min="2" max="2" width="19" style="5" bestFit="1" customWidth="1"/>
    <col min="3" max="3" width="20.6328125" style="5" bestFit="1" customWidth="1"/>
    <col min="4" max="16384" width="8.7265625" style="5"/>
  </cols>
  <sheetData>
    <row r="1" spans="1:3" x14ac:dyDescent="0.35">
      <c r="A1" s="4" t="s">
        <v>45</v>
      </c>
      <c r="B1" s="4" t="s">
        <v>46</v>
      </c>
      <c r="C1" s="4" t="s">
        <v>47</v>
      </c>
    </row>
    <row r="2" spans="1:3" x14ac:dyDescent="0.35">
      <c r="A2" s="5" t="s">
        <v>48</v>
      </c>
      <c r="B2" s="5" t="s">
        <v>48</v>
      </c>
      <c r="C2" s="5" t="s">
        <v>49</v>
      </c>
    </row>
    <row r="3" spans="1:3" x14ac:dyDescent="0.35">
      <c r="A3" s="5" t="s">
        <v>50</v>
      </c>
      <c r="B3" s="5" t="s">
        <v>48</v>
      </c>
      <c r="C3" s="5" t="s">
        <v>49</v>
      </c>
    </row>
    <row r="4" spans="1:3" x14ac:dyDescent="0.35">
      <c r="A4" s="21" t="s">
        <v>147</v>
      </c>
      <c r="B4" s="5" t="s">
        <v>48</v>
      </c>
      <c r="C4" s="23" t="s">
        <v>150</v>
      </c>
    </row>
    <row r="5" spans="1:3" x14ac:dyDescent="0.35">
      <c r="A5" s="5" t="s">
        <v>51</v>
      </c>
      <c r="B5" s="5" t="s">
        <v>48</v>
      </c>
      <c r="C5" s="5" t="s">
        <v>49</v>
      </c>
    </row>
    <row r="6" spans="1:3" x14ac:dyDescent="0.35">
      <c r="A6" s="19" t="s">
        <v>123</v>
      </c>
      <c r="B6" s="5" t="s">
        <v>52</v>
      </c>
      <c r="C6" s="23" t="s">
        <v>150</v>
      </c>
    </row>
    <row r="7" spans="1:3" x14ac:dyDescent="0.35">
      <c r="A7" s="21" t="s">
        <v>126</v>
      </c>
      <c r="B7" s="21" t="s">
        <v>149</v>
      </c>
      <c r="C7" s="21" t="s">
        <v>145</v>
      </c>
    </row>
    <row r="8" spans="1:3" x14ac:dyDescent="0.35">
      <c r="A8" s="21" t="s">
        <v>128</v>
      </c>
      <c r="B8" s="21" t="s">
        <v>128</v>
      </c>
      <c r="C8" s="21" t="s">
        <v>146</v>
      </c>
    </row>
    <row r="9" spans="1:3" x14ac:dyDescent="0.35">
      <c r="A9" s="21" t="s">
        <v>125</v>
      </c>
      <c r="B9" s="21" t="s">
        <v>128</v>
      </c>
      <c r="C9" s="23" t="s">
        <v>150</v>
      </c>
    </row>
    <row r="10" spans="1:3" x14ac:dyDescent="0.35">
      <c r="A10" s="21" t="s">
        <v>144</v>
      </c>
      <c r="B10" s="21" t="s">
        <v>128</v>
      </c>
      <c r="C10" s="23" t="s">
        <v>151</v>
      </c>
    </row>
    <row r="11" spans="1:3" ht="20.5" customHeight="1" x14ac:dyDescent="0.35">
      <c r="A11" s="22" t="s">
        <v>124</v>
      </c>
      <c r="B11" s="21" t="s">
        <v>128</v>
      </c>
      <c r="C11" s="23" t="s">
        <v>150</v>
      </c>
    </row>
    <row r="12" spans="1:3" ht="27.5" customHeight="1" x14ac:dyDescent="0.35">
      <c r="A12" s="22" t="s">
        <v>148</v>
      </c>
      <c r="B12" s="21" t="s">
        <v>128</v>
      </c>
      <c r="C12" s="23" t="s">
        <v>150</v>
      </c>
    </row>
  </sheetData>
  <autoFilter ref="A1:C1" xr:uid="{7319D472-7EF6-43CB-A7D4-55C7AF0F6B2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effect_quant_by_period</vt:lpstr>
      <vt:lpstr>cumulative_effects</vt:lpstr>
      <vt:lpstr>policy_contributions_cum</vt:lpstr>
      <vt:lpstr>solar_cum_cap</vt:lpstr>
      <vt:lpstr>estimated_capacity</vt:lpstr>
      <vt:lpstr>policy_name_clustering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Milioritsas, Ioannis</dc:creator>
  <cp:lastModifiedBy>Milioritsas, Ioannis</cp:lastModifiedBy>
  <dcterms:created xsi:type="dcterms:W3CDTF">2025-11-13T09:07:35Z</dcterms:created>
  <dcterms:modified xsi:type="dcterms:W3CDTF">2026-03-20T08:10:07Z</dcterms:modified>
</cp:coreProperties>
</file>